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everisgroup-my.sharepoint.com/personal/jsuarebu_emeal_nttdata_com/Documents/Escritorio/pruebas github MARIO/"/>
    </mc:Choice>
  </mc:AlternateContent>
  <xr:revisionPtr revIDLastSave="69" documentId="8_{3F89ED6C-1278-4AA4-B492-165F092943D2}" xr6:coauthVersionLast="47" xr6:coauthVersionMax="47" xr10:uidLastSave="{8C54A797-F102-4182-A68F-CD7C208B4FA6}"/>
  <bookViews>
    <workbookView xWindow="-110" yWindow="-110" windowWidth="19420" windowHeight="10300" activeTab="5" xr2:uid="{00000000-000D-0000-FFFF-FFFF00000000}"/>
  </bookViews>
  <sheets>
    <sheet name="assessment per view" sheetId="5" r:id="rId1"/>
    <sheet name="views" sheetId="4" r:id="rId2"/>
    <sheet name="types" sheetId="3" r:id="rId3"/>
    <sheet name="tech view" sheetId="2" r:id="rId4"/>
    <sheet name="1er Intento" sheetId="1" r:id="rId5"/>
    <sheet name="2do Intento" sheetId="6" r:id="rId6"/>
  </sheets>
  <calcPr calcId="191028"/>
  <pivotCaches>
    <pivotCache cacheId="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6" l="1"/>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243" i="6"/>
  <c r="J244" i="6"/>
  <c r="J245" i="6"/>
  <c r="J246" i="6"/>
  <c r="J247" i="6"/>
  <c r="J248" i="6"/>
  <c r="J249" i="6"/>
  <c r="J250" i="6"/>
  <c r="J251" i="6"/>
  <c r="J252" i="6"/>
  <c r="J253" i="6"/>
  <c r="J254" i="6"/>
  <c r="J255" i="6"/>
  <c r="J256" i="6"/>
  <c r="J257" i="6"/>
  <c r="J258" i="6"/>
  <c r="J259" i="6"/>
  <c r="J260" i="6"/>
  <c r="J261" i="6"/>
  <c r="J262" i="6"/>
  <c r="J263" i="6"/>
  <c r="J264" i="6"/>
  <c r="J265" i="6"/>
  <c r="J266" i="6"/>
  <c r="J267" i="6"/>
  <c r="J268" i="6"/>
  <c r="J269" i="6"/>
  <c r="J270" i="6"/>
  <c r="J271" i="6"/>
  <c r="J272" i="6"/>
  <c r="J273" i="6"/>
  <c r="J274" i="6"/>
  <c r="J275" i="6"/>
  <c r="J276" i="6"/>
  <c r="J277" i="6"/>
  <c r="J278" i="6"/>
  <c r="J279" i="6"/>
  <c r="J280" i="6"/>
  <c r="J281" i="6"/>
  <c r="J282" i="6"/>
  <c r="J283" i="6"/>
  <c r="J284" i="6"/>
  <c r="J285" i="6"/>
  <c r="J286" i="6"/>
  <c r="J287" i="6"/>
  <c r="J288" i="6"/>
  <c r="J289" i="6"/>
  <c r="J290" i="6"/>
  <c r="J291" i="6"/>
  <c r="J292" i="6"/>
  <c r="J293" i="6"/>
  <c r="J294" i="6"/>
  <c r="J295" i="6"/>
  <c r="J296" i="6"/>
  <c r="J297" i="6"/>
  <c r="J298" i="6"/>
  <c r="J299" i="6"/>
  <c r="J300" i="6"/>
  <c r="J301" i="6"/>
  <c r="J302" i="6"/>
  <c r="J303" i="6"/>
  <c r="J304" i="6"/>
  <c r="J305" i="6"/>
  <c r="J306" i="6"/>
  <c r="J307" i="6"/>
  <c r="J308" i="6"/>
  <c r="J309" i="6"/>
  <c r="J310" i="6"/>
  <c r="J311" i="6"/>
  <c r="J312" i="6"/>
  <c r="J313" i="6"/>
  <c r="J314" i="6"/>
  <c r="J315" i="6"/>
  <c r="J316" i="6"/>
  <c r="J317" i="6"/>
  <c r="J318" i="6"/>
  <c r="J319" i="6"/>
  <c r="J320" i="6"/>
  <c r="J321" i="6"/>
  <c r="J322" i="6"/>
  <c r="J323" i="6"/>
  <c r="J324" i="6"/>
  <c r="J325" i="6"/>
  <c r="J326" i="6"/>
  <c r="J327" i="6"/>
  <c r="J328" i="6"/>
  <c r="J329" i="6"/>
  <c r="J330" i="6"/>
  <c r="J331" i="6"/>
  <c r="J332" i="6"/>
  <c r="J333" i="6"/>
  <c r="J334" i="6"/>
  <c r="J335" i="6"/>
  <c r="J336" i="6"/>
  <c r="J337" i="6"/>
  <c r="J338" i="6"/>
  <c r="J339" i="6"/>
  <c r="J340" i="6"/>
  <c r="J341" i="6"/>
  <c r="J342" i="6"/>
  <c r="J343" i="6"/>
  <c r="J344" i="6"/>
  <c r="J345" i="6"/>
  <c r="J346" i="6"/>
  <c r="J347" i="6"/>
  <c r="J348" i="6"/>
  <c r="J349" i="6"/>
  <c r="J350" i="6"/>
  <c r="J351" i="6"/>
  <c r="J352" i="6"/>
  <c r="J353" i="6"/>
  <c r="J354" i="6"/>
  <c r="J355" i="6"/>
  <c r="J356" i="6"/>
  <c r="J357" i="6"/>
  <c r="J358" i="6"/>
  <c r="J359" i="6"/>
  <c r="J360" i="6"/>
  <c r="J361" i="6"/>
  <c r="J362" i="6"/>
  <c r="J363" i="6"/>
  <c r="J364" i="6"/>
  <c r="J365" i="6"/>
  <c r="J366" i="6"/>
  <c r="J367" i="6"/>
  <c r="J368" i="6"/>
  <c r="J369" i="6"/>
  <c r="J370" i="6"/>
  <c r="J371" i="6"/>
  <c r="J372" i="6"/>
  <c r="J373" i="6"/>
  <c r="J374" i="6"/>
  <c r="J375" i="6"/>
  <c r="J376" i="6"/>
  <c r="J377" i="6"/>
  <c r="J378" i="6"/>
  <c r="J379" i="6"/>
  <c r="J380" i="6"/>
  <c r="J381" i="6"/>
  <c r="J382" i="6"/>
  <c r="J383" i="6"/>
  <c r="J384" i="6"/>
  <c r="J385" i="6"/>
  <c r="J386" i="6"/>
  <c r="J387" i="6"/>
  <c r="J388" i="6"/>
  <c r="J389" i="6"/>
  <c r="J390" i="6"/>
  <c r="J391" i="6"/>
  <c r="J392" i="6"/>
  <c r="J393" i="6"/>
  <c r="J394" i="6"/>
  <c r="J395" i="6"/>
  <c r="J396" i="6"/>
  <c r="J397" i="6"/>
  <c r="J398" i="6"/>
  <c r="J399" i="6"/>
  <c r="J400" i="6"/>
  <c r="J401" i="6"/>
  <c r="J402" i="6"/>
  <c r="J403" i="6"/>
  <c r="J404" i="6"/>
  <c r="J405" i="6"/>
  <c r="J406" i="6"/>
  <c r="J407" i="6"/>
  <c r="J408" i="6"/>
  <c r="J409" i="6"/>
  <c r="J410" i="6"/>
  <c r="J411" i="6"/>
  <c r="J412" i="6"/>
  <c r="J413" i="6"/>
  <c r="J414" i="6"/>
  <c r="J415" i="6"/>
  <c r="J416" i="6"/>
  <c r="J417" i="6"/>
  <c r="J418" i="6"/>
  <c r="J419" i="6"/>
  <c r="J420" i="6"/>
  <c r="J421" i="6"/>
  <c r="J422" i="6"/>
  <c r="J423" i="6"/>
  <c r="J424" i="6"/>
  <c r="J425" i="6"/>
  <c r="J426" i="6"/>
  <c r="J427" i="6"/>
  <c r="J428" i="6"/>
  <c r="J429" i="6"/>
  <c r="J430" i="6"/>
  <c r="J431" i="6"/>
  <c r="J432" i="6"/>
  <c r="J433" i="6"/>
  <c r="J434" i="6"/>
  <c r="J435" i="6"/>
  <c r="J436" i="6"/>
  <c r="J437" i="6"/>
  <c r="J438" i="6"/>
  <c r="J439" i="6"/>
  <c r="J440" i="6"/>
  <c r="J441" i="6"/>
  <c r="J442" i="6"/>
  <c r="J443" i="6"/>
  <c r="J444" i="6"/>
  <c r="J445" i="6"/>
  <c r="J446" i="6"/>
  <c r="J447" i="6"/>
  <c r="J448" i="6"/>
  <c r="J449" i="6"/>
  <c r="J450" i="6"/>
  <c r="J451" i="6"/>
  <c r="J452" i="6"/>
  <c r="J453" i="6"/>
  <c r="J454" i="6"/>
  <c r="J455" i="6"/>
  <c r="J456" i="6"/>
  <c r="J457" i="6"/>
  <c r="J458" i="6"/>
  <c r="J459" i="6"/>
  <c r="J460" i="6"/>
  <c r="J461" i="6"/>
  <c r="J462" i="6"/>
  <c r="J463" i="6"/>
  <c r="J464" i="6"/>
  <c r="J465" i="6"/>
  <c r="J466" i="6"/>
  <c r="J467" i="6"/>
  <c r="J468" i="6"/>
  <c r="J469" i="6"/>
  <c r="J470" i="6"/>
  <c r="J471" i="6"/>
  <c r="J472" i="6"/>
  <c r="J473" i="6"/>
  <c r="J474" i="6"/>
  <c r="J475" i="6"/>
  <c r="J476" i="6"/>
  <c r="J477" i="6"/>
  <c r="J478" i="6"/>
  <c r="J479" i="6"/>
  <c r="J480" i="6"/>
  <c r="J481" i="6"/>
  <c r="J482" i="6"/>
  <c r="J483" i="6"/>
  <c r="J484" i="6"/>
  <c r="J485" i="6"/>
  <c r="J486" i="6"/>
  <c r="J487" i="6"/>
  <c r="J488" i="6"/>
  <c r="J489" i="6"/>
  <c r="J490" i="6"/>
  <c r="J491" i="6"/>
  <c r="J492" i="6"/>
  <c r="J493" i="6"/>
  <c r="J494" i="6"/>
  <c r="J495" i="6"/>
  <c r="J496" i="6"/>
  <c r="J497" i="6"/>
  <c r="J498" i="6"/>
  <c r="J499" i="6"/>
  <c r="J500" i="6"/>
  <c r="J501" i="6"/>
  <c r="J502" i="6"/>
  <c r="J503" i="6"/>
  <c r="J504" i="6"/>
  <c r="J505" i="6"/>
  <c r="J506" i="6"/>
  <c r="J507" i="6"/>
  <c r="J508" i="6"/>
  <c r="J509" i="6"/>
  <c r="J510" i="6"/>
  <c r="J511" i="6"/>
  <c r="J512" i="6"/>
  <c r="J513" i="6"/>
  <c r="J514" i="6"/>
  <c r="J515" i="6"/>
  <c r="J516" i="6"/>
  <c r="J517" i="6"/>
  <c r="J518" i="6"/>
  <c r="J519" i="6"/>
  <c r="J520" i="6"/>
  <c r="J521" i="6"/>
  <c r="J522" i="6"/>
  <c r="J523" i="6"/>
  <c r="J524" i="6"/>
  <c r="J525" i="6"/>
  <c r="J526" i="6"/>
  <c r="J527" i="6"/>
  <c r="J528" i="6"/>
  <c r="J529" i="6"/>
  <c r="J530" i="6"/>
  <c r="J531" i="6"/>
  <c r="J532" i="6"/>
  <c r="J533" i="6"/>
  <c r="J534" i="6"/>
  <c r="J535" i="6"/>
  <c r="J536" i="6"/>
  <c r="J537" i="6"/>
  <c r="J538" i="6"/>
  <c r="J539" i="6"/>
  <c r="J540" i="6"/>
  <c r="J541" i="6"/>
  <c r="J542" i="6"/>
  <c r="J543" i="6"/>
  <c r="J544" i="6"/>
  <c r="J545" i="6"/>
  <c r="J546" i="6"/>
  <c r="J547" i="6"/>
  <c r="J548" i="6"/>
  <c r="J549" i="6"/>
  <c r="J550" i="6"/>
  <c r="J551" i="6"/>
  <c r="J552" i="6"/>
  <c r="J553" i="6"/>
  <c r="J554" i="6"/>
  <c r="J555" i="6"/>
  <c r="J556" i="6"/>
  <c r="J557" i="6"/>
  <c r="J558" i="6"/>
  <c r="J559" i="6"/>
  <c r="J560" i="6"/>
  <c r="J561" i="6"/>
  <c r="J562" i="6"/>
  <c r="J563" i="6"/>
  <c r="J564" i="6"/>
  <c r="J565" i="6"/>
  <c r="J566" i="6"/>
  <c r="J567" i="6"/>
  <c r="J568" i="6"/>
  <c r="J569" i="6"/>
  <c r="J570" i="6"/>
  <c r="J571" i="6"/>
  <c r="J572" i="6"/>
  <c r="J573" i="6"/>
  <c r="J574" i="6"/>
  <c r="J575" i="6"/>
  <c r="J576" i="6"/>
  <c r="J577" i="6"/>
  <c r="J578" i="6"/>
  <c r="J579" i="6"/>
  <c r="J580" i="6"/>
  <c r="J581" i="6"/>
  <c r="J582" i="6"/>
  <c r="J583" i="6"/>
  <c r="J584" i="6"/>
  <c r="J585" i="6"/>
  <c r="J586" i="6"/>
  <c r="J587" i="6"/>
  <c r="J588" i="6"/>
  <c r="J589" i="6"/>
  <c r="J590" i="6"/>
  <c r="J591" i="6"/>
  <c r="J592" i="6"/>
  <c r="J593" i="6"/>
  <c r="J594" i="6"/>
  <c r="J595" i="6"/>
  <c r="J596" i="6"/>
  <c r="J597" i="6"/>
  <c r="J598" i="6"/>
  <c r="J599" i="6"/>
  <c r="J600" i="6"/>
  <c r="J601" i="6"/>
  <c r="J602" i="6"/>
  <c r="J603" i="6"/>
  <c r="J604" i="6"/>
  <c r="J605" i="6"/>
  <c r="J606" i="6"/>
  <c r="J607" i="6"/>
  <c r="J608" i="6"/>
  <c r="J609" i="6"/>
  <c r="J610" i="6"/>
  <c r="J611" i="6"/>
  <c r="J612" i="6"/>
  <c r="J613" i="6"/>
  <c r="J614" i="6"/>
  <c r="J615" i="6"/>
  <c r="J616" i="6"/>
  <c r="J617" i="6"/>
  <c r="J618" i="6"/>
  <c r="J619" i="6"/>
  <c r="J620" i="6"/>
  <c r="J621" i="6"/>
  <c r="J622" i="6"/>
  <c r="J623" i="6"/>
  <c r="J624" i="6"/>
  <c r="J625" i="6"/>
  <c r="J626" i="6"/>
  <c r="J627" i="6"/>
  <c r="J628" i="6"/>
  <c r="J629" i="6"/>
  <c r="J630" i="6"/>
  <c r="J631" i="6"/>
  <c r="J632" i="6"/>
  <c r="J633" i="6"/>
  <c r="J634" i="6"/>
  <c r="J635" i="6"/>
  <c r="J636" i="6"/>
  <c r="J637" i="6"/>
  <c r="J638" i="6"/>
  <c r="J639" i="6"/>
  <c r="J640" i="6"/>
  <c r="J641" i="6"/>
  <c r="J642" i="6"/>
  <c r="J643" i="6"/>
  <c r="J644" i="6"/>
  <c r="J645" i="6"/>
  <c r="J646" i="6"/>
  <c r="J647" i="6"/>
  <c r="J648" i="6"/>
  <c r="J649" i="6"/>
  <c r="J650" i="6"/>
  <c r="J651" i="6"/>
  <c r="J652" i="6"/>
  <c r="J653" i="6"/>
  <c r="J654" i="6"/>
  <c r="J655" i="6"/>
  <c r="J656" i="6"/>
  <c r="J657" i="6"/>
  <c r="J658" i="6"/>
  <c r="J659" i="6"/>
  <c r="J660" i="6"/>
  <c r="J661" i="6"/>
  <c r="J662" i="6"/>
  <c r="J663" i="6"/>
  <c r="J664" i="6"/>
  <c r="J665" i="6"/>
  <c r="J666" i="6"/>
  <c r="J667" i="6"/>
  <c r="J668" i="6"/>
  <c r="J669" i="6"/>
  <c r="J670" i="6"/>
  <c r="J671" i="6"/>
  <c r="J672" i="6"/>
  <c r="J673" i="6"/>
  <c r="J674" i="6"/>
  <c r="J675" i="6"/>
  <c r="J676" i="6"/>
  <c r="J677" i="6"/>
  <c r="J678" i="6"/>
  <c r="J679" i="6"/>
  <c r="J680" i="6"/>
  <c r="J681" i="6"/>
  <c r="J682" i="6"/>
  <c r="J683" i="6"/>
  <c r="J684" i="6"/>
  <c r="J685" i="6"/>
  <c r="J686" i="6"/>
  <c r="J687" i="6"/>
  <c r="J688" i="6"/>
  <c r="J689" i="6"/>
  <c r="J690" i="6"/>
  <c r="J691" i="6"/>
  <c r="J692" i="6"/>
  <c r="J693" i="6"/>
  <c r="J694" i="6"/>
  <c r="J695" i="6"/>
  <c r="J696" i="6"/>
  <c r="J697" i="6"/>
  <c r="J698" i="6"/>
  <c r="J699" i="6"/>
  <c r="J700" i="6"/>
  <c r="J701" i="6"/>
  <c r="J702" i="6"/>
  <c r="J703" i="6"/>
  <c r="J704" i="6"/>
  <c r="J705" i="6"/>
  <c r="J706" i="6"/>
  <c r="J707" i="6"/>
  <c r="J708" i="6"/>
  <c r="J709" i="6"/>
  <c r="J710" i="6"/>
  <c r="J711" i="6"/>
  <c r="J712" i="6"/>
  <c r="J713" i="6"/>
  <c r="J714" i="6"/>
  <c r="J715" i="6"/>
  <c r="J716" i="6"/>
  <c r="J717" i="6"/>
  <c r="J718" i="6"/>
  <c r="J719" i="6"/>
  <c r="J720" i="6"/>
  <c r="J721" i="6"/>
  <c r="J722" i="6"/>
  <c r="J723" i="6"/>
  <c r="J724" i="6"/>
  <c r="J725" i="6"/>
  <c r="J726" i="6"/>
  <c r="J727" i="6"/>
  <c r="J728" i="6"/>
  <c r="J729" i="6"/>
  <c r="J730" i="6"/>
  <c r="J731" i="6"/>
  <c r="J732" i="6"/>
  <c r="J733" i="6"/>
  <c r="J734" i="6"/>
  <c r="J735" i="6"/>
  <c r="J736" i="6"/>
  <c r="J737" i="6"/>
  <c r="J738" i="6"/>
  <c r="J739" i="6"/>
  <c r="J740" i="6"/>
  <c r="J741" i="6"/>
  <c r="J742" i="6"/>
  <c r="J743" i="6"/>
  <c r="J744" i="6"/>
  <c r="J745" i="6"/>
  <c r="J746" i="6"/>
  <c r="J747" i="6"/>
  <c r="J748" i="6"/>
  <c r="J749" i="6"/>
  <c r="J750" i="6"/>
  <c r="J751" i="6"/>
  <c r="J752" i="6"/>
  <c r="J753" i="6"/>
  <c r="J754" i="6"/>
  <c r="J755" i="6"/>
  <c r="J756" i="6"/>
  <c r="J757" i="6"/>
  <c r="J758" i="6"/>
  <c r="J759" i="6"/>
  <c r="J760" i="6"/>
  <c r="J761" i="6"/>
  <c r="J762" i="6"/>
  <c r="J763" i="6"/>
  <c r="J764" i="6"/>
  <c r="J765" i="6"/>
  <c r="J766" i="6"/>
  <c r="J767" i="6"/>
  <c r="J768" i="6"/>
  <c r="J769" i="6"/>
  <c r="J770" i="6"/>
  <c r="J771" i="6"/>
  <c r="J772" i="6"/>
  <c r="J773" i="6"/>
  <c r="J774" i="6"/>
  <c r="J775" i="6"/>
  <c r="J776" i="6"/>
  <c r="J777" i="6"/>
  <c r="J778" i="6"/>
  <c r="J779" i="6"/>
  <c r="J780" i="6"/>
  <c r="J781" i="6"/>
  <c r="J782" i="6"/>
  <c r="J783" i="6"/>
  <c r="J784" i="6"/>
  <c r="J785" i="6"/>
  <c r="J786" i="6"/>
  <c r="J787" i="6"/>
  <c r="J788" i="6"/>
  <c r="J789" i="6"/>
  <c r="J790" i="6"/>
  <c r="J791" i="6"/>
  <c r="J792" i="6"/>
  <c r="J793" i="6"/>
  <c r="J794" i="6"/>
  <c r="J795" i="6"/>
  <c r="J796" i="6"/>
  <c r="J797" i="6"/>
  <c r="J798" i="6"/>
  <c r="J799" i="6"/>
  <c r="J800" i="6"/>
  <c r="J801" i="6"/>
  <c r="J802" i="6"/>
  <c r="J803" i="6"/>
  <c r="J804" i="6"/>
  <c r="J805" i="6"/>
  <c r="J806" i="6"/>
  <c r="J807" i="6"/>
  <c r="J808" i="6"/>
  <c r="J809" i="6"/>
  <c r="J810" i="6"/>
  <c r="J811" i="6"/>
  <c r="J812" i="6"/>
  <c r="J813" i="6"/>
  <c r="J814" i="6"/>
  <c r="J815" i="6"/>
  <c r="J816" i="6"/>
  <c r="J817" i="6"/>
  <c r="J818" i="6"/>
  <c r="J819" i="6"/>
  <c r="J820" i="6"/>
  <c r="J821" i="6"/>
  <c r="J822" i="6"/>
  <c r="J823" i="6"/>
  <c r="J824" i="6"/>
  <c r="J825" i="6"/>
  <c r="J826" i="6"/>
  <c r="J827" i="6"/>
  <c r="J828" i="6"/>
  <c r="J829" i="6"/>
  <c r="J830" i="6"/>
  <c r="J831" i="6"/>
  <c r="J832" i="6"/>
  <c r="J833" i="6"/>
  <c r="J834" i="6"/>
  <c r="J835" i="6"/>
  <c r="J836" i="6"/>
  <c r="J837" i="6"/>
  <c r="J838" i="6"/>
  <c r="J839" i="6"/>
  <c r="J840" i="6"/>
  <c r="J841" i="6"/>
  <c r="J842" i="6"/>
  <c r="J843" i="6"/>
  <c r="J844" i="6"/>
  <c r="J845" i="6"/>
  <c r="J846" i="6"/>
  <c r="J847" i="6"/>
  <c r="J848" i="6"/>
  <c r="J849" i="6"/>
  <c r="J850" i="6"/>
  <c r="J851" i="6"/>
  <c r="J852" i="6"/>
  <c r="J853" i="6"/>
  <c r="J854" i="6"/>
  <c r="J855" i="6"/>
  <c r="J856" i="6"/>
  <c r="J857" i="6"/>
  <c r="J858" i="6"/>
  <c r="J859" i="6"/>
  <c r="J860" i="6"/>
  <c r="J861" i="6"/>
  <c r="J862" i="6"/>
  <c r="J863" i="6"/>
  <c r="J864" i="6"/>
  <c r="J865" i="6"/>
  <c r="J866" i="6"/>
  <c r="J867" i="6"/>
  <c r="J868" i="6"/>
  <c r="J869" i="6"/>
  <c r="J870" i="6"/>
  <c r="J871" i="6"/>
  <c r="J872" i="6"/>
  <c r="J873" i="6"/>
  <c r="J874" i="6"/>
  <c r="J875" i="6"/>
  <c r="J876" i="6"/>
  <c r="J877" i="6"/>
  <c r="J878" i="6"/>
  <c r="J879" i="6"/>
  <c r="J880" i="6"/>
  <c r="J881" i="6"/>
  <c r="J882" i="6"/>
  <c r="J883" i="6"/>
  <c r="J884" i="6"/>
  <c r="J885" i="6"/>
  <c r="J886" i="6"/>
  <c r="J887" i="6"/>
  <c r="J888" i="6"/>
  <c r="J889" i="6"/>
  <c r="J890" i="6"/>
  <c r="J891" i="6"/>
  <c r="J892" i="6"/>
  <c r="J893" i="6"/>
  <c r="J894" i="6"/>
  <c r="J895" i="6"/>
  <c r="J896" i="6"/>
  <c r="J897" i="6"/>
  <c r="J898" i="6"/>
  <c r="J899" i="6"/>
  <c r="J900" i="6"/>
  <c r="J901" i="6"/>
  <c r="J902" i="6"/>
  <c r="J903" i="6"/>
  <c r="J904" i="6"/>
  <c r="J905" i="6"/>
  <c r="J906" i="6"/>
  <c r="J907" i="6"/>
  <c r="J908" i="6"/>
  <c r="J909" i="6"/>
  <c r="J910" i="6"/>
  <c r="J911" i="6"/>
  <c r="J912" i="6"/>
  <c r="J913" i="6"/>
  <c r="J914" i="6"/>
  <c r="J915" i="6"/>
  <c r="J916" i="6"/>
  <c r="J917" i="6"/>
  <c r="J918" i="6"/>
  <c r="J919" i="6"/>
  <c r="J920" i="6"/>
  <c r="J921" i="6"/>
  <c r="J922" i="6"/>
  <c r="J923" i="6"/>
  <c r="J924" i="6"/>
  <c r="J925" i="6"/>
  <c r="J926" i="6"/>
  <c r="J927" i="6"/>
  <c r="J928" i="6"/>
  <c r="J929" i="6"/>
  <c r="J930" i="6"/>
  <c r="J931" i="6"/>
  <c r="J932" i="6"/>
  <c r="J933" i="6"/>
  <c r="J934" i="6"/>
  <c r="J935" i="6"/>
  <c r="J936" i="6"/>
  <c r="J937" i="6"/>
  <c r="J938" i="6"/>
  <c r="J939" i="6"/>
  <c r="J940" i="6"/>
  <c r="J941" i="6"/>
  <c r="J942" i="6"/>
  <c r="J943" i="6"/>
  <c r="J944" i="6"/>
  <c r="J945" i="6"/>
  <c r="J946" i="6"/>
  <c r="J947" i="6"/>
  <c r="J948" i="6"/>
  <c r="J949" i="6"/>
  <c r="J950" i="6"/>
  <c r="J951" i="6"/>
  <c r="J952" i="6"/>
  <c r="J953" i="6"/>
  <c r="J954" i="6"/>
  <c r="J955" i="6"/>
  <c r="J956" i="6"/>
  <c r="J957" i="6"/>
  <c r="J958" i="6"/>
  <c r="J959" i="6"/>
  <c r="J960" i="6"/>
  <c r="J961" i="6"/>
  <c r="J962" i="6"/>
  <c r="J963" i="6"/>
  <c r="J964" i="6"/>
  <c r="J965" i="6"/>
  <c r="J966" i="6"/>
  <c r="J967" i="6"/>
  <c r="J968" i="6"/>
  <c r="J969" i="6"/>
  <c r="J970" i="6"/>
  <c r="J971" i="6"/>
  <c r="J972" i="6"/>
  <c r="J973" i="6"/>
  <c r="J974" i="6"/>
  <c r="J975" i="6"/>
  <c r="J976" i="6"/>
  <c r="J977" i="6"/>
  <c r="J978" i="6"/>
  <c r="J979" i="6"/>
  <c r="J980" i="6"/>
  <c r="J981" i="6"/>
  <c r="J982" i="6"/>
  <c r="J983" i="6"/>
  <c r="J984" i="6"/>
  <c r="J985" i="6"/>
  <c r="J986" i="6"/>
  <c r="J987" i="6"/>
  <c r="J988" i="6"/>
  <c r="J989" i="6"/>
  <c r="J990" i="6"/>
  <c r="J991" i="6"/>
  <c r="J992" i="6"/>
  <c r="J993" i="6"/>
  <c r="J994" i="6"/>
  <c r="J995" i="6"/>
  <c r="J996" i="6"/>
  <c r="J997" i="6"/>
  <c r="J998" i="6"/>
  <c r="J999" i="6"/>
  <c r="J1000" i="6"/>
  <c r="J1001" i="6"/>
  <c r="J1002" i="6"/>
  <c r="J1003" i="6"/>
  <c r="J1004" i="6"/>
  <c r="J1005" i="6"/>
  <c r="J1006" i="6"/>
  <c r="J1007" i="6"/>
  <c r="J1008" i="6"/>
  <c r="J1009" i="6"/>
  <c r="J1010" i="6"/>
  <c r="J1011" i="6"/>
  <c r="J1012" i="6"/>
  <c r="J1013" i="6"/>
  <c r="J1014" i="6"/>
  <c r="J1015" i="6"/>
  <c r="J1016" i="6"/>
  <c r="J1017" i="6"/>
  <c r="J1018" i="6"/>
  <c r="J1019" i="6"/>
  <c r="J1020" i="6"/>
  <c r="J1021" i="6"/>
  <c r="J1022" i="6"/>
  <c r="J1023" i="6"/>
  <c r="J1024" i="6"/>
  <c r="J1025" i="6"/>
  <c r="J1026" i="6"/>
  <c r="J1027" i="6"/>
  <c r="J1028" i="6"/>
  <c r="J1029" i="6"/>
  <c r="J1030" i="6"/>
  <c r="J1031" i="6"/>
  <c r="J1032" i="6"/>
  <c r="J1033" i="6"/>
  <c r="J1034" i="6"/>
  <c r="J1035" i="6"/>
  <c r="J1036" i="6"/>
  <c r="J1037" i="6"/>
  <c r="J1038" i="6"/>
  <c r="J1039" i="6"/>
  <c r="J1040" i="6"/>
  <c r="J1041" i="6"/>
  <c r="J1042" i="6"/>
  <c r="J1043" i="6"/>
  <c r="J1044" i="6"/>
  <c r="J1045" i="6"/>
  <c r="J1046" i="6"/>
  <c r="J1047" i="6"/>
  <c r="J1048" i="6"/>
  <c r="J1049" i="6"/>
  <c r="J1050" i="6"/>
  <c r="J1051" i="6"/>
  <c r="J1052" i="6"/>
  <c r="J1053" i="6"/>
  <c r="J1054" i="6"/>
  <c r="J1055" i="6"/>
  <c r="J1056" i="6"/>
  <c r="J1057" i="6"/>
  <c r="J1058" i="6"/>
  <c r="J1059" i="6"/>
  <c r="J1060" i="6"/>
  <c r="J1061" i="6"/>
  <c r="J1062" i="6"/>
  <c r="J1063" i="6"/>
  <c r="J1064" i="6"/>
  <c r="J1065" i="6"/>
  <c r="J1066" i="6"/>
  <c r="J1067" i="6"/>
  <c r="J1068" i="6"/>
  <c r="J1069" i="6"/>
  <c r="J1070" i="6"/>
  <c r="J1071" i="6"/>
  <c r="J1072" i="6"/>
  <c r="J1073" i="6"/>
  <c r="J1074" i="6"/>
  <c r="J1075" i="6"/>
  <c r="J1076" i="6"/>
  <c r="J1077" i="6"/>
  <c r="J1078" i="6"/>
  <c r="J1079" i="6"/>
  <c r="J1080" i="6"/>
  <c r="J1081" i="6"/>
  <c r="J1082" i="6"/>
  <c r="J1083" i="6"/>
  <c r="J1084" i="6"/>
  <c r="J1085" i="6"/>
  <c r="J1086" i="6"/>
  <c r="J1087" i="6"/>
  <c r="J1088" i="6"/>
  <c r="J1089" i="6"/>
  <c r="J1090" i="6"/>
  <c r="J1091" i="6"/>
  <c r="J1092" i="6"/>
  <c r="J1093" i="6"/>
  <c r="J1094" i="6"/>
  <c r="J1095" i="6"/>
  <c r="J1096" i="6"/>
  <c r="J1097" i="6"/>
  <c r="J1098" i="6"/>
  <c r="J1099" i="6"/>
  <c r="J1100" i="6"/>
  <c r="J1101" i="6"/>
  <c r="J1102" i="6"/>
  <c r="J1103" i="6"/>
  <c r="J1104" i="6"/>
  <c r="J1105" i="6"/>
  <c r="J1106" i="6"/>
  <c r="J1107" i="6"/>
  <c r="J1108" i="6"/>
  <c r="J1109" i="6"/>
  <c r="J1110" i="6"/>
  <c r="J1111" i="6"/>
  <c r="J1112" i="6"/>
  <c r="J1113" i="6"/>
  <c r="J1114" i="6"/>
  <c r="J1115" i="6"/>
  <c r="J1116" i="6"/>
  <c r="J1117" i="6"/>
  <c r="J1118" i="6"/>
  <c r="J1119" i="6"/>
  <c r="J1120" i="6"/>
  <c r="J1121" i="6"/>
  <c r="J1122" i="6"/>
  <c r="J1123" i="6"/>
  <c r="J1124" i="6"/>
  <c r="J1125" i="6"/>
  <c r="J1126" i="6"/>
  <c r="J1127" i="6"/>
  <c r="J1128" i="6"/>
  <c r="J1129" i="6"/>
  <c r="J1130" i="6"/>
  <c r="J1131" i="6"/>
  <c r="J1132" i="6"/>
  <c r="J1133" i="6"/>
  <c r="J1134" i="6"/>
  <c r="J1135" i="6"/>
  <c r="J1136" i="6"/>
  <c r="J1137" i="6"/>
  <c r="J1138" i="6"/>
  <c r="J1139" i="6"/>
  <c r="J1140" i="6"/>
  <c r="J1141" i="6"/>
  <c r="J1142" i="6"/>
  <c r="J1143" i="6"/>
  <c r="J1144" i="6"/>
  <c r="J1145" i="6"/>
  <c r="J1146" i="6"/>
  <c r="J1147" i="6"/>
  <c r="J1148" i="6"/>
  <c r="J1149" i="6"/>
  <c r="J1150" i="6"/>
  <c r="J1151" i="6"/>
  <c r="J1152" i="6"/>
  <c r="J1153" i="6"/>
  <c r="J1154" i="6"/>
  <c r="J1155" i="6"/>
  <c r="J1156" i="6"/>
  <c r="J1157" i="6"/>
  <c r="J1158" i="6"/>
  <c r="J1159" i="6"/>
  <c r="J1160" i="6"/>
  <c r="J1161" i="6"/>
  <c r="J1162" i="6"/>
  <c r="J1163" i="6"/>
  <c r="J1164" i="6"/>
  <c r="J1165" i="6"/>
  <c r="J1166" i="6"/>
  <c r="J1167" i="6"/>
  <c r="J1168" i="6"/>
  <c r="J1169" i="6"/>
  <c r="J1170" i="6"/>
  <c r="J1171" i="6"/>
  <c r="J1172" i="6"/>
  <c r="J1173" i="6"/>
  <c r="J1174" i="6"/>
  <c r="J1175" i="6"/>
  <c r="J1176" i="6"/>
  <c r="J1177" i="6"/>
  <c r="J1178" i="6"/>
  <c r="J1179" i="6"/>
  <c r="J1180" i="6"/>
  <c r="J1181" i="6"/>
  <c r="J1182" i="6"/>
  <c r="J1183" i="6"/>
  <c r="J1184" i="6"/>
  <c r="J1185" i="6"/>
  <c r="J1186" i="6"/>
  <c r="J1187" i="6"/>
  <c r="J1188" i="6"/>
  <c r="J1189" i="6"/>
  <c r="J1190" i="6"/>
  <c r="J1191" i="6"/>
  <c r="J1192" i="6"/>
  <c r="J1193" i="6"/>
  <c r="J1194" i="6"/>
  <c r="J1195" i="6"/>
  <c r="J1196" i="6"/>
  <c r="J1197" i="6"/>
  <c r="J1198" i="6"/>
  <c r="J1199" i="6"/>
  <c r="J1200" i="6"/>
  <c r="J1201" i="6"/>
  <c r="J1202" i="6"/>
  <c r="J1203" i="6"/>
  <c r="J1204" i="6"/>
  <c r="J1205" i="6"/>
  <c r="J1206" i="6"/>
  <c r="J1207" i="6"/>
  <c r="J1208" i="6"/>
  <c r="J1209" i="6"/>
  <c r="J1210" i="6"/>
  <c r="J1211" i="6"/>
  <c r="J1212" i="6"/>
  <c r="J1213" i="6"/>
  <c r="J1214" i="6"/>
  <c r="J1215" i="6"/>
  <c r="J1216" i="6"/>
  <c r="J1217" i="6"/>
  <c r="J1218" i="6"/>
  <c r="J1219" i="6"/>
  <c r="J1220" i="6"/>
  <c r="J1221" i="6"/>
  <c r="J1222" i="6"/>
  <c r="J1223" i="6"/>
  <c r="J1224" i="6"/>
  <c r="J1225" i="6"/>
  <c r="J1226" i="6"/>
  <c r="J1227" i="6"/>
  <c r="J1228" i="6"/>
  <c r="J1229" i="6"/>
  <c r="J1230" i="6"/>
  <c r="J1231" i="6"/>
  <c r="J1232" i="6"/>
  <c r="J1233" i="6"/>
  <c r="J1234" i="6"/>
  <c r="J1235" i="6"/>
  <c r="J1236" i="6"/>
  <c r="J1237" i="6"/>
  <c r="J1238" i="6"/>
  <c r="J1239" i="6"/>
  <c r="J1240" i="6"/>
  <c r="J1241" i="6"/>
  <c r="J1242" i="6"/>
  <c r="J1243" i="6"/>
  <c r="J1244" i="6"/>
  <c r="J1245" i="6"/>
  <c r="J1246" i="6"/>
  <c r="J1247" i="6"/>
  <c r="J1248" i="6"/>
  <c r="J1249" i="6"/>
  <c r="J1250" i="6"/>
  <c r="J1251" i="6"/>
  <c r="J1252" i="6"/>
  <c r="J1253" i="6"/>
  <c r="J1254" i="6"/>
  <c r="J1255" i="6"/>
  <c r="J1256" i="6"/>
  <c r="J1257" i="6"/>
  <c r="J1258" i="6"/>
  <c r="J1259" i="6"/>
  <c r="J1260" i="6"/>
  <c r="J1261" i="6"/>
  <c r="J1262" i="6"/>
  <c r="J1263" i="6"/>
  <c r="J1264" i="6"/>
  <c r="J1265" i="6"/>
  <c r="J1266" i="6"/>
  <c r="J1267" i="6"/>
  <c r="J1268" i="6"/>
  <c r="J1269" i="6"/>
  <c r="J1270" i="6"/>
  <c r="J1271" i="6"/>
  <c r="J1272" i="6"/>
  <c r="J1273" i="6"/>
  <c r="J1274" i="6"/>
  <c r="J1275" i="6"/>
  <c r="J1276" i="6"/>
  <c r="J1277" i="6"/>
  <c r="J1278" i="6"/>
  <c r="J1279" i="6"/>
  <c r="J1280" i="6"/>
  <c r="J1281" i="6"/>
  <c r="J1282" i="6"/>
  <c r="J1283" i="6"/>
  <c r="J1284" i="6"/>
  <c r="J1285" i="6"/>
  <c r="J1286" i="6"/>
  <c r="J1287" i="6"/>
  <c r="J1288" i="6"/>
  <c r="J1289" i="6"/>
  <c r="J1290" i="6"/>
  <c r="J1291" i="6"/>
  <c r="J1292" i="6"/>
  <c r="J1293" i="6"/>
  <c r="J1294" i="6"/>
  <c r="J1295" i="6"/>
  <c r="J1296" i="6"/>
  <c r="J1297" i="6"/>
  <c r="J1298" i="6"/>
  <c r="J1299" i="6"/>
  <c r="J1300" i="6"/>
  <c r="J1301" i="6"/>
  <c r="J1302" i="6"/>
  <c r="J1303" i="6"/>
  <c r="J1304" i="6"/>
  <c r="J1305" i="6"/>
  <c r="J1306" i="6"/>
  <c r="J1307" i="6"/>
  <c r="J1308" i="6"/>
  <c r="J1309" i="6"/>
  <c r="J1310" i="6"/>
  <c r="J1311" i="6"/>
  <c r="J1312" i="6"/>
  <c r="J1313" i="6"/>
  <c r="J1314" i="6"/>
  <c r="J1315" i="6"/>
  <c r="J1316" i="6"/>
  <c r="J1317" i="6"/>
  <c r="J1318" i="6"/>
  <c r="J1319" i="6"/>
  <c r="J1320" i="6"/>
  <c r="J1321" i="6"/>
  <c r="J1322" i="6"/>
  <c r="J1323" i="6"/>
  <c r="J1324" i="6"/>
  <c r="J1325" i="6"/>
  <c r="J1326" i="6"/>
  <c r="J1327" i="6"/>
  <c r="J1328" i="6"/>
  <c r="J1329" i="6"/>
  <c r="J1330" i="6"/>
  <c r="J1331" i="6"/>
  <c r="J1332" i="6"/>
  <c r="J1333" i="6"/>
  <c r="J1334" i="6"/>
  <c r="J1335" i="6"/>
  <c r="J1336" i="6"/>
  <c r="J1337" i="6"/>
  <c r="J1338" i="6"/>
  <c r="J1339" i="6"/>
  <c r="J1340" i="6"/>
  <c r="J1341" i="6"/>
  <c r="J1342" i="6"/>
  <c r="J1343" i="6"/>
  <c r="J1344" i="6"/>
  <c r="J1345" i="6"/>
  <c r="J1346" i="6"/>
  <c r="J1347" i="6"/>
  <c r="J1348" i="6"/>
  <c r="J1349" i="6"/>
  <c r="J1350" i="6"/>
  <c r="J1351" i="6"/>
  <c r="J1352" i="6"/>
  <c r="J1353" i="6"/>
  <c r="J1354" i="6"/>
  <c r="J1355" i="6"/>
  <c r="J1356" i="6"/>
  <c r="J1357" i="6"/>
  <c r="J1358" i="6"/>
  <c r="J1359" i="6"/>
  <c r="J1360" i="6"/>
  <c r="J1361" i="6"/>
  <c r="J1362" i="6"/>
  <c r="J1363" i="6"/>
  <c r="J1364" i="6"/>
  <c r="J1365" i="6"/>
  <c r="J1366" i="6"/>
  <c r="J1367" i="6"/>
  <c r="J1368" i="6"/>
  <c r="J1369" i="6"/>
  <c r="J1370" i="6"/>
  <c r="J1371" i="6"/>
  <c r="J1372" i="6"/>
  <c r="J1373" i="6"/>
  <c r="J1374" i="6"/>
  <c r="J1375" i="6"/>
  <c r="J1376" i="6"/>
  <c r="J1377" i="6"/>
  <c r="J1378" i="6"/>
  <c r="J1379" i="6"/>
  <c r="J1380" i="6"/>
  <c r="J1381" i="6"/>
  <c r="J1382" i="6"/>
  <c r="J1383" i="6"/>
  <c r="J1384" i="6"/>
  <c r="J1385" i="6"/>
  <c r="J1386" i="6"/>
  <c r="J1387" i="6"/>
  <c r="J1388" i="6"/>
  <c r="J1389" i="6"/>
  <c r="J1390" i="6"/>
  <c r="J1391" i="6"/>
  <c r="J1392" i="6"/>
  <c r="J1393" i="6"/>
  <c r="J1394" i="6"/>
  <c r="J1395" i="6"/>
  <c r="J1396" i="6"/>
  <c r="J1397" i="6"/>
  <c r="J1398" i="6"/>
  <c r="J1399" i="6"/>
  <c r="J1400" i="6"/>
  <c r="J1401" i="6"/>
  <c r="J1402" i="6"/>
  <c r="J1403" i="6"/>
  <c r="J1404" i="6"/>
  <c r="J1405" i="6"/>
  <c r="J1406" i="6"/>
  <c r="J1407" i="6"/>
  <c r="J1408" i="6"/>
  <c r="J1409" i="6"/>
  <c r="J1410" i="6"/>
  <c r="J1411" i="6"/>
  <c r="J1412" i="6"/>
  <c r="J1413" i="6"/>
  <c r="J1414" i="6"/>
  <c r="J1415" i="6"/>
  <c r="J1416" i="6"/>
  <c r="J1417" i="6"/>
  <c r="J1418" i="6"/>
  <c r="J1419" i="6"/>
  <c r="J1420" i="6"/>
  <c r="J1421" i="6"/>
  <c r="J1422" i="6"/>
  <c r="J1423" i="6"/>
  <c r="J1424" i="6"/>
  <c r="J1425" i="6"/>
  <c r="J1426" i="6"/>
  <c r="J1427" i="6"/>
  <c r="J1428" i="6"/>
  <c r="J1429" i="6"/>
  <c r="J1430" i="6"/>
  <c r="J1431" i="6"/>
  <c r="J1432" i="6"/>
  <c r="J1433" i="6"/>
  <c r="J1434" i="6"/>
  <c r="J1435" i="6"/>
  <c r="J1436" i="6"/>
  <c r="J1437" i="6"/>
  <c r="J1438" i="6"/>
  <c r="J1439" i="6"/>
  <c r="J1440" i="6"/>
  <c r="J1441" i="6"/>
  <c r="J1442" i="6"/>
  <c r="J1443" i="6"/>
  <c r="J1444" i="6"/>
  <c r="J1445" i="6"/>
  <c r="J1446" i="6"/>
  <c r="J1447" i="6"/>
  <c r="J1448" i="6"/>
  <c r="J1449" i="6"/>
  <c r="J1450" i="6"/>
  <c r="J1451" i="6"/>
  <c r="J1452" i="6"/>
  <c r="J1453" i="6"/>
  <c r="J1454" i="6"/>
  <c r="J1455" i="6"/>
  <c r="J1456" i="6"/>
  <c r="J1457" i="6"/>
  <c r="J1458" i="6"/>
  <c r="J1459" i="6"/>
  <c r="J1460" i="6"/>
  <c r="J1461" i="6"/>
  <c r="J1462" i="6"/>
  <c r="J1463" i="6"/>
  <c r="J1464" i="6"/>
  <c r="J1465" i="6"/>
  <c r="J1466" i="6"/>
  <c r="J1467" i="6"/>
  <c r="J1468" i="6"/>
  <c r="J1469" i="6"/>
  <c r="J1470" i="6"/>
  <c r="J1471" i="6"/>
  <c r="J1472" i="6"/>
  <c r="J1473" i="6"/>
  <c r="J1474" i="6"/>
  <c r="J1475" i="6"/>
  <c r="J1476" i="6"/>
  <c r="J1477" i="6"/>
  <c r="J1478" i="6"/>
  <c r="J1479" i="6"/>
  <c r="J1480" i="6"/>
  <c r="J1481" i="6"/>
  <c r="J1482" i="6"/>
  <c r="J1483" i="6"/>
  <c r="J1484" i="6"/>
  <c r="J1485" i="6"/>
  <c r="J1486" i="6"/>
  <c r="J1487" i="6"/>
  <c r="J1488" i="6"/>
  <c r="J1489" i="6"/>
  <c r="J1490" i="6"/>
  <c r="J1491" i="6"/>
  <c r="J1492" i="6"/>
  <c r="J1493" i="6"/>
  <c r="J1494" i="6"/>
  <c r="J1495" i="6"/>
  <c r="J1496" i="6"/>
  <c r="J1497" i="6"/>
  <c r="J1498" i="6"/>
  <c r="J1499" i="6"/>
  <c r="J1500" i="6"/>
  <c r="J1501" i="6"/>
  <c r="J1502" i="6"/>
  <c r="J1503" i="6"/>
  <c r="J1504" i="6"/>
  <c r="J1505" i="6"/>
  <c r="J1506" i="6"/>
  <c r="J1507" i="6"/>
  <c r="J1508" i="6"/>
  <c r="J1509" i="6"/>
  <c r="J1510" i="6"/>
  <c r="J1511" i="6"/>
  <c r="J1512" i="6"/>
  <c r="J1513" i="6"/>
  <c r="J1514" i="6"/>
  <c r="J1515" i="6"/>
  <c r="J1516" i="6"/>
  <c r="J1517" i="6"/>
  <c r="J1518" i="6"/>
  <c r="J1519" i="6"/>
  <c r="J1520" i="6"/>
  <c r="J1521" i="6"/>
  <c r="J1522" i="6"/>
  <c r="J1523" i="6"/>
  <c r="J1524" i="6"/>
  <c r="J1525" i="6"/>
  <c r="J1526" i="6"/>
  <c r="J1527" i="6"/>
  <c r="J1528" i="6"/>
  <c r="J1529" i="6"/>
  <c r="J1530" i="6"/>
  <c r="J1531" i="6"/>
  <c r="J1532" i="6"/>
  <c r="J1533" i="6"/>
  <c r="J1534" i="6"/>
  <c r="J1535" i="6"/>
  <c r="J1536" i="6"/>
  <c r="J1537" i="6"/>
  <c r="J1538" i="6"/>
  <c r="J1539" i="6"/>
  <c r="J1540" i="6"/>
  <c r="J1541" i="6"/>
  <c r="J1542" i="6"/>
  <c r="J1543" i="6"/>
  <c r="J1544" i="6"/>
  <c r="J1545" i="6"/>
  <c r="J1546" i="6"/>
  <c r="J1547" i="6"/>
  <c r="J1548" i="6"/>
  <c r="J1549" i="6"/>
  <c r="J1550" i="6"/>
  <c r="J1551" i="6"/>
  <c r="J1552" i="6"/>
  <c r="J1553" i="6"/>
  <c r="J1554" i="6"/>
  <c r="J1555" i="6"/>
  <c r="J1556" i="6"/>
  <c r="J1557" i="6"/>
  <c r="J1558" i="6"/>
  <c r="J1559" i="6"/>
  <c r="J1560" i="6"/>
  <c r="J1561" i="6"/>
  <c r="J1562" i="6"/>
  <c r="J1563" i="6"/>
  <c r="J1564" i="6"/>
  <c r="J1565" i="6"/>
  <c r="J1566" i="6"/>
  <c r="J1567" i="6"/>
  <c r="J1568" i="6"/>
  <c r="J1569" i="6"/>
  <c r="J1570" i="6"/>
  <c r="J1571" i="6"/>
  <c r="J1572" i="6"/>
  <c r="J1573" i="6"/>
  <c r="J1574" i="6"/>
  <c r="J1575" i="6"/>
  <c r="J1576" i="6"/>
  <c r="J1577" i="6"/>
  <c r="J1578" i="6"/>
  <c r="J1579" i="6"/>
  <c r="J1580" i="6"/>
  <c r="J1581" i="6"/>
  <c r="J1582" i="6"/>
  <c r="J1583" i="6"/>
  <c r="J1584" i="6"/>
  <c r="J1585" i="6"/>
  <c r="J1586" i="6"/>
  <c r="J1587" i="6"/>
  <c r="J1588" i="6"/>
  <c r="J1589" i="6"/>
  <c r="J1590" i="6"/>
  <c r="J1591" i="6"/>
  <c r="J1592" i="6"/>
  <c r="J1593" i="6"/>
  <c r="J1594" i="6"/>
  <c r="J1595" i="6"/>
  <c r="J1596" i="6"/>
  <c r="J1597" i="6"/>
  <c r="J1598" i="6"/>
  <c r="J1599" i="6"/>
  <c r="J1600" i="6"/>
  <c r="J1601" i="6"/>
  <c r="J1602" i="6"/>
  <c r="J1603" i="6"/>
  <c r="J1604" i="6"/>
  <c r="J1605" i="6"/>
  <c r="J1606" i="6"/>
  <c r="J1607" i="6"/>
  <c r="J1608" i="6"/>
  <c r="J1609" i="6"/>
  <c r="J1610" i="6"/>
  <c r="J1611" i="6"/>
  <c r="J1612" i="6"/>
  <c r="J1613" i="6"/>
  <c r="J1614" i="6"/>
  <c r="J1615" i="6"/>
  <c r="J1616" i="6"/>
  <c r="J1617" i="6"/>
  <c r="J1618" i="6"/>
  <c r="J1619" i="6"/>
  <c r="J1620" i="6"/>
  <c r="J1621" i="6"/>
  <c r="J1622" i="6"/>
  <c r="J1623" i="6"/>
  <c r="J1624" i="6"/>
  <c r="J1625" i="6"/>
  <c r="J1626" i="6"/>
  <c r="J1627" i="6"/>
  <c r="J1628" i="6"/>
  <c r="J1629" i="6"/>
  <c r="J1630" i="6"/>
  <c r="J1631" i="6"/>
  <c r="J1632" i="6"/>
  <c r="J1633" i="6"/>
  <c r="J1634" i="6"/>
  <c r="J1635" i="6"/>
  <c r="J1636" i="6"/>
  <c r="J1637" i="6"/>
  <c r="J1638" i="6"/>
  <c r="J1639" i="6"/>
  <c r="J1640" i="6"/>
  <c r="J1641" i="6"/>
  <c r="J1642" i="6"/>
  <c r="J1643" i="6"/>
  <c r="J1644" i="6"/>
  <c r="J1645" i="6"/>
  <c r="J1646" i="6"/>
  <c r="J1647" i="6"/>
  <c r="J1648" i="6"/>
  <c r="J1649" i="6"/>
  <c r="J1650" i="6"/>
  <c r="J1651" i="6"/>
  <c r="J1652" i="6"/>
  <c r="J1653" i="6"/>
  <c r="J1654" i="6"/>
  <c r="J1655" i="6"/>
  <c r="J1656" i="6"/>
  <c r="J1657" i="6"/>
  <c r="J1658" i="6"/>
  <c r="J1659" i="6"/>
  <c r="J1660" i="6"/>
  <c r="J1661" i="6"/>
  <c r="J1662" i="6"/>
  <c r="J1663" i="6"/>
  <c r="J1664" i="6"/>
  <c r="J1665" i="6"/>
  <c r="J1666" i="6"/>
  <c r="J1667" i="6"/>
  <c r="J1668" i="6"/>
  <c r="J1669" i="6"/>
  <c r="J1670" i="6"/>
  <c r="J1671" i="6"/>
  <c r="J1672" i="6"/>
  <c r="J1673" i="6"/>
  <c r="J1674" i="6"/>
  <c r="J1675" i="6"/>
  <c r="J1676" i="6"/>
  <c r="J1677" i="6"/>
  <c r="J1678" i="6"/>
  <c r="J1679" i="6"/>
  <c r="J1680" i="6"/>
  <c r="J1681" i="6"/>
  <c r="J1682" i="6"/>
  <c r="J1683" i="6"/>
  <c r="J1684" i="6"/>
  <c r="J1685" i="6"/>
  <c r="J1686" i="6"/>
  <c r="J1687" i="6"/>
  <c r="J1688" i="6"/>
  <c r="J1689" i="6"/>
  <c r="J1690" i="6"/>
  <c r="J1691" i="6"/>
  <c r="J1692" i="6"/>
  <c r="J1693" i="6"/>
  <c r="J1694" i="6"/>
  <c r="J1695" i="6"/>
  <c r="J1696" i="6"/>
  <c r="J1697" i="6"/>
  <c r="J1698" i="6"/>
  <c r="J1699" i="6"/>
  <c r="J1700" i="6"/>
  <c r="J1701" i="6"/>
  <c r="J1702" i="6"/>
  <c r="J1703" i="6"/>
  <c r="J1704" i="6"/>
  <c r="J1705" i="6"/>
  <c r="J1706" i="6"/>
  <c r="J1707" i="6"/>
  <c r="J1708" i="6"/>
  <c r="J1709" i="6"/>
  <c r="J1710" i="6"/>
  <c r="J1711" i="6"/>
  <c r="J1712" i="6"/>
  <c r="J1713" i="6"/>
  <c r="J1714" i="6"/>
  <c r="J1715" i="6"/>
  <c r="J1716" i="6"/>
  <c r="J1717" i="6"/>
  <c r="J1718" i="6"/>
  <c r="J1719" i="6"/>
  <c r="J1720" i="6"/>
  <c r="J1721" i="6"/>
  <c r="J1722" i="6"/>
  <c r="J1723" i="6"/>
  <c r="J1724" i="6"/>
  <c r="J1725" i="6"/>
  <c r="J1726" i="6"/>
  <c r="J1727" i="6"/>
  <c r="J1728" i="6"/>
  <c r="J1729" i="6"/>
  <c r="J1730" i="6"/>
  <c r="J1731" i="6"/>
  <c r="J1732" i="6"/>
  <c r="J1733" i="6"/>
  <c r="J1734" i="6"/>
  <c r="J1735" i="6"/>
  <c r="J1736" i="6"/>
  <c r="J1737" i="6"/>
  <c r="J1738" i="6"/>
  <c r="J1739" i="6"/>
  <c r="J1740" i="6"/>
  <c r="J1741" i="6"/>
  <c r="J1742" i="6"/>
  <c r="J1743" i="6"/>
  <c r="J1744" i="6"/>
  <c r="J1745" i="6"/>
  <c r="J1746" i="6"/>
  <c r="J1747" i="6"/>
  <c r="J1748" i="6"/>
  <c r="J1749" i="6"/>
  <c r="J1750" i="6"/>
  <c r="J1751" i="6"/>
  <c r="J1752" i="6"/>
  <c r="J1753" i="6"/>
  <c r="J1754" i="6"/>
  <c r="J1755" i="6"/>
  <c r="J1756" i="6"/>
  <c r="J1757" i="6"/>
  <c r="J1758" i="6"/>
  <c r="J1759" i="6"/>
  <c r="J1760" i="6"/>
  <c r="J1761" i="6"/>
  <c r="J1762" i="6"/>
  <c r="J1763" i="6"/>
  <c r="J1764" i="6"/>
  <c r="J1765" i="6"/>
  <c r="J1766" i="6"/>
  <c r="J1767" i="6"/>
  <c r="J1768" i="6"/>
  <c r="J1769" i="6"/>
  <c r="J1770" i="6"/>
  <c r="J1771" i="6"/>
  <c r="J1772" i="6"/>
  <c r="J1773" i="6"/>
  <c r="J1774" i="6"/>
  <c r="J1775" i="6"/>
  <c r="J1776" i="6"/>
  <c r="J1777" i="6"/>
  <c r="J1778" i="6"/>
  <c r="J1779" i="6"/>
  <c r="J1780" i="6"/>
  <c r="J1781" i="6"/>
  <c r="J1782" i="6"/>
  <c r="J1783" i="6"/>
  <c r="J1784" i="6"/>
  <c r="J1785" i="6"/>
  <c r="J1786" i="6"/>
  <c r="J1787" i="6"/>
  <c r="J1788" i="6"/>
  <c r="J1789" i="6"/>
  <c r="J1790" i="6"/>
  <c r="J1791" i="6"/>
  <c r="J1792" i="6"/>
  <c r="J1793" i="6"/>
  <c r="J1794" i="6"/>
  <c r="J1795" i="6"/>
  <c r="J1796" i="6"/>
  <c r="J1797" i="6"/>
  <c r="J1798" i="6"/>
  <c r="J1799" i="6"/>
  <c r="J1800" i="6"/>
  <c r="J1801" i="6"/>
  <c r="J1802" i="6"/>
  <c r="J1803" i="6"/>
  <c r="J1804" i="6"/>
  <c r="J1805" i="6"/>
  <c r="J1806" i="6"/>
  <c r="J1807" i="6"/>
  <c r="J1808" i="6"/>
  <c r="J1809" i="6"/>
  <c r="J1810" i="6"/>
  <c r="J1811" i="6"/>
  <c r="J1812" i="6"/>
  <c r="J1813" i="6"/>
  <c r="J1814" i="6"/>
  <c r="J1815" i="6"/>
  <c r="J1816" i="6"/>
  <c r="J1817" i="6"/>
  <c r="J1818" i="6"/>
  <c r="J1819" i="6"/>
  <c r="J1820" i="6"/>
  <c r="J1821" i="6"/>
  <c r="J1822" i="6"/>
  <c r="J1823" i="6"/>
  <c r="J1824" i="6"/>
  <c r="J1825" i="6"/>
  <c r="J1826" i="6"/>
  <c r="J1827" i="6"/>
  <c r="J1828" i="6"/>
  <c r="J1829" i="6"/>
  <c r="J1830" i="6"/>
  <c r="J1831" i="6"/>
  <c r="J1832" i="6"/>
  <c r="J1833" i="6"/>
  <c r="J1834" i="6"/>
  <c r="J1835" i="6"/>
  <c r="J1836" i="6"/>
  <c r="J1837" i="6"/>
  <c r="J1838" i="6"/>
  <c r="J1839" i="6"/>
  <c r="J1840" i="6"/>
  <c r="J1841" i="6"/>
  <c r="J1842" i="6"/>
  <c r="J1843" i="6"/>
  <c r="J1844" i="6"/>
  <c r="J1845" i="6"/>
  <c r="J1846" i="6"/>
  <c r="J1847" i="6"/>
  <c r="J1848" i="6"/>
  <c r="J1849" i="6"/>
  <c r="J1850" i="6"/>
  <c r="J1851" i="6"/>
  <c r="J1852" i="6"/>
  <c r="J1853" i="6"/>
  <c r="J1854" i="6"/>
  <c r="J1855" i="6"/>
  <c r="J1856" i="6"/>
  <c r="J1857" i="6"/>
  <c r="J1858" i="6"/>
  <c r="J1859" i="6"/>
  <c r="J1860" i="6"/>
  <c r="J1861" i="6"/>
  <c r="J1862" i="6"/>
  <c r="J1863" i="6"/>
  <c r="J1864" i="6"/>
  <c r="J1865" i="6"/>
  <c r="J1866" i="6"/>
  <c r="J1867" i="6"/>
  <c r="J1868" i="6"/>
  <c r="J1869" i="6"/>
  <c r="J1870" i="6"/>
  <c r="J1871" i="6"/>
  <c r="J1872" i="6"/>
  <c r="J1873" i="6"/>
  <c r="J1874" i="6"/>
  <c r="J1875" i="6"/>
  <c r="J1876" i="6"/>
  <c r="J1877" i="6"/>
  <c r="J1878" i="6"/>
  <c r="J1879" i="6"/>
  <c r="J1880" i="6"/>
  <c r="J1881" i="6"/>
  <c r="J1882" i="6"/>
  <c r="J1883" i="6"/>
  <c r="J1884" i="6"/>
  <c r="J1885" i="6"/>
  <c r="J1886" i="6"/>
  <c r="J1887" i="6"/>
  <c r="J1888" i="6"/>
  <c r="J1889" i="6"/>
  <c r="J1890" i="6"/>
  <c r="J1891" i="6"/>
  <c r="J1892" i="6"/>
  <c r="J1893" i="6"/>
  <c r="J1894" i="6"/>
  <c r="J1895" i="6"/>
  <c r="J1896" i="6"/>
  <c r="J1897" i="6"/>
  <c r="J1898" i="6"/>
  <c r="J1899" i="6"/>
  <c r="J1900" i="6"/>
  <c r="J1901" i="6"/>
  <c r="J1902" i="6"/>
  <c r="J1903" i="6"/>
  <c r="J1904" i="6"/>
  <c r="J1905" i="6"/>
  <c r="J1906" i="6"/>
  <c r="J1907" i="6"/>
  <c r="J1908" i="6"/>
  <c r="J1909" i="6"/>
  <c r="J1910" i="6"/>
  <c r="J1911" i="6"/>
  <c r="J1912" i="6"/>
  <c r="J1913" i="6"/>
  <c r="J1914" i="6"/>
  <c r="J1915" i="6"/>
  <c r="J1916" i="6"/>
  <c r="J1917" i="6"/>
  <c r="J1918" i="6"/>
  <c r="J1919" i="6"/>
  <c r="J1920" i="6"/>
  <c r="J1921" i="6"/>
  <c r="J1922" i="6"/>
  <c r="J1923" i="6"/>
  <c r="J1924" i="6"/>
  <c r="J1925" i="6"/>
  <c r="J1926" i="6"/>
  <c r="J1927" i="6"/>
  <c r="J1928" i="6"/>
  <c r="J1929" i="6"/>
  <c r="J1930" i="6"/>
  <c r="J1931" i="6"/>
  <c r="J1932" i="6"/>
  <c r="J1933" i="6"/>
  <c r="J1934" i="6"/>
  <c r="J1935" i="6"/>
  <c r="J1936" i="6"/>
  <c r="J1937" i="6"/>
  <c r="J1938" i="6"/>
  <c r="J1939" i="6"/>
  <c r="J1940" i="6"/>
  <c r="J1941" i="6"/>
  <c r="J1942" i="6"/>
  <c r="J1943" i="6"/>
  <c r="J1944" i="6"/>
  <c r="J1945" i="6"/>
  <c r="J1946" i="6"/>
  <c r="J1947" i="6"/>
  <c r="J1948" i="6"/>
  <c r="J1949" i="6"/>
  <c r="J1950" i="6"/>
  <c r="J1951" i="6"/>
  <c r="J1952" i="6"/>
  <c r="J1953" i="6"/>
  <c r="J1954" i="6"/>
  <c r="J1955" i="6"/>
  <c r="J1956" i="6"/>
  <c r="J1957" i="6"/>
  <c r="J1958" i="6"/>
  <c r="J1959" i="6"/>
  <c r="J1960" i="6"/>
  <c r="J1961" i="6"/>
  <c r="J1962" i="6"/>
  <c r="J1963" i="6"/>
  <c r="J1964" i="6"/>
  <c r="J1965" i="6"/>
  <c r="J1966" i="6"/>
  <c r="J1967" i="6"/>
  <c r="J1968" i="6"/>
  <c r="J1969" i="6"/>
  <c r="J1970" i="6"/>
  <c r="J1971" i="6"/>
  <c r="J1972" i="6"/>
  <c r="J1973" i="6"/>
  <c r="J1974" i="6"/>
  <c r="J1975" i="6"/>
  <c r="J1976" i="6"/>
  <c r="J1977" i="6"/>
  <c r="J1978" i="6"/>
  <c r="J1979" i="6"/>
  <c r="J1980" i="6"/>
  <c r="J1981" i="6"/>
  <c r="J1982" i="6"/>
  <c r="J1983" i="6"/>
  <c r="J1984" i="6"/>
  <c r="J1985" i="6"/>
  <c r="J1986" i="6"/>
  <c r="J1987" i="6"/>
  <c r="J1988" i="6"/>
  <c r="J1989" i="6"/>
  <c r="J1990" i="6"/>
  <c r="J1991" i="6"/>
  <c r="J1992" i="6"/>
  <c r="J1993" i="6"/>
  <c r="J1994" i="6"/>
  <c r="J1995" i="6"/>
  <c r="J1996" i="6"/>
  <c r="J1997" i="6"/>
  <c r="J1998" i="6"/>
  <c r="J1999" i="6"/>
  <c r="J2000" i="6"/>
  <c r="J2001" i="6"/>
  <c r="J2002" i="6"/>
  <c r="J2003" i="6"/>
  <c r="J2004" i="6"/>
  <c r="J2005" i="6"/>
  <c r="J2006" i="6"/>
  <c r="J2007" i="6"/>
  <c r="J2008" i="6"/>
  <c r="J2009" i="6"/>
  <c r="J2010" i="6"/>
  <c r="J2011" i="6"/>
  <c r="J2012" i="6"/>
  <c r="J2013" i="6"/>
  <c r="J2014" i="6"/>
  <c r="J2015" i="6"/>
  <c r="J2016" i="6"/>
  <c r="J2017" i="6"/>
  <c r="J2018" i="6"/>
  <c r="J2019" i="6"/>
  <c r="J2020" i="6"/>
  <c r="J2021" i="6"/>
  <c r="J2022" i="6"/>
  <c r="J2023" i="6"/>
  <c r="J2024" i="6"/>
  <c r="J2025" i="6"/>
  <c r="J2026" i="6"/>
  <c r="J2027" i="6"/>
  <c r="J2028" i="6"/>
  <c r="J2029" i="6"/>
  <c r="J2030" i="6"/>
  <c r="J2031" i="6"/>
  <c r="J2032" i="6"/>
  <c r="J2033" i="6"/>
  <c r="J2034" i="6"/>
  <c r="J2035" i="6"/>
  <c r="J2036" i="6"/>
  <c r="J2037" i="6"/>
  <c r="J2038" i="6"/>
  <c r="J2039" i="6"/>
  <c r="J2040" i="6"/>
  <c r="J2041" i="6"/>
  <c r="J2042" i="6"/>
  <c r="J2043" i="6"/>
  <c r="J2044" i="6"/>
  <c r="J2045" i="6"/>
  <c r="J2046" i="6"/>
  <c r="J2047" i="6"/>
  <c r="J2048" i="6"/>
  <c r="J2049" i="6"/>
  <c r="J2050" i="6"/>
  <c r="J2051" i="6"/>
  <c r="J2052" i="6"/>
  <c r="J2053" i="6"/>
  <c r="J2054" i="6"/>
  <c r="J2055" i="6"/>
  <c r="J2056" i="6"/>
  <c r="J2057" i="6"/>
  <c r="J2058" i="6"/>
  <c r="J2059" i="6"/>
  <c r="J2060" i="6"/>
  <c r="J2061" i="6"/>
  <c r="J2062" i="6"/>
  <c r="J2063" i="6"/>
  <c r="J2064" i="6"/>
  <c r="J2065" i="6"/>
  <c r="J2066" i="6"/>
  <c r="J2067" i="6"/>
  <c r="J2068" i="6"/>
  <c r="J2069" i="6"/>
  <c r="J2070" i="6"/>
  <c r="J2071" i="6"/>
  <c r="J2072" i="6"/>
  <c r="J2073" i="6"/>
  <c r="J2074" i="6"/>
  <c r="J2075" i="6"/>
  <c r="J2076" i="6"/>
  <c r="J2077" i="6"/>
  <c r="J2078" i="6"/>
  <c r="J2079" i="6"/>
  <c r="J2080" i="6"/>
  <c r="J2081" i="6"/>
  <c r="J2082" i="6"/>
  <c r="J2083" i="6"/>
  <c r="J2084" i="6"/>
  <c r="J2085" i="6"/>
  <c r="J2086" i="6"/>
  <c r="J2087" i="6"/>
  <c r="J2088" i="6"/>
  <c r="J2089" i="6"/>
  <c r="J2090" i="6"/>
  <c r="J2091" i="6"/>
  <c r="J2092" i="6"/>
  <c r="J2093" i="6"/>
  <c r="J2094" i="6"/>
  <c r="J2095" i="6"/>
  <c r="J2096" i="6"/>
  <c r="J2097" i="6"/>
  <c r="J2098" i="6"/>
  <c r="J2099" i="6"/>
  <c r="J2100" i="6"/>
  <c r="J2101" i="6"/>
  <c r="J2102" i="6"/>
  <c r="J2103" i="6"/>
  <c r="J2104" i="6"/>
  <c r="J2105" i="6"/>
  <c r="J2106" i="6"/>
  <c r="J2107" i="6"/>
  <c r="J2108" i="6"/>
  <c r="J2109" i="6"/>
  <c r="J2110" i="6"/>
  <c r="J2111" i="6"/>
  <c r="J2112" i="6"/>
  <c r="J2113" i="6"/>
  <c r="J2114" i="6"/>
  <c r="J2115" i="6"/>
  <c r="J2116" i="6"/>
  <c r="J2117" i="6"/>
  <c r="J2118" i="6"/>
  <c r="J2119" i="6"/>
  <c r="J2120" i="6"/>
  <c r="J2121" i="6"/>
  <c r="J2122" i="6"/>
  <c r="J2123" i="6"/>
  <c r="J2124" i="6"/>
  <c r="J2125" i="6"/>
  <c r="J2126" i="6"/>
  <c r="J2127" i="6"/>
  <c r="J2128" i="6"/>
  <c r="J2129" i="6"/>
  <c r="J2130" i="6"/>
  <c r="J2131" i="6"/>
  <c r="J2132" i="6"/>
  <c r="J2133" i="6"/>
  <c r="J2134" i="6"/>
  <c r="J2135" i="6"/>
  <c r="J2136" i="6"/>
  <c r="J2137" i="6"/>
  <c r="J2138" i="6"/>
  <c r="J2139" i="6"/>
  <c r="J2140" i="6"/>
  <c r="J2141" i="6"/>
  <c r="J2142" i="6"/>
  <c r="J2143" i="6"/>
  <c r="J2144" i="6"/>
  <c r="J2145" i="6"/>
  <c r="J2146" i="6"/>
  <c r="J2147" i="6"/>
  <c r="J2148" i="6"/>
  <c r="J2149" i="6"/>
  <c r="J2150" i="6"/>
  <c r="J2151" i="6"/>
  <c r="J2152" i="6"/>
  <c r="J2153" i="6"/>
  <c r="J2154" i="6"/>
  <c r="J2155" i="6"/>
  <c r="J2156" i="6"/>
  <c r="J2157" i="6"/>
  <c r="J2158" i="6"/>
  <c r="J2159" i="6"/>
  <c r="J2160" i="6"/>
  <c r="J2161" i="6"/>
  <c r="J2162" i="6"/>
  <c r="J2163" i="6"/>
  <c r="J2164" i="6"/>
  <c r="J2165" i="6"/>
  <c r="J2166" i="6"/>
  <c r="J2167" i="6"/>
  <c r="J2168" i="6"/>
  <c r="J2169" i="6"/>
  <c r="J2170" i="6"/>
  <c r="K3" i="6"/>
  <c r="K4" i="6"/>
  <c r="K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K64" i="6"/>
  <c r="K65" i="6"/>
  <c r="K66" i="6"/>
  <c r="K67" i="6"/>
  <c r="K68" i="6"/>
  <c r="K69" i="6"/>
  <c r="K70" i="6"/>
  <c r="K71" i="6"/>
  <c r="K72" i="6"/>
  <c r="K73" i="6"/>
  <c r="K74" i="6"/>
  <c r="K75" i="6"/>
  <c r="K76" i="6"/>
  <c r="K77" i="6"/>
  <c r="K78" i="6"/>
  <c r="K79" i="6"/>
  <c r="K80" i="6"/>
  <c r="K81" i="6"/>
  <c r="K82" i="6"/>
  <c r="K83" i="6"/>
  <c r="K84" i="6"/>
  <c r="K85" i="6"/>
  <c r="K86" i="6"/>
  <c r="K87" i="6"/>
  <c r="K88" i="6"/>
  <c r="K89" i="6"/>
  <c r="K90" i="6"/>
  <c r="K91" i="6"/>
  <c r="K92" i="6"/>
  <c r="K93" i="6"/>
  <c r="K94" i="6"/>
  <c r="K95" i="6"/>
  <c r="K96" i="6"/>
  <c r="K97" i="6"/>
  <c r="K98" i="6"/>
  <c r="K99" i="6"/>
  <c r="K100" i="6"/>
  <c r="K101" i="6"/>
  <c r="K102" i="6"/>
  <c r="K103" i="6"/>
  <c r="K104" i="6"/>
  <c r="K105" i="6"/>
  <c r="K106" i="6"/>
  <c r="K107" i="6"/>
  <c r="K108" i="6"/>
  <c r="K109" i="6"/>
  <c r="K110" i="6"/>
  <c r="K111" i="6"/>
  <c r="K112" i="6"/>
  <c r="K113" i="6"/>
  <c r="K114" i="6"/>
  <c r="K115" i="6"/>
  <c r="K116" i="6"/>
  <c r="K117" i="6"/>
  <c r="K118" i="6"/>
  <c r="K119" i="6"/>
  <c r="K120" i="6"/>
  <c r="K121" i="6"/>
  <c r="K122" i="6"/>
  <c r="K123" i="6"/>
  <c r="K124" i="6"/>
  <c r="K125" i="6"/>
  <c r="K126" i="6"/>
  <c r="K127" i="6"/>
  <c r="K128" i="6"/>
  <c r="K129" i="6"/>
  <c r="K130" i="6"/>
  <c r="K131" i="6"/>
  <c r="K132" i="6"/>
  <c r="K133" i="6"/>
  <c r="K134" i="6"/>
  <c r="K135" i="6"/>
  <c r="K136" i="6"/>
  <c r="K137" i="6"/>
  <c r="K138" i="6"/>
  <c r="K139" i="6"/>
  <c r="K140" i="6"/>
  <c r="K141" i="6"/>
  <c r="K142" i="6"/>
  <c r="K143" i="6"/>
  <c r="K144" i="6"/>
  <c r="K145" i="6"/>
  <c r="K146" i="6"/>
  <c r="K147" i="6"/>
  <c r="K148" i="6"/>
  <c r="K149" i="6"/>
  <c r="K150" i="6"/>
  <c r="K151" i="6"/>
  <c r="K152" i="6"/>
  <c r="K153" i="6"/>
  <c r="K154" i="6"/>
  <c r="K155" i="6"/>
  <c r="K156" i="6"/>
  <c r="K157" i="6"/>
  <c r="K158" i="6"/>
  <c r="K159" i="6"/>
  <c r="K160" i="6"/>
  <c r="K161" i="6"/>
  <c r="K162" i="6"/>
  <c r="K163" i="6"/>
  <c r="K164" i="6"/>
  <c r="K165" i="6"/>
  <c r="K166" i="6"/>
  <c r="K167" i="6"/>
  <c r="K168" i="6"/>
  <c r="K169" i="6"/>
  <c r="K170" i="6"/>
  <c r="K171" i="6"/>
  <c r="K172" i="6"/>
  <c r="K173" i="6"/>
  <c r="K174" i="6"/>
  <c r="K175" i="6"/>
  <c r="K176" i="6"/>
  <c r="K177" i="6"/>
  <c r="K178" i="6"/>
  <c r="K179" i="6"/>
  <c r="K180" i="6"/>
  <c r="K181" i="6"/>
  <c r="K182" i="6"/>
  <c r="K183" i="6"/>
  <c r="K184" i="6"/>
  <c r="K185" i="6"/>
  <c r="K186" i="6"/>
  <c r="K187" i="6"/>
  <c r="K188" i="6"/>
  <c r="K189" i="6"/>
  <c r="K190" i="6"/>
  <c r="K191" i="6"/>
  <c r="K192" i="6"/>
  <c r="K193" i="6"/>
  <c r="K194" i="6"/>
  <c r="K195" i="6"/>
  <c r="K196" i="6"/>
  <c r="K197" i="6"/>
  <c r="K198" i="6"/>
  <c r="K199" i="6"/>
  <c r="K200" i="6"/>
  <c r="K201" i="6"/>
  <c r="K202" i="6"/>
  <c r="K203" i="6"/>
  <c r="K204" i="6"/>
  <c r="K205" i="6"/>
  <c r="K206" i="6"/>
  <c r="K207" i="6"/>
  <c r="K208" i="6"/>
  <c r="K209" i="6"/>
  <c r="K210" i="6"/>
  <c r="K211" i="6"/>
  <c r="K212" i="6"/>
  <c r="K213" i="6"/>
  <c r="K214" i="6"/>
  <c r="K215" i="6"/>
  <c r="K216" i="6"/>
  <c r="K217" i="6"/>
  <c r="K218" i="6"/>
  <c r="K219" i="6"/>
  <c r="K220" i="6"/>
  <c r="K221" i="6"/>
  <c r="K222" i="6"/>
  <c r="K223" i="6"/>
  <c r="K224" i="6"/>
  <c r="K225" i="6"/>
  <c r="K226" i="6"/>
  <c r="K227" i="6"/>
  <c r="K228" i="6"/>
  <c r="K229" i="6"/>
  <c r="K230" i="6"/>
  <c r="K231" i="6"/>
  <c r="K232" i="6"/>
  <c r="K233" i="6"/>
  <c r="K234" i="6"/>
  <c r="K235" i="6"/>
  <c r="K236" i="6"/>
  <c r="K237" i="6"/>
  <c r="K238" i="6"/>
  <c r="K239" i="6"/>
  <c r="K240" i="6"/>
  <c r="K241" i="6"/>
  <c r="K242" i="6"/>
  <c r="K243" i="6"/>
  <c r="K244" i="6"/>
  <c r="K245" i="6"/>
  <c r="K246" i="6"/>
  <c r="K247" i="6"/>
  <c r="K248" i="6"/>
  <c r="K249" i="6"/>
  <c r="K250" i="6"/>
  <c r="K251" i="6"/>
  <c r="K252" i="6"/>
  <c r="K253" i="6"/>
  <c r="K254" i="6"/>
  <c r="K255" i="6"/>
  <c r="K256" i="6"/>
  <c r="K257" i="6"/>
  <c r="K258" i="6"/>
  <c r="K259" i="6"/>
  <c r="K260" i="6"/>
  <c r="K261" i="6"/>
  <c r="K262" i="6"/>
  <c r="K263" i="6"/>
  <c r="K264" i="6"/>
  <c r="K265" i="6"/>
  <c r="K266" i="6"/>
  <c r="K267" i="6"/>
  <c r="K268" i="6"/>
  <c r="K269" i="6"/>
  <c r="K270" i="6"/>
  <c r="K271" i="6"/>
  <c r="K272" i="6"/>
  <c r="K273" i="6"/>
  <c r="K274" i="6"/>
  <c r="K275" i="6"/>
  <c r="K276" i="6"/>
  <c r="K277" i="6"/>
  <c r="K278" i="6"/>
  <c r="K279" i="6"/>
  <c r="K280" i="6"/>
  <c r="K281" i="6"/>
  <c r="K282" i="6"/>
  <c r="K283" i="6"/>
  <c r="K284" i="6"/>
  <c r="K285" i="6"/>
  <c r="K286" i="6"/>
  <c r="K287" i="6"/>
  <c r="K288" i="6"/>
  <c r="K289" i="6"/>
  <c r="K290" i="6"/>
  <c r="K291" i="6"/>
  <c r="K292" i="6"/>
  <c r="K293" i="6"/>
  <c r="K294" i="6"/>
  <c r="K295" i="6"/>
  <c r="K296" i="6"/>
  <c r="K297" i="6"/>
  <c r="K298" i="6"/>
  <c r="K299" i="6"/>
  <c r="K300" i="6"/>
  <c r="K301" i="6"/>
  <c r="K302" i="6"/>
  <c r="K303" i="6"/>
  <c r="K304" i="6"/>
  <c r="K305" i="6"/>
  <c r="K306" i="6"/>
  <c r="K307" i="6"/>
  <c r="K308" i="6"/>
  <c r="K309" i="6"/>
  <c r="K310" i="6"/>
  <c r="K311" i="6"/>
  <c r="K312" i="6"/>
  <c r="K313" i="6"/>
  <c r="K314" i="6"/>
  <c r="K315" i="6"/>
  <c r="K316" i="6"/>
  <c r="K317" i="6"/>
  <c r="K318" i="6"/>
  <c r="K319" i="6"/>
  <c r="K320" i="6"/>
  <c r="K321" i="6"/>
  <c r="K322" i="6"/>
  <c r="K323" i="6"/>
  <c r="K324" i="6"/>
  <c r="K325" i="6"/>
  <c r="K326" i="6"/>
  <c r="K327" i="6"/>
  <c r="K328" i="6"/>
  <c r="K329" i="6"/>
  <c r="K330" i="6"/>
  <c r="K331" i="6"/>
  <c r="K332" i="6"/>
  <c r="K333" i="6"/>
  <c r="K334" i="6"/>
  <c r="K335" i="6"/>
  <c r="K336" i="6"/>
  <c r="K337" i="6"/>
  <c r="K338" i="6"/>
  <c r="K339" i="6"/>
  <c r="K340" i="6"/>
  <c r="K341" i="6"/>
  <c r="K342" i="6"/>
  <c r="K343" i="6"/>
  <c r="K344" i="6"/>
  <c r="K345" i="6"/>
  <c r="K346" i="6"/>
  <c r="K347" i="6"/>
  <c r="K348" i="6"/>
  <c r="K349" i="6"/>
  <c r="K350" i="6"/>
  <c r="K351" i="6"/>
  <c r="K352" i="6"/>
  <c r="K353" i="6"/>
  <c r="K354" i="6"/>
  <c r="K355" i="6"/>
  <c r="K356" i="6"/>
  <c r="K357" i="6"/>
  <c r="K358" i="6"/>
  <c r="K359" i="6"/>
  <c r="K360" i="6"/>
  <c r="K361" i="6"/>
  <c r="K362" i="6"/>
  <c r="K363" i="6"/>
  <c r="K364" i="6"/>
  <c r="K365" i="6"/>
  <c r="K366" i="6"/>
  <c r="K367" i="6"/>
  <c r="K368" i="6"/>
  <c r="K369" i="6"/>
  <c r="K370" i="6"/>
  <c r="K371" i="6"/>
  <c r="K372" i="6"/>
  <c r="K373" i="6"/>
  <c r="K374" i="6"/>
  <c r="K375" i="6"/>
  <c r="K376" i="6"/>
  <c r="K377" i="6"/>
  <c r="K378" i="6"/>
  <c r="K379" i="6"/>
  <c r="K380" i="6"/>
  <c r="K381" i="6"/>
  <c r="K382" i="6"/>
  <c r="K383" i="6"/>
  <c r="K384" i="6"/>
  <c r="K385" i="6"/>
  <c r="K386" i="6"/>
  <c r="K387" i="6"/>
  <c r="K388" i="6"/>
  <c r="K389" i="6"/>
  <c r="K390" i="6"/>
  <c r="K391" i="6"/>
  <c r="K392" i="6"/>
  <c r="K393" i="6"/>
  <c r="K394" i="6"/>
  <c r="K395" i="6"/>
  <c r="K396" i="6"/>
  <c r="K397" i="6"/>
  <c r="K398" i="6"/>
  <c r="K399" i="6"/>
  <c r="K400" i="6"/>
  <c r="K401" i="6"/>
  <c r="K402" i="6"/>
  <c r="K403" i="6"/>
  <c r="K404" i="6"/>
  <c r="K405" i="6"/>
  <c r="K406" i="6"/>
  <c r="K407" i="6"/>
  <c r="K408" i="6"/>
  <c r="K409" i="6"/>
  <c r="K410" i="6"/>
  <c r="K411" i="6"/>
  <c r="K412" i="6"/>
  <c r="K413" i="6"/>
  <c r="K414" i="6"/>
  <c r="K415" i="6"/>
  <c r="K416" i="6"/>
  <c r="K417" i="6"/>
  <c r="K418" i="6"/>
  <c r="K419" i="6"/>
  <c r="K420" i="6"/>
  <c r="K421" i="6"/>
  <c r="K422" i="6"/>
  <c r="K423" i="6"/>
  <c r="K424" i="6"/>
  <c r="K425" i="6"/>
  <c r="K426" i="6"/>
  <c r="K427" i="6"/>
  <c r="K428" i="6"/>
  <c r="K429" i="6"/>
  <c r="K430" i="6"/>
  <c r="K431" i="6"/>
  <c r="K432" i="6"/>
  <c r="K433" i="6"/>
  <c r="K434" i="6"/>
  <c r="K435" i="6"/>
  <c r="K436" i="6"/>
  <c r="K437" i="6"/>
  <c r="K438" i="6"/>
  <c r="K439" i="6"/>
  <c r="K440" i="6"/>
  <c r="K441" i="6"/>
  <c r="K442" i="6"/>
  <c r="K443" i="6"/>
  <c r="K444" i="6"/>
  <c r="K445" i="6"/>
  <c r="K446" i="6"/>
  <c r="K447" i="6"/>
  <c r="K448" i="6"/>
  <c r="K449" i="6"/>
  <c r="K450" i="6"/>
  <c r="K451" i="6"/>
  <c r="K452" i="6"/>
  <c r="K453" i="6"/>
  <c r="K454" i="6"/>
  <c r="K455" i="6"/>
  <c r="K456" i="6"/>
  <c r="K457" i="6"/>
  <c r="K458" i="6"/>
  <c r="K459" i="6"/>
  <c r="K460" i="6"/>
  <c r="K461" i="6"/>
  <c r="K462" i="6"/>
  <c r="K463" i="6"/>
  <c r="K464" i="6"/>
  <c r="K465" i="6"/>
  <c r="K466" i="6"/>
  <c r="K467" i="6"/>
  <c r="K468" i="6"/>
  <c r="K469" i="6"/>
  <c r="K470" i="6"/>
  <c r="K471" i="6"/>
  <c r="K472" i="6"/>
  <c r="K473" i="6"/>
  <c r="K474" i="6"/>
  <c r="K475" i="6"/>
  <c r="K476" i="6"/>
  <c r="K477" i="6"/>
  <c r="K478" i="6"/>
  <c r="K479" i="6"/>
  <c r="K480" i="6"/>
  <c r="K481" i="6"/>
  <c r="K482" i="6"/>
  <c r="K483" i="6"/>
  <c r="K484" i="6"/>
  <c r="K485" i="6"/>
  <c r="K486" i="6"/>
  <c r="K487" i="6"/>
  <c r="K488" i="6"/>
  <c r="K489" i="6"/>
  <c r="K490" i="6"/>
  <c r="K491" i="6"/>
  <c r="K492" i="6"/>
  <c r="K493" i="6"/>
  <c r="K494" i="6"/>
  <c r="K495" i="6"/>
  <c r="K496" i="6"/>
  <c r="K497" i="6"/>
  <c r="K498" i="6"/>
  <c r="K499" i="6"/>
  <c r="K500" i="6"/>
  <c r="K501" i="6"/>
  <c r="K502" i="6"/>
  <c r="K503" i="6"/>
  <c r="K504" i="6"/>
  <c r="K505" i="6"/>
  <c r="K506" i="6"/>
  <c r="K507" i="6"/>
  <c r="K508" i="6"/>
  <c r="K509" i="6"/>
  <c r="K510" i="6"/>
  <c r="K511" i="6"/>
  <c r="K512" i="6"/>
  <c r="K513" i="6"/>
  <c r="K514" i="6"/>
  <c r="K515" i="6"/>
  <c r="K516" i="6"/>
  <c r="K517" i="6"/>
  <c r="K518" i="6"/>
  <c r="K519" i="6"/>
  <c r="K520" i="6"/>
  <c r="K521" i="6"/>
  <c r="K522" i="6"/>
  <c r="K523" i="6"/>
  <c r="K524" i="6"/>
  <c r="K525" i="6"/>
  <c r="K526" i="6"/>
  <c r="K527" i="6"/>
  <c r="K528" i="6"/>
  <c r="K529" i="6"/>
  <c r="K530" i="6"/>
  <c r="K531" i="6"/>
  <c r="K532" i="6"/>
  <c r="K533" i="6"/>
  <c r="K534" i="6"/>
  <c r="K535" i="6"/>
  <c r="K536" i="6"/>
  <c r="K537" i="6"/>
  <c r="K538" i="6"/>
  <c r="K539" i="6"/>
  <c r="K540" i="6"/>
  <c r="K541" i="6"/>
  <c r="K542" i="6"/>
  <c r="K543" i="6"/>
  <c r="K544" i="6"/>
  <c r="K545" i="6"/>
  <c r="K546" i="6"/>
  <c r="K547" i="6"/>
  <c r="K548" i="6"/>
  <c r="K549" i="6"/>
  <c r="K550" i="6"/>
  <c r="K551" i="6"/>
  <c r="K552" i="6"/>
  <c r="K553" i="6"/>
  <c r="K554" i="6"/>
  <c r="K555" i="6"/>
  <c r="K556" i="6"/>
  <c r="K557" i="6"/>
  <c r="K558" i="6"/>
  <c r="K559" i="6"/>
  <c r="K560" i="6"/>
  <c r="K561" i="6"/>
  <c r="K562" i="6"/>
  <c r="K563" i="6"/>
  <c r="K564" i="6"/>
  <c r="K565" i="6"/>
  <c r="K566" i="6"/>
  <c r="K567" i="6"/>
  <c r="K568" i="6"/>
  <c r="K569" i="6"/>
  <c r="K570" i="6"/>
  <c r="K571" i="6"/>
  <c r="K572" i="6"/>
  <c r="K573" i="6"/>
  <c r="K574" i="6"/>
  <c r="K575" i="6"/>
  <c r="K576" i="6"/>
  <c r="K577" i="6"/>
  <c r="K578" i="6"/>
  <c r="K579" i="6"/>
  <c r="K580" i="6"/>
  <c r="K581" i="6"/>
  <c r="K582" i="6"/>
  <c r="K583" i="6"/>
  <c r="K584" i="6"/>
  <c r="K585" i="6"/>
  <c r="K586" i="6"/>
  <c r="K587" i="6"/>
  <c r="K588" i="6"/>
  <c r="K589" i="6"/>
  <c r="K590" i="6"/>
  <c r="K591" i="6"/>
  <c r="K592" i="6"/>
  <c r="K593" i="6"/>
  <c r="K594" i="6"/>
  <c r="K595" i="6"/>
  <c r="K596" i="6"/>
  <c r="K597" i="6"/>
  <c r="K598" i="6"/>
  <c r="K599" i="6"/>
  <c r="K600" i="6"/>
  <c r="K601" i="6"/>
  <c r="K602" i="6"/>
  <c r="K603" i="6"/>
  <c r="K604" i="6"/>
  <c r="K605" i="6"/>
  <c r="K606" i="6"/>
  <c r="K607" i="6"/>
  <c r="K608" i="6"/>
  <c r="K609" i="6"/>
  <c r="K610" i="6"/>
  <c r="K611" i="6"/>
  <c r="K612" i="6"/>
  <c r="K613" i="6"/>
  <c r="K614" i="6"/>
  <c r="K615" i="6"/>
  <c r="K616" i="6"/>
  <c r="K617" i="6"/>
  <c r="K618" i="6"/>
  <c r="K619" i="6"/>
  <c r="K620" i="6"/>
  <c r="K621" i="6"/>
  <c r="K622" i="6"/>
  <c r="K623" i="6"/>
  <c r="K624" i="6"/>
  <c r="K625" i="6"/>
  <c r="K626" i="6"/>
  <c r="K627" i="6"/>
  <c r="K628" i="6"/>
  <c r="K629" i="6"/>
  <c r="K630" i="6"/>
  <c r="K631" i="6"/>
  <c r="K632" i="6"/>
  <c r="K633" i="6"/>
  <c r="K634" i="6"/>
  <c r="K635" i="6"/>
  <c r="K636" i="6"/>
  <c r="K637" i="6"/>
  <c r="K638" i="6"/>
  <c r="K639" i="6"/>
  <c r="K640" i="6"/>
  <c r="K641" i="6"/>
  <c r="K642" i="6"/>
  <c r="K643" i="6"/>
  <c r="K644" i="6"/>
  <c r="K645" i="6"/>
  <c r="K646" i="6"/>
  <c r="K647" i="6"/>
  <c r="K648" i="6"/>
  <c r="K649" i="6"/>
  <c r="K650" i="6"/>
  <c r="K651" i="6"/>
  <c r="K652" i="6"/>
  <c r="K653" i="6"/>
  <c r="K654" i="6"/>
  <c r="K655" i="6"/>
  <c r="K656" i="6"/>
  <c r="K657" i="6"/>
  <c r="K658" i="6"/>
  <c r="K659" i="6"/>
  <c r="K660" i="6"/>
  <c r="K661" i="6"/>
  <c r="K662" i="6"/>
  <c r="K663" i="6"/>
  <c r="K664" i="6"/>
  <c r="K665" i="6"/>
  <c r="K666" i="6"/>
  <c r="K667" i="6"/>
  <c r="K668" i="6"/>
  <c r="K669" i="6"/>
  <c r="K670" i="6"/>
  <c r="K671" i="6"/>
  <c r="K672" i="6"/>
  <c r="K673" i="6"/>
  <c r="K674" i="6"/>
  <c r="K675" i="6"/>
  <c r="K676" i="6"/>
  <c r="K677" i="6"/>
  <c r="K678" i="6"/>
  <c r="K679" i="6"/>
  <c r="K680" i="6"/>
  <c r="K681" i="6"/>
  <c r="K682" i="6"/>
  <c r="K683" i="6"/>
  <c r="K684" i="6"/>
  <c r="K685" i="6"/>
  <c r="K686" i="6"/>
  <c r="K687" i="6"/>
  <c r="K688" i="6"/>
  <c r="K689" i="6"/>
  <c r="K690" i="6"/>
  <c r="K691" i="6"/>
  <c r="K692" i="6"/>
  <c r="K693" i="6"/>
  <c r="K694" i="6"/>
  <c r="K695" i="6"/>
  <c r="K696" i="6"/>
  <c r="K697" i="6"/>
  <c r="K698" i="6"/>
  <c r="K699" i="6"/>
  <c r="K700" i="6"/>
  <c r="K701" i="6"/>
  <c r="K702" i="6"/>
  <c r="K703" i="6"/>
  <c r="K704" i="6"/>
  <c r="K705" i="6"/>
  <c r="K706" i="6"/>
  <c r="K707" i="6"/>
  <c r="K708" i="6"/>
  <c r="K709" i="6"/>
  <c r="K710" i="6"/>
  <c r="K711" i="6"/>
  <c r="K712" i="6"/>
  <c r="K713" i="6"/>
  <c r="K714" i="6"/>
  <c r="K715" i="6"/>
  <c r="K716" i="6"/>
  <c r="K717" i="6"/>
  <c r="K718" i="6"/>
  <c r="K719" i="6"/>
  <c r="K720" i="6"/>
  <c r="K721" i="6"/>
  <c r="K722" i="6"/>
  <c r="K723" i="6"/>
  <c r="K724" i="6"/>
  <c r="K725" i="6"/>
  <c r="K726" i="6"/>
  <c r="K727" i="6"/>
  <c r="K728" i="6"/>
  <c r="K729" i="6"/>
  <c r="K730" i="6"/>
  <c r="K731" i="6"/>
  <c r="K732" i="6"/>
  <c r="K733" i="6"/>
  <c r="K734" i="6"/>
  <c r="K735" i="6"/>
  <c r="K736" i="6"/>
  <c r="K737" i="6"/>
  <c r="K738" i="6"/>
  <c r="K739" i="6"/>
  <c r="K740" i="6"/>
  <c r="K741" i="6"/>
  <c r="K742" i="6"/>
  <c r="K743" i="6"/>
  <c r="K744" i="6"/>
  <c r="K745" i="6"/>
  <c r="K746" i="6"/>
  <c r="K747" i="6"/>
  <c r="K748" i="6"/>
  <c r="K749" i="6"/>
  <c r="K750" i="6"/>
  <c r="K751" i="6"/>
  <c r="K752" i="6"/>
  <c r="K753" i="6"/>
  <c r="K754" i="6"/>
  <c r="K755" i="6"/>
  <c r="K756" i="6"/>
  <c r="K757" i="6"/>
  <c r="K758" i="6"/>
  <c r="K759" i="6"/>
  <c r="K760" i="6"/>
  <c r="K761" i="6"/>
  <c r="K762" i="6"/>
  <c r="K763" i="6"/>
  <c r="K764" i="6"/>
  <c r="K765" i="6"/>
  <c r="K766" i="6"/>
  <c r="K767" i="6"/>
  <c r="K768" i="6"/>
  <c r="K769" i="6"/>
  <c r="K770" i="6"/>
  <c r="K771" i="6"/>
  <c r="K772" i="6"/>
  <c r="K773" i="6"/>
  <c r="K774" i="6"/>
  <c r="K775" i="6"/>
  <c r="K776" i="6"/>
  <c r="K777" i="6"/>
  <c r="K778" i="6"/>
  <c r="K779" i="6"/>
  <c r="K780" i="6"/>
  <c r="K781" i="6"/>
  <c r="K782" i="6"/>
  <c r="K783" i="6"/>
  <c r="K784" i="6"/>
  <c r="K785" i="6"/>
  <c r="K786" i="6"/>
  <c r="K787" i="6"/>
  <c r="K788" i="6"/>
  <c r="K789" i="6"/>
  <c r="K790" i="6"/>
  <c r="K791" i="6"/>
  <c r="K792" i="6"/>
  <c r="K793" i="6"/>
  <c r="K794" i="6"/>
  <c r="K795" i="6"/>
  <c r="K796" i="6"/>
  <c r="K797" i="6"/>
  <c r="K798" i="6"/>
  <c r="K799" i="6"/>
  <c r="K800" i="6"/>
  <c r="K801" i="6"/>
  <c r="K802" i="6"/>
  <c r="K803" i="6"/>
  <c r="K804" i="6"/>
  <c r="K805" i="6"/>
  <c r="K806" i="6"/>
  <c r="K807" i="6"/>
  <c r="K808" i="6"/>
  <c r="K809" i="6"/>
  <c r="K810" i="6"/>
  <c r="K811" i="6"/>
  <c r="K812" i="6"/>
  <c r="K813" i="6"/>
  <c r="K814" i="6"/>
  <c r="K815" i="6"/>
  <c r="K816" i="6"/>
  <c r="K817" i="6"/>
  <c r="K818" i="6"/>
  <c r="K819" i="6"/>
  <c r="K820" i="6"/>
  <c r="K821" i="6"/>
  <c r="K822" i="6"/>
  <c r="K823" i="6"/>
  <c r="K824" i="6"/>
  <c r="K825" i="6"/>
  <c r="K826" i="6"/>
  <c r="K827" i="6"/>
  <c r="K828" i="6"/>
  <c r="K829" i="6"/>
  <c r="K830" i="6"/>
  <c r="K831" i="6"/>
  <c r="K832" i="6"/>
  <c r="K833" i="6"/>
  <c r="K834" i="6"/>
  <c r="K835" i="6"/>
  <c r="K836" i="6"/>
  <c r="K837" i="6"/>
  <c r="K838" i="6"/>
  <c r="K839" i="6"/>
  <c r="K840" i="6"/>
  <c r="K841" i="6"/>
  <c r="K842" i="6"/>
  <c r="K843" i="6"/>
  <c r="K844" i="6"/>
  <c r="K845" i="6"/>
  <c r="K846" i="6"/>
  <c r="K847" i="6"/>
  <c r="K848" i="6"/>
  <c r="K849" i="6"/>
  <c r="K850" i="6"/>
  <c r="K851" i="6"/>
  <c r="K852" i="6"/>
  <c r="K853" i="6"/>
  <c r="K854" i="6"/>
  <c r="K855" i="6"/>
  <c r="K856" i="6"/>
  <c r="K857" i="6"/>
  <c r="K858" i="6"/>
  <c r="K859" i="6"/>
  <c r="K860" i="6"/>
  <c r="K861" i="6"/>
  <c r="K862" i="6"/>
  <c r="K863" i="6"/>
  <c r="K864" i="6"/>
  <c r="K865" i="6"/>
  <c r="K866" i="6"/>
  <c r="K867" i="6"/>
  <c r="K868" i="6"/>
  <c r="K869" i="6"/>
  <c r="K870" i="6"/>
  <c r="K871" i="6"/>
  <c r="K872" i="6"/>
  <c r="K873" i="6"/>
  <c r="K874" i="6"/>
  <c r="K875" i="6"/>
  <c r="K876" i="6"/>
  <c r="K877" i="6"/>
  <c r="K878" i="6"/>
  <c r="K879" i="6"/>
  <c r="K880" i="6"/>
  <c r="K881" i="6"/>
  <c r="K882" i="6"/>
  <c r="K883" i="6"/>
  <c r="K884" i="6"/>
  <c r="K885" i="6"/>
  <c r="K886" i="6"/>
  <c r="K887" i="6"/>
  <c r="K888" i="6"/>
  <c r="K889" i="6"/>
  <c r="K890" i="6"/>
  <c r="K891" i="6"/>
  <c r="K892" i="6"/>
  <c r="K893" i="6"/>
  <c r="K894" i="6"/>
  <c r="K895" i="6"/>
  <c r="K896" i="6"/>
  <c r="K897" i="6"/>
  <c r="K898" i="6"/>
  <c r="K899" i="6"/>
  <c r="K900" i="6"/>
  <c r="K901" i="6"/>
  <c r="K902" i="6"/>
  <c r="K903" i="6"/>
  <c r="K904" i="6"/>
  <c r="K905" i="6"/>
  <c r="K906" i="6"/>
  <c r="K907" i="6"/>
  <c r="K908" i="6"/>
  <c r="K909" i="6"/>
  <c r="K910" i="6"/>
  <c r="K911" i="6"/>
  <c r="K912" i="6"/>
  <c r="K913" i="6"/>
  <c r="K914" i="6"/>
  <c r="K915" i="6"/>
  <c r="K916" i="6"/>
  <c r="K917" i="6"/>
  <c r="K918" i="6"/>
  <c r="K919" i="6"/>
  <c r="K920" i="6"/>
  <c r="K921" i="6"/>
  <c r="K922" i="6"/>
  <c r="K923" i="6"/>
  <c r="K924" i="6"/>
  <c r="K925" i="6"/>
  <c r="K926" i="6"/>
  <c r="K927" i="6"/>
  <c r="K928" i="6"/>
  <c r="K929" i="6"/>
  <c r="K930" i="6"/>
  <c r="K931" i="6"/>
  <c r="K932" i="6"/>
  <c r="K933" i="6"/>
  <c r="K934" i="6"/>
  <c r="K935" i="6"/>
  <c r="K936" i="6"/>
  <c r="K937" i="6"/>
  <c r="K938" i="6"/>
  <c r="K939" i="6"/>
  <c r="K940" i="6"/>
  <c r="K941" i="6"/>
  <c r="K942" i="6"/>
  <c r="K943" i="6"/>
  <c r="K944" i="6"/>
  <c r="K945" i="6"/>
  <c r="K946" i="6"/>
  <c r="K947" i="6"/>
  <c r="K948" i="6"/>
  <c r="K949" i="6"/>
  <c r="K950" i="6"/>
  <c r="K951" i="6"/>
  <c r="K952" i="6"/>
  <c r="K953" i="6"/>
  <c r="K954" i="6"/>
  <c r="K955" i="6"/>
  <c r="K956" i="6"/>
  <c r="K957" i="6"/>
  <c r="K958" i="6"/>
  <c r="K959" i="6"/>
  <c r="K960" i="6"/>
  <c r="K961" i="6"/>
  <c r="K962" i="6"/>
  <c r="K963" i="6"/>
  <c r="K964" i="6"/>
  <c r="K965" i="6"/>
  <c r="K966" i="6"/>
  <c r="K967" i="6"/>
  <c r="K968" i="6"/>
  <c r="K969" i="6"/>
  <c r="K970" i="6"/>
  <c r="K971" i="6"/>
  <c r="K972" i="6"/>
  <c r="K973" i="6"/>
  <c r="K974" i="6"/>
  <c r="K975" i="6"/>
  <c r="K976" i="6"/>
  <c r="K977" i="6"/>
  <c r="K978" i="6"/>
  <c r="K979" i="6"/>
  <c r="K980" i="6"/>
  <c r="K981" i="6"/>
  <c r="K982" i="6"/>
  <c r="K983" i="6"/>
  <c r="K984" i="6"/>
  <c r="K985" i="6"/>
  <c r="K986" i="6"/>
  <c r="K987" i="6"/>
  <c r="K988" i="6"/>
  <c r="K989" i="6"/>
  <c r="K990" i="6"/>
  <c r="K991" i="6"/>
  <c r="K992" i="6"/>
  <c r="K993" i="6"/>
  <c r="K994" i="6"/>
  <c r="K995" i="6"/>
  <c r="K996" i="6"/>
  <c r="K997" i="6"/>
  <c r="K998" i="6"/>
  <c r="K999" i="6"/>
  <c r="K1000" i="6"/>
  <c r="K1001" i="6"/>
  <c r="K1002" i="6"/>
  <c r="K1003" i="6"/>
  <c r="K1004" i="6"/>
  <c r="K1005" i="6"/>
  <c r="K1006" i="6"/>
  <c r="K1007" i="6"/>
  <c r="K1008" i="6"/>
  <c r="K1009" i="6"/>
  <c r="K1010" i="6"/>
  <c r="K1011" i="6"/>
  <c r="K1012" i="6"/>
  <c r="K1013" i="6"/>
  <c r="K1014" i="6"/>
  <c r="K1015" i="6"/>
  <c r="K1016" i="6"/>
  <c r="K1017" i="6"/>
  <c r="K1018" i="6"/>
  <c r="K1019" i="6"/>
  <c r="K1020" i="6"/>
  <c r="K1021" i="6"/>
  <c r="K1022" i="6"/>
  <c r="K1023" i="6"/>
  <c r="K1024" i="6"/>
  <c r="K1025" i="6"/>
  <c r="K1026" i="6"/>
  <c r="K1027" i="6"/>
  <c r="K1028" i="6"/>
  <c r="K1029" i="6"/>
  <c r="K1030" i="6"/>
  <c r="K1031" i="6"/>
  <c r="K1032" i="6"/>
  <c r="K1033" i="6"/>
  <c r="K1034" i="6"/>
  <c r="K1035" i="6"/>
  <c r="K1036" i="6"/>
  <c r="K1037" i="6"/>
  <c r="K1038" i="6"/>
  <c r="K1039" i="6"/>
  <c r="K1040" i="6"/>
  <c r="K1041" i="6"/>
  <c r="K1042" i="6"/>
  <c r="K1043" i="6"/>
  <c r="K1044" i="6"/>
  <c r="K1045" i="6"/>
  <c r="K1046" i="6"/>
  <c r="K1047" i="6"/>
  <c r="K1048" i="6"/>
  <c r="K1049" i="6"/>
  <c r="K1050" i="6"/>
  <c r="K1051" i="6"/>
  <c r="K1052" i="6"/>
  <c r="K1053" i="6"/>
  <c r="K1054" i="6"/>
  <c r="K1055" i="6"/>
  <c r="K1056" i="6"/>
  <c r="K1057" i="6"/>
  <c r="K1058" i="6"/>
  <c r="K1059" i="6"/>
  <c r="K1060" i="6"/>
  <c r="K1061" i="6"/>
  <c r="K1062" i="6"/>
  <c r="K1063" i="6"/>
  <c r="K1064" i="6"/>
  <c r="K1065" i="6"/>
  <c r="K1066" i="6"/>
  <c r="K1067" i="6"/>
  <c r="K1068" i="6"/>
  <c r="K1069" i="6"/>
  <c r="K1070" i="6"/>
  <c r="K1071" i="6"/>
  <c r="K1072" i="6"/>
  <c r="K1073" i="6"/>
  <c r="K1074" i="6"/>
  <c r="K1075" i="6"/>
  <c r="K1076" i="6"/>
  <c r="K1077" i="6"/>
  <c r="K1078" i="6"/>
  <c r="K1079" i="6"/>
  <c r="K1080" i="6"/>
  <c r="K1081" i="6"/>
  <c r="K1082" i="6"/>
  <c r="K1083" i="6"/>
  <c r="K1084" i="6"/>
  <c r="K1085" i="6"/>
  <c r="K1086" i="6"/>
  <c r="K1087" i="6"/>
  <c r="K1088" i="6"/>
  <c r="K1089" i="6"/>
  <c r="K1090" i="6"/>
  <c r="K1091" i="6"/>
  <c r="K1092" i="6"/>
  <c r="K1093" i="6"/>
  <c r="K1094" i="6"/>
  <c r="K1095" i="6"/>
  <c r="K1096" i="6"/>
  <c r="K1097" i="6"/>
  <c r="K1098" i="6"/>
  <c r="K1099" i="6"/>
  <c r="K1100" i="6"/>
  <c r="K1101" i="6"/>
  <c r="K1102" i="6"/>
  <c r="K1103" i="6"/>
  <c r="K1104" i="6"/>
  <c r="K1105" i="6"/>
  <c r="K1106" i="6"/>
  <c r="K1107" i="6"/>
  <c r="K1108" i="6"/>
  <c r="K1109" i="6"/>
  <c r="K1110" i="6"/>
  <c r="K1111" i="6"/>
  <c r="K1112" i="6"/>
  <c r="K1113" i="6"/>
  <c r="K1114" i="6"/>
  <c r="K1115" i="6"/>
  <c r="K1116" i="6"/>
  <c r="K1117" i="6"/>
  <c r="K1118" i="6"/>
  <c r="K1119" i="6"/>
  <c r="K1120" i="6"/>
  <c r="K1121" i="6"/>
  <c r="K1122" i="6"/>
  <c r="K1123" i="6"/>
  <c r="K1124" i="6"/>
  <c r="K1125" i="6"/>
  <c r="K1126" i="6"/>
  <c r="K1127" i="6"/>
  <c r="K1128" i="6"/>
  <c r="K1129" i="6"/>
  <c r="K1130" i="6"/>
  <c r="K1131" i="6"/>
  <c r="K1132" i="6"/>
  <c r="K1133" i="6"/>
  <c r="K1134" i="6"/>
  <c r="K1135" i="6"/>
  <c r="K1136" i="6"/>
  <c r="K1137" i="6"/>
  <c r="K1138" i="6"/>
  <c r="K1139" i="6"/>
  <c r="K1140" i="6"/>
  <c r="K1141" i="6"/>
  <c r="K1142" i="6"/>
  <c r="K1143" i="6"/>
  <c r="K1144" i="6"/>
  <c r="K1145" i="6"/>
  <c r="K1146" i="6"/>
  <c r="K1147" i="6"/>
  <c r="K1148" i="6"/>
  <c r="K1149" i="6"/>
  <c r="K1150" i="6"/>
  <c r="K1151" i="6"/>
  <c r="K1152" i="6"/>
  <c r="K1153" i="6"/>
  <c r="K1154" i="6"/>
  <c r="K1155" i="6"/>
  <c r="K1156" i="6"/>
  <c r="K1157" i="6"/>
  <c r="K1158" i="6"/>
  <c r="K1159" i="6"/>
  <c r="K1160" i="6"/>
  <c r="K1161" i="6"/>
  <c r="K1162" i="6"/>
  <c r="K1163" i="6"/>
  <c r="K1164" i="6"/>
  <c r="K1165" i="6"/>
  <c r="K1166" i="6"/>
  <c r="K1167" i="6"/>
  <c r="K1168" i="6"/>
  <c r="K1169" i="6"/>
  <c r="K1170" i="6"/>
  <c r="K1171" i="6"/>
  <c r="K1172" i="6"/>
  <c r="K1173" i="6"/>
  <c r="K1174" i="6"/>
  <c r="K1175" i="6"/>
  <c r="K1176" i="6"/>
  <c r="K1177" i="6"/>
  <c r="K1178" i="6"/>
  <c r="K1179" i="6"/>
  <c r="K1180" i="6"/>
  <c r="K1181" i="6"/>
  <c r="K1182" i="6"/>
  <c r="K1183" i="6"/>
  <c r="K1184" i="6"/>
  <c r="K1185" i="6"/>
  <c r="K1186" i="6"/>
  <c r="K1187" i="6"/>
  <c r="K1188" i="6"/>
  <c r="K1189" i="6"/>
  <c r="K1190" i="6"/>
  <c r="K1191" i="6"/>
  <c r="K1192" i="6"/>
  <c r="K1193" i="6"/>
  <c r="K1194" i="6"/>
  <c r="K1195" i="6"/>
  <c r="K1196" i="6"/>
  <c r="K1197" i="6"/>
  <c r="K1198" i="6"/>
  <c r="K1199" i="6"/>
  <c r="K1200" i="6"/>
  <c r="K1201" i="6"/>
  <c r="K1202" i="6"/>
  <c r="K1203" i="6"/>
  <c r="K1204" i="6"/>
  <c r="K1205" i="6"/>
  <c r="K1206" i="6"/>
  <c r="K1207" i="6"/>
  <c r="K1208" i="6"/>
  <c r="K1209" i="6"/>
  <c r="K1210" i="6"/>
  <c r="K1211" i="6"/>
  <c r="K1212" i="6"/>
  <c r="K1213" i="6"/>
  <c r="K1214" i="6"/>
  <c r="K1215" i="6"/>
  <c r="K1216" i="6"/>
  <c r="K1217" i="6"/>
  <c r="K1218" i="6"/>
  <c r="K1219" i="6"/>
  <c r="K1220" i="6"/>
  <c r="K1221" i="6"/>
  <c r="K1222" i="6"/>
  <c r="K1223" i="6"/>
  <c r="K1224" i="6"/>
  <c r="K1225" i="6"/>
  <c r="K1226" i="6"/>
  <c r="K1227" i="6"/>
  <c r="K1228" i="6"/>
  <c r="K1229" i="6"/>
  <c r="K1230" i="6"/>
  <c r="K1231" i="6"/>
  <c r="K1232" i="6"/>
  <c r="K1233" i="6"/>
  <c r="K1234" i="6"/>
  <c r="K1235" i="6"/>
  <c r="K1236" i="6"/>
  <c r="K1237" i="6"/>
  <c r="K1238" i="6"/>
  <c r="K1239" i="6"/>
  <c r="K1240" i="6"/>
  <c r="K1241" i="6"/>
  <c r="K1242" i="6"/>
  <c r="K1243" i="6"/>
  <c r="K1244" i="6"/>
  <c r="K1245" i="6"/>
  <c r="K1246" i="6"/>
  <c r="K1247" i="6"/>
  <c r="K1248" i="6"/>
  <c r="K1249" i="6"/>
  <c r="K1250" i="6"/>
  <c r="K1251" i="6"/>
  <c r="K1252" i="6"/>
  <c r="K1253" i="6"/>
  <c r="K1254" i="6"/>
  <c r="K1255" i="6"/>
  <c r="K1256" i="6"/>
  <c r="K1257" i="6"/>
  <c r="K1258" i="6"/>
  <c r="K1259" i="6"/>
  <c r="K1260" i="6"/>
  <c r="K1261" i="6"/>
  <c r="K1262" i="6"/>
  <c r="K1263" i="6"/>
  <c r="K1264" i="6"/>
  <c r="K1265" i="6"/>
  <c r="K1266" i="6"/>
  <c r="K1267" i="6"/>
  <c r="K1268" i="6"/>
  <c r="K1269" i="6"/>
  <c r="K1270" i="6"/>
  <c r="K1271" i="6"/>
  <c r="K1272" i="6"/>
  <c r="K1273" i="6"/>
  <c r="K1274" i="6"/>
  <c r="K1275" i="6"/>
  <c r="K1276" i="6"/>
  <c r="K1277" i="6"/>
  <c r="K1278" i="6"/>
  <c r="K1279" i="6"/>
  <c r="K1280" i="6"/>
  <c r="K1281" i="6"/>
  <c r="K1282" i="6"/>
  <c r="K1283" i="6"/>
  <c r="K1284" i="6"/>
  <c r="K1285" i="6"/>
  <c r="K1286" i="6"/>
  <c r="K1287" i="6"/>
  <c r="K1288" i="6"/>
  <c r="K1289" i="6"/>
  <c r="K1290" i="6"/>
  <c r="K1291" i="6"/>
  <c r="K1292" i="6"/>
  <c r="K1293" i="6"/>
  <c r="K1294" i="6"/>
  <c r="K1295" i="6"/>
  <c r="K1296" i="6"/>
  <c r="K1297" i="6"/>
  <c r="K1298" i="6"/>
  <c r="K1299" i="6"/>
  <c r="K1300" i="6"/>
  <c r="K1301" i="6"/>
  <c r="K1302" i="6"/>
  <c r="K1303" i="6"/>
  <c r="K1304" i="6"/>
  <c r="K1305" i="6"/>
  <c r="K1306" i="6"/>
  <c r="K1307" i="6"/>
  <c r="K1308" i="6"/>
  <c r="K1309" i="6"/>
  <c r="K1310" i="6"/>
  <c r="K1311" i="6"/>
  <c r="K1312" i="6"/>
  <c r="K1313" i="6"/>
  <c r="K1314" i="6"/>
  <c r="K1315" i="6"/>
  <c r="K1316" i="6"/>
  <c r="K1317" i="6"/>
  <c r="K1318" i="6"/>
  <c r="K1319" i="6"/>
  <c r="K1320" i="6"/>
  <c r="K1321" i="6"/>
  <c r="K1322" i="6"/>
  <c r="K1323" i="6"/>
  <c r="K1324" i="6"/>
  <c r="K1325" i="6"/>
  <c r="K1326" i="6"/>
  <c r="K1327" i="6"/>
  <c r="K1328" i="6"/>
  <c r="K1329" i="6"/>
  <c r="K1330" i="6"/>
  <c r="K1331" i="6"/>
  <c r="K1332" i="6"/>
  <c r="K1333" i="6"/>
  <c r="K1334" i="6"/>
  <c r="K1335" i="6"/>
  <c r="K1336" i="6"/>
  <c r="K1337" i="6"/>
  <c r="K1338" i="6"/>
  <c r="K1339" i="6"/>
  <c r="K1340" i="6"/>
  <c r="K1341" i="6"/>
  <c r="K1342" i="6"/>
  <c r="K1343" i="6"/>
  <c r="K1344" i="6"/>
  <c r="K1345" i="6"/>
  <c r="K1346" i="6"/>
  <c r="K1347" i="6"/>
  <c r="K1348" i="6"/>
  <c r="K1349" i="6"/>
  <c r="K1350" i="6"/>
  <c r="K1351" i="6"/>
  <c r="K1352" i="6"/>
  <c r="K1353" i="6"/>
  <c r="K1354" i="6"/>
  <c r="K1355" i="6"/>
  <c r="K1356" i="6"/>
  <c r="K1357" i="6"/>
  <c r="K1358" i="6"/>
  <c r="K1359" i="6"/>
  <c r="K1360" i="6"/>
  <c r="K1361" i="6"/>
  <c r="K1362" i="6"/>
  <c r="K1363" i="6"/>
  <c r="K1364" i="6"/>
  <c r="K1365" i="6"/>
  <c r="K1366" i="6"/>
  <c r="K1367" i="6"/>
  <c r="K1368" i="6"/>
  <c r="K1369" i="6"/>
  <c r="K1370" i="6"/>
  <c r="K1371" i="6"/>
  <c r="K1372" i="6"/>
  <c r="K1373" i="6"/>
  <c r="K1374" i="6"/>
  <c r="K1375" i="6"/>
  <c r="K1376" i="6"/>
  <c r="K1377" i="6"/>
  <c r="K1378" i="6"/>
  <c r="K1379" i="6"/>
  <c r="K1380" i="6"/>
  <c r="K1381" i="6"/>
  <c r="K1382" i="6"/>
  <c r="K1383" i="6"/>
  <c r="K1384" i="6"/>
  <c r="K1385" i="6"/>
  <c r="K1386" i="6"/>
  <c r="K1387" i="6"/>
  <c r="K1388" i="6"/>
  <c r="K1389" i="6"/>
  <c r="K1390" i="6"/>
  <c r="K1391" i="6"/>
  <c r="K1392" i="6"/>
  <c r="K1393" i="6"/>
  <c r="K1394" i="6"/>
  <c r="K1395" i="6"/>
  <c r="K1396" i="6"/>
  <c r="K1397" i="6"/>
  <c r="K1398" i="6"/>
  <c r="K1399" i="6"/>
  <c r="K1400" i="6"/>
  <c r="K1401" i="6"/>
  <c r="K1402" i="6"/>
  <c r="K1403" i="6"/>
  <c r="K1404" i="6"/>
  <c r="K1405" i="6"/>
  <c r="K1406" i="6"/>
  <c r="K1407" i="6"/>
  <c r="K1408" i="6"/>
  <c r="K1409" i="6"/>
  <c r="K1410" i="6"/>
  <c r="K1411" i="6"/>
  <c r="K1412" i="6"/>
  <c r="K1413" i="6"/>
  <c r="K1414" i="6"/>
  <c r="K1415" i="6"/>
  <c r="K1416" i="6"/>
  <c r="K1417" i="6"/>
  <c r="K1418" i="6"/>
  <c r="K1419" i="6"/>
  <c r="K1420" i="6"/>
  <c r="K1421" i="6"/>
  <c r="K1422" i="6"/>
  <c r="K1423" i="6"/>
  <c r="K1424" i="6"/>
  <c r="K1425" i="6"/>
  <c r="K1426" i="6"/>
  <c r="K1427" i="6"/>
  <c r="K1428" i="6"/>
  <c r="K1429" i="6"/>
  <c r="K1430" i="6"/>
  <c r="K1431" i="6"/>
  <c r="K1432" i="6"/>
  <c r="K1433" i="6"/>
  <c r="K1434" i="6"/>
  <c r="K1435" i="6"/>
  <c r="K1436" i="6"/>
  <c r="K1437" i="6"/>
  <c r="K1438" i="6"/>
  <c r="K1439" i="6"/>
  <c r="K1440" i="6"/>
  <c r="K1441" i="6"/>
  <c r="K1442" i="6"/>
  <c r="K1443" i="6"/>
  <c r="K1444" i="6"/>
  <c r="K1445" i="6"/>
  <c r="K1446" i="6"/>
  <c r="K1447" i="6"/>
  <c r="K1448" i="6"/>
  <c r="K1449" i="6"/>
  <c r="K1450" i="6"/>
  <c r="K1451" i="6"/>
  <c r="K1452" i="6"/>
  <c r="K1453" i="6"/>
  <c r="K1454" i="6"/>
  <c r="K1455" i="6"/>
  <c r="K1456" i="6"/>
  <c r="K1457" i="6"/>
  <c r="K1458" i="6"/>
  <c r="K1459" i="6"/>
  <c r="K1460" i="6"/>
  <c r="K1461" i="6"/>
  <c r="K1462" i="6"/>
  <c r="K1463" i="6"/>
  <c r="K1464" i="6"/>
  <c r="K1465" i="6"/>
  <c r="K1466" i="6"/>
  <c r="K1467" i="6"/>
  <c r="K1468" i="6"/>
  <c r="K1469" i="6"/>
  <c r="K1470" i="6"/>
  <c r="K1471" i="6"/>
  <c r="K1472" i="6"/>
  <c r="K1473" i="6"/>
  <c r="K1474" i="6"/>
  <c r="K1475" i="6"/>
  <c r="K1476" i="6"/>
  <c r="K1477" i="6"/>
  <c r="K1478" i="6"/>
  <c r="K1479" i="6"/>
  <c r="K1480" i="6"/>
  <c r="K1481" i="6"/>
  <c r="K1482" i="6"/>
  <c r="K1483" i="6"/>
  <c r="K1484" i="6"/>
  <c r="K1485" i="6"/>
  <c r="K1486" i="6"/>
  <c r="K1487" i="6"/>
  <c r="K1488" i="6"/>
  <c r="K1489" i="6"/>
  <c r="K1490" i="6"/>
  <c r="K1491" i="6"/>
  <c r="K1492" i="6"/>
  <c r="K1493" i="6"/>
  <c r="K1494" i="6"/>
  <c r="K1495" i="6"/>
  <c r="K1496" i="6"/>
  <c r="K1497" i="6"/>
  <c r="K1498" i="6"/>
  <c r="K1499" i="6"/>
  <c r="K1500" i="6"/>
  <c r="K1501" i="6"/>
  <c r="K1502" i="6"/>
  <c r="K1503" i="6"/>
  <c r="K1504" i="6"/>
  <c r="K1505" i="6"/>
  <c r="K1506" i="6"/>
  <c r="K1507" i="6"/>
  <c r="K1508" i="6"/>
  <c r="K1509" i="6"/>
  <c r="K1510" i="6"/>
  <c r="K1511" i="6"/>
  <c r="K1512" i="6"/>
  <c r="K1513" i="6"/>
  <c r="K1514" i="6"/>
  <c r="K1515" i="6"/>
  <c r="K1516" i="6"/>
  <c r="K1517" i="6"/>
  <c r="K1518" i="6"/>
  <c r="K1519" i="6"/>
  <c r="K1520" i="6"/>
  <c r="K1521" i="6"/>
  <c r="K1522" i="6"/>
  <c r="K1523" i="6"/>
  <c r="K1524" i="6"/>
  <c r="K1525" i="6"/>
  <c r="K1526" i="6"/>
  <c r="K1527" i="6"/>
  <c r="K1528" i="6"/>
  <c r="K1529" i="6"/>
  <c r="K1530" i="6"/>
  <c r="K1531" i="6"/>
  <c r="K1532" i="6"/>
  <c r="K1533" i="6"/>
  <c r="K1534" i="6"/>
  <c r="K1535" i="6"/>
  <c r="K1536" i="6"/>
  <c r="K1537" i="6"/>
  <c r="K1538" i="6"/>
  <c r="K1539" i="6"/>
  <c r="K1540" i="6"/>
  <c r="K1541" i="6"/>
  <c r="K1542" i="6"/>
  <c r="K1543" i="6"/>
  <c r="K1544" i="6"/>
  <c r="K1545" i="6"/>
  <c r="K1546" i="6"/>
  <c r="K1547" i="6"/>
  <c r="K1548" i="6"/>
  <c r="K1549" i="6"/>
  <c r="K1550" i="6"/>
  <c r="K1551" i="6"/>
  <c r="K1552" i="6"/>
  <c r="K1553" i="6"/>
  <c r="K1554" i="6"/>
  <c r="K1555" i="6"/>
  <c r="K1556" i="6"/>
  <c r="K1557" i="6"/>
  <c r="K1558" i="6"/>
  <c r="K1559" i="6"/>
  <c r="K1560" i="6"/>
  <c r="K1561" i="6"/>
  <c r="K1562" i="6"/>
  <c r="K1563" i="6"/>
  <c r="K1564" i="6"/>
  <c r="K1565" i="6"/>
  <c r="K1566" i="6"/>
  <c r="K1567" i="6"/>
  <c r="K1568" i="6"/>
  <c r="K1569" i="6"/>
  <c r="K1570" i="6"/>
  <c r="K1571" i="6"/>
  <c r="K1572" i="6"/>
  <c r="K1573" i="6"/>
  <c r="K1574" i="6"/>
  <c r="K1575" i="6"/>
  <c r="K1576" i="6"/>
  <c r="K1577" i="6"/>
  <c r="K1578" i="6"/>
  <c r="K1579" i="6"/>
  <c r="K1580" i="6"/>
  <c r="K1581" i="6"/>
  <c r="K1582" i="6"/>
  <c r="K1583" i="6"/>
  <c r="K1584" i="6"/>
  <c r="K1585" i="6"/>
  <c r="K1586" i="6"/>
  <c r="K1587" i="6"/>
  <c r="K1588" i="6"/>
  <c r="K1589" i="6"/>
  <c r="K1590" i="6"/>
  <c r="K1591" i="6"/>
  <c r="K1592" i="6"/>
  <c r="K1593" i="6"/>
  <c r="K1594" i="6"/>
  <c r="K1595" i="6"/>
  <c r="K1596" i="6"/>
  <c r="K1597" i="6"/>
  <c r="K1598" i="6"/>
  <c r="K1599" i="6"/>
  <c r="K1600" i="6"/>
  <c r="K1601" i="6"/>
  <c r="K1602" i="6"/>
  <c r="K1603" i="6"/>
  <c r="K1604" i="6"/>
  <c r="K1605" i="6"/>
  <c r="K1606" i="6"/>
  <c r="K1607" i="6"/>
  <c r="K1608" i="6"/>
  <c r="K1609" i="6"/>
  <c r="K1610" i="6"/>
  <c r="K1611" i="6"/>
  <c r="K1612" i="6"/>
  <c r="K1613" i="6"/>
  <c r="K1614" i="6"/>
  <c r="K1615" i="6"/>
  <c r="K1616" i="6"/>
  <c r="K1617" i="6"/>
  <c r="K1618" i="6"/>
  <c r="K1619" i="6"/>
  <c r="K1620" i="6"/>
  <c r="K1621" i="6"/>
  <c r="K1622" i="6"/>
  <c r="K1623" i="6"/>
  <c r="K1624" i="6"/>
  <c r="K1625" i="6"/>
  <c r="K1626" i="6"/>
  <c r="K1627" i="6"/>
  <c r="K1628" i="6"/>
  <c r="K1629" i="6"/>
  <c r="K1630" i="6"/>
  <c r="K1631" i="6"/>
  <c r="K1632" i="6"/>
  <c r="K1633" i="6"/>
  <c r="K1634" i="6"/>
  <c r="K1635" i="6"/>
  <c r="K1636" i="6"/>
  <c r="K1637" i="6"/>
  <c r="K1638" i="6"/>
  <c r="K1639" i="6"/>
  <c r="K1640" i="6"/>
  <c r="K1641" i="6"/>
  <c r="K1642" i="6"/>
  <c r="K1643" i="6"/>
  <c r="K1644" i="6"/>
  <c r="K1645" i="6"/>
  <c r="K1646" i="6"/>
  <c r="K1647" i="6"/>
  <c r="K1648" i="6"/>
  <c r="K1649" i="6"/>
  <c r="K1650" i="6"/>
  <c r="K1651" i="6"/>
  <c r="K1652" i="6"/>
  <c r="K1653" i="6"/>
  <c r="K1654" i="6"/>
  <c r="K1655" i="6"/>
  <c r="K1656" i="6"/>
  <c r="K1657" i="6"/>
  <c r="K1658" i="6"/>
  <c r="K1659" i="6"/>
  <c r="K1660" i="6"/>
  <c r="K1661" i="6"/>
  <c r="K1662" i="6"/>
  <c r="K1663" i="6"/>
  <c r="K1664" i="6"/>
  <c r="K1665" i="6"/>
  <c r="K1666" i="6"/>
  <c r="K1667" i="6"/>
  <c r="K1668" i="6"/>
  <c r="K1669" i="6"/>
  <c r="K1670" i="6"/>
  <c r="K1671" i="6"/>
  <c r="K1672" i="6"/>
  <c r="K1673" i="6"/>
  <c r="K1674" i="6"/>
  <c r="K1675" i="6"/>
  <c r="K1676" i="6"/>
  <c r="K1677" i="6"/>
  <c r="K1678" i="6"/>
  <c r="K1679" i="6"/>
  <c r="K1680" i="6"/>
  <c r="K1681" i="6"/>
  <c r="K1682" i="6"/>
  <c r="K1683" i="6"/>
  <c r="K1684" i="6"/>
  <c r="K1685" i="6"/>
  <c r="K1686" i="6"/>
  <c r="K1687" i="6"/>
  <c r="K1688" i="6"/>
  <c r="K1689" i="6"/>
  <c r="K1690" i="6"/>
  <c r="K1691" i="6"/>
  <c r="K1692" i="6"/>
  <c r="K1693" i="6"/>
  <c r="K1694" i="6"/>
  <c r="K1695" i="6"/>
  <c r="K1696" i="6"/>
  <c r="K1697" i="6"/>
  <c r="K1698" i="6"/>
  <c r="K1699" i="6"/>
  <c r="K1700" i="6"/>
  <c r="K1701" i="6"/>
  <c r="K1702" i="6"/>
  <c r="K1703" i="6"/>
  <c r="K1704" i="6"/>
  <c r="K1705" i="6"/>
  <c r="K1706" i="6"/>
  <c r="K1707" i="6"/>
  <c r="K1708" i="6"/>
  <c r="K1709" i="6"/>
  <c r="K1710" i="6"/>
  <c r="K1711" i="6"/>
  <c r="K1712" i="6"/>
  <c r="K1713" i="6"/>
  <c r="K1714" i="6"/>
  <c r="K1715" i="6"/>
  <c r="K1716" i="6"/>
  <c r="K1717" i="6"/>
  <c r="K1718" i="6"/>
  <c r="K1719" i="6"/>
  <c r="K1720" i="6"/>
  <c r="K1721" i="6"/>
  <c r="K1722" i="6"/>
  <c r="K1723" i="6"/>
  <c r="K1724" i="6"/>
  <c r="K1725" i="6"/>
  <c r="K1726" i="6"/>
  <c r="K1727" i="6"/>
  <c r="K1728" i="6"/>
  <c r="K1729" i="6"/>
  <c r="K1730" i="6"/>
  <c r="K1731" i="6"/>
  <c r="K1732" i="6"/>
  <c r="K1733" i="6"/>
  <c r="K1734" i="6"/>
  <c r="K1735" i="6"/>
  <c r="K1736" i="6"/>
  <c r="K1737" i="6"/>
  <c r="K1738" i="6"/>
  <c r="K1739" i="6"/>
  <c r="K1740" i="6"/>
  <c r="K1741" i="6"/>
  <c r="K1742" i="6"/>
  <c r="K1743" i="6"/>
  <c r="K1744" i="6"/>
  <c r="K1745" i="6"/>
  <c r="K1746" i="6"/>
  <c r="K1747" i="6"/>
  <c r="K1748" i="6"/>
  <c r="K1749" i="6"/>
  <c r="K1750" i="6"/>
  <c r="K1751" i="6"/>
  <c r="K1752" i="6"/>
  <c r="K1753" i="6"/>
  <c r="K1754" i="6"/>
  <c r="K1755" i="6"/>
  <c r="K1756" i="6"/>
  <c r="K1757" i="6"/>
  <c r="K1758" i="6"/>
  <c r="K1759" i="6"/>
  <c r="K1760" i="6"/>
  <c r="K1761" i="6"/>
  <c r="K1762" i="6"/>
  <c r="K1763" i="6"/>
  <c r="K1764" i="6"/>
  <c r="K1765" i="6"/>
  <c r="K1766" i="6"/>
  <c r="K1767" i="6"/>
  <c r="K1768" i="6"/>
  <c r="K1769" i="6"/>
  <c r="K1770" i="6"/>
  <c r="K1771" i="6"/>
  <c r="K1772" i="6"/>
  <c r="K1773" i="6"/>
  <c r="K1774" i="6"/>
  <c r="K1775" i="6"/>
  <c r="K1776" i="6"/>
  <c r="K1777" i="6"/>
  <c r="K1778" i="6"/>
  <c r="K1779" i="6"/>
  <c r="K1780" i="6"/>
  <c r="K1781" i="6"/>
  <c r="K1782" i="6"/>
  <c r="K1783" i="6"/>
  <c r="K1784" i="6"/>
  <c r="K1785" i="6"/>
  <c r="K1786" i="6"/>
  <c r="K1787" i="6"/>
  <c r="K1788" i="6"/>
  <c r="K1789" i="6"/>
  <c r="K1790" i="6"/>
  <c r="K1791" i="6"/>
  <c r="K1792" i="6"/>
  <c r="K1793" i="6"/>
  <c r="K1794" i="6"/>
  <c r="K1795" i="6"/>
  <c r="K1796" i="6"/>
  <c r="K1797" i="6"/>
  <c r="K1798" i="6"/>
  <c r="K1799" i="6"/>
  <c r="K1800" i="6"/>
  <c r="K1801" i="6"/>
  <c r="K1802" i="6"/>
  <c r="K1803" i="6"/>
  <c r="K1804" i="6"/>
  <c r="K1805" i="6"/>
  <c r="K1806" i="6"/>
  <c r="K1807" i="6"/>
  <c r="K1808" i="6"/>
  <c r="K1809" i="6"/>
  <c r="K1810" i="6"/>
  <c r="K1811" i="6"/>
  <c r="K1812" i="6"/>
  <c r="K1813" i="6"/>
  <c r="K1814" i="6"/>
  <c r="K1815" i="6"/>
  <c r="K1816" i="6"/>
  <c r="K1817" i="6"/>
  <c r="K1818" i="6"/>
  <c r="K1819" i="6"/>
  <c r="K1820" i="6"/>
  <c r="K1821" i="6"/>
  <c r="K1822" i="6"/>
  <c r="K1823" i="6"/>
  <c r="K1824" i="6"/>
  <c r="K1825" i="6"/>
  <c r="K1826" i="6"/>
  <c r="K1827" i="6"/>
  <c r="K1828" i="6"/>
  <c r="K1829" i="6"/>
  <c r="K1830" i="6"/>
  <c r="K1831" i="6"/>
  <c r="K1832" i="6"/>
  <c r="K1833" i="6"/>
  <c r="K1834" i="6"/>
  <c r="K1835" i="6"/>
  <c r="K1836" i="6"/>
  <c r="K1837" i="6"/>
  <c r="K1838" i="6"/>
  <c r="K1839" i="6"/>
  <c r="K1840" i="6"/>
  <c r="K1841" i="6"/>
  <c r="K1842" i="6"/>
  <c r="K1843" i="6"/>
  <c r="K1844" i="6"/>
  <c r="K1845" i="6"/>
  <c r="K1846" i="6"/>
  <c r="K1847" i="6"/>
  <c r="K1848" i="6"/>
  <c r="K1849" i="6"/>
  <c r="K1850" i="6"/>
  <c r="K1851" i="6"/>
  <c r="K1852" i="6"/>
  <c r="K1853" i="6"/>
  <c r="K1854" i="6"/>
  <c r="K1855" i="6"/>
  <c r="K1856" i="6"/>
  <c r="K1857" i="6"/>
  <c r="K1858" i="6"/>
  <c r="K1859" i="6"/>
  <c r="K1860" i="6"/>
  <c r="K1861" i="6"/>
  <c r="K1862" i="6"/>
  <c r="K1863" i="6"/>
  <c r="K1864" i="6"/>
  <c r="K1865" i="6"/>
  <c r="K1866" i="6"/>
  <c r="K1867" i="6"/>
  <c r="K1868" i="6"/>
  <c r="K1869" i="6"/>
  <c r="K1870" i="6"/>
  <c r="K1871" i="6"/>
  <c r="K1872" i="6"/>
  <c r="K1873" i="6"/>
  <c r="K1874" i="6"/>
  <c r="K1875" i="6"/>
  <c r="K1876" i="6"/>
  <c r="K1877" i="6"/>
  <c r="K1878" i="6"/>
  <c r="K1879" i="6"/>
  <c r="K1880" i="6"/>
  <c r="K1881" i="6"/>
  <c r="K1882" i="6"/>
  <c r="K1883" i="6"/>
  <c r="K1884" i="6"/>
  <c r="K1885" i="6"/>
  <c r="K1886" i="6"/>
  <c r="K1887" i="6"/>
  <c r="K1888" i="6"/>
  <c r="K1889" i="6"/>
  <c r="K1890" i="6"/>
  <c r="K1891" i="6"/>
  <c r="K1892" i="6"/>
  <c r="K1893" i="6"/>
  <c r="K1894" i="6"/>
  <c r="K1895" i="6"/>
  <c r="K1896" i="6"/>
  <c r="K1897" i="6"/>
  <c r="K1898" i="6"/>
  <c r="K1899" i="6"/>
  <c r="K1900" i="6"/>
  <c r="K1901" i="6"/>
  <c r="K1902" i="6"/>
  <c r="K1903" i="6"/>
  <c r="K1904" i="6"/>
  <c r="K1905" i="6"/>
  <c r="K1906" i="6"/>
  <c r="K1907" i="6"/>
  <c r="K1908" i="6"/>
  <c r="K1909" i="6"/>
  <c r="K1910" i="6"/>
  <c r="K1911" i="6"/>
  <c r="K1912" i="6"/>
  <c r="K1913" i="6"/>
  <c r="K1914" i="6"/>
  <c r="K1915" i="6"/>
  <c r="K1916" i="6"/>
  <c r="K1917" i="6"/>
  <c r="K1918" i="6"/>
  <c r="K1919" i="6"/>
  <c r="K1920" i="6"/>
  <c r="K1921" i="6"/>
  <c r="K1922" i="6"/>
  <c r="K1923" i="6"/>
  <c r="K1924" i="6"/>
  <c r="K1925" i="6"/>
  <c r="K1926" i="6"/>
  <c r="K1927" i="6"/>
  <c r="K1928" i="6"/>
  <c r="K1929" i="6"/>
  <c r="K1930" i="6"/>
  <c r="K1931" i="6"/>
  <c r="K1932" i="6"/>
  <c r="K1933" i="6"/>
  <c r="K1934" i="6"/>
  <c r="K1935" i="6"/>
  <c r="K1936" i="6"/>
  <c r="K1937" i="6"/>
  <c r="K1938" i="6"/>
  <c r="K1939" i="6"/>
  <c r="K1940" i="6"/>
  <c r="K1941" i="6"/>
  <c r="K1942" i="6"/>
  <c r="K1943" i="6"/>
  <c r="K1944" i="6"/>
  <c r="K1945" i="6"/>
  <c r="K1946" i="6"/>
  <c r="K1947" i="6"/>
  <c r="K1948" i="6"/>
  <c r="K1949" i="6"/>
  <c r="K1950" i="6"/>
  <c r="K1951" i="6"/>
  <c r="K1952" i="6"/>
  <c r="K1953" i="6"/>
  <c r="K1954" i="6"/>
  <c r="K1955" i="6"/>
  <c r="K1956" i="6"/>
  <c r="K1957" i="6"/>
  <c r="K1958" i="6"/>
  <c r="K1959" i="6"/>
  <c r="K1960" i="6"/>
  <c r="K1961" i="6"/>
  <c r="K1962" i="6"/>
  <c r="K1963" i="6"/>
  <c r="K1964" i="6"/>
  <c r="K1965" i="6"/>
  <c r="K1966" i="6"/>
  <c r="K1967" i="6"/>
  <c r="K1968" i="6"/>
  <c r="K1969" i="6"/>
  <c r="K1970" i="6"/>
  <c r="K1971" i="6"/>
  <c r="K1972" i="6"/>
  <c r="K1973" i="6"/>
  <c r="K1974" i="6"/>
  <c r="K1975" i="6"/>
  <c r="K1976" i="6"/>
  <c r="K1977" i="6"/>
  <c r="K1978" i="6"/>
  <c r="K1979" i="6"/>
  <c r="K1980" i="6"/>
  <c r="K1981" i="6"/>
  <c r="K1982" i="6"/>
  <c r="K1983" i="6"/>
  <c r="K1984" i="6"/>
  <c r="K1985" i="6"/>
  <c r="K1986" i="6"/>
  <c r="K1987" i="6"/>
  <c r="K1988" i="6"/>
  <c r="K1989" i="6"/>
  <c r="K1990" i="6"/>
  <c r="K1991" i="6"/>
  <c r="K1992" i="6"/>
  <c r="K1993" i="6"/>
  <c r="K1994" i="6"/>
  <c r="K1995" i="6"/>
  <c r="K1996" i="6"/>
  <c r="K1997" i="6"/>
  <c r="K1998" i="6"/>
  <c r="K1999" i="6"/>
  <c r="K2000" i="6"/>
  <c r="K2001" i="6"/>
  <c r="K2002" i="6"/>
  <c r="K2003" i="6"/>
  <c r="K2004" i="6"/>
  <c r="K2005" i="6"/>
  <c r="K2006" i="6"/>
  <c r="K2007" i="6"/>
  <c r="K2008" i="6"/>
  <c r="K2009" i="6"/>
  <c r="K2010" i="6"/>
  <c r="K2011" i="6"/>
  <c r="K2012" i="6"/>
  <c r="K2013" i="6"/>
  <c r="K2014" i="6"/>
  <c r="K2015" i="6"/>
  <c r="K2016" i="6"/>
  <c r="K2017" i="6"/>
  <c r="K2018" i="6"/>
  <c r="K2019" i="6"/>
  <c r="K2020" i="6"/>
  <c r="K2021" i="6"/>
  <c r="K2022" i="6"/>
  <c r="K2023" i="6"/>
  <c r="K2024" i="6"/>
  <c r="K2025" i="6"/>
  <c r="K2026" i="6"/>
  <c r="K2027" i="6"/>
  <c r="K2028" i="6"/>
  <c r="K2029" i="6"/>
  <c r="K2030" i="6"/>
  <c r="K2031" i="6"/>
  <c r="K2032" i="6"/>
  <c r="K2033" i="6"/>
  <c r="K2034" i="6"/>
  <c r="K2035" i="6"/>
  <c r="K2036" i="6"/>
  <c r="K2037" i="6"/>
  <c r="K2038" i="6"/>
  <c r="K2039" i="6"/>
  <c r="K2040" i="6"/>
  <c r="K2041" i="6"/>
  <c r="K2042" i="6"/>
  <c r="K2043" i="6"/>
  <c r="K2044" i="6"/>
  <c r="K2045" i="6"/>
  <c r="K2046" i="6"/>
  <c r="K2047" i="6"/>
  <c r="K2048" i="6"/>
  <c r="K2049" i="6"/>
  <c r="K2050" i="6"/>
  <c r="K2051" i="6"/>
  <c r="K2052" i="6"/>
  <c r="K2053" i="6"/>
  <c r="K2054" i="6"/>
  <c r="K2055" i="6"/>
  <c r="K2056" i="6"/>
  <c r="K2057" i="6"/>
  <c r="K2058" i="6"/>
  <c r="K2059" i="6"/>
  <c r="K2060" i="6"/>
  <c r="K2061" i="6"/>
  <c r="K2062" i="6"/>
  <c r="K2063" i="6"/>
  <c r="K2064" i="6"/>
  <c r="K2065" i="6"/>
  <c r="K2066" i="6"/>
  <c r="K2067" i="6"/>
  <c r="K2068" i="6"/>
  <c r="K2069" i="6"/>
  <c r="K2070" i="6"/>
  <c r="K2071" i="6"/>
  <c r="K2072" i="6"/>
  <c r="K2073" i="6"/>
  <c r="K2074" i="6"/>
  <c r="K2075" i="6"/>
  <c r="K2076" i="6"/>
  <c r="K2077" i="6"/>
  <c r="K2078" i="6"/>
  <c r="K2079" i="6"/>
  <c r="K2080" i="6"/>
  <c r="K2081" i="6"/>
  <c r="K2082" i="6"/>
  <c r="K2083" i="6"/>
  <c r="K2084" i="6"/>
  <c r="K2085" i="6"/>
  <c r="K2086" i="6"/>
  <c r="K2087" i="6"/>
  <c r="K2088" i="6"/>
  <c r="K2089" i="6"/>
  <c r="K2090" i="6"/>
  <c r="K2091" i="6"/>
  <c r="K2092" i="6"/>
  <c r="K2093" i="6"/>
  <c r="K2094" i="6"/>
  <c r="K2095" i="6"/>
  <c r="K2096" i="6"/>
  <c r="K2097" i="6"/>
  <c r="K2098" i="6"/>
  <c r="K2099" i="6"/>
  <c r="K2100" i="6"/>
  <c r="K2101" i="6"/>
  <c r="K2102" i="6"/>
  <c r="K2103" i="6"/>
  <c r="K2104" i="6"/>
  <c r="K2105" i="6"/>
  <c r="K2106" i="6"/>
  <c r="K2107" i="6"/>
  <c r="K2108" i="6"/>
  <c r="K2109" i="6"/>
  <c r="K2110" i="6"/>
  <c r="K2111" i="6"/>
  <c r="K2112" i="6"/>
  <c r="K2113" i="6"/>
  <c r="K2114" i="6"/>
  <c r="K2115" i="6"/>
  <c r="K2116" i="6"/>
  <c r="K2117" i="6"/>
  <c r="K2118" i="6"/>
  <c r="K2119" i="6"/>
  <c r="K2120" i="6"/>
  <c r="K2121" i="6"/>
  <c r="K2122" i="6"/>
  <c r="K2123" i="6"/>
  <c r="K2124" i="6"/>
  <c r="K2125" i="6"/>
  <c r="K2126" i="6"/>
  <c r="K2127" i="6"/>
  <c r="K2128" i="6"/>
  <c r="K2129" i="6"/>
  <c r="K2130" i="6"/>
  <c r="K2131" i="6"/>
  <c r="K2132" i="6"/>
  <c r="K2133" i="6"/>
  <c r="K2134" i="6"/>
  <c r="K2135" i="6"/>
  <c r="K2136" i="6"/>
  <c r="K2137" i="6"/>
  <c r="K2138" i="6"/>
  <c r="K2139" i="6"/>
  <c r="K2140" i="6"/>
  <c r="K2141" i="6"/>
  <c r="K2142" i="6"/>
  <c r="K2143" i="6"/>
  <c r="K2144" i="6"/>
  <c r="K2145" i="6"/>
  <c r="K2146" i="6"/>
  <c r="K2147" i="6"/>
  <c r="K2148" i="6"/>
  <c r="K2149" i="6"/>
  <c r="K2150" i="6"/>
  <c r="K2151" i="6"/>
  <c r="K2152" i="6"/>
  <c r="K2153" i="6"/>
  <c r="K2154" i="6"/>
  <c r="K2155" i="6"/>
  <c r="K2156" i="6"/>
  <c r="K2157" i="6"/>
  <c r="K2158" i="6"/>
  <c r="K2159" i="6"/>
  <c r="K2160" i="6"/>
  <c r="K2161" i="6"/>
  <c r="K2162" i="6"/>
  <c r="K2163" i="6"/>
  <c r="K2164" i="6"/>
  <c r="K2165" i="6"/>
  <c r="K2166" i="6"/>
  <c r="K2167" i="6"/>
  <c r="K2168" i="6"/>
  <c r="K2169" i="6"/>
  <c r="K2170"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L506" i="6"/>
  <c r="L507" i="6"/>
  <c r="L508" i="6"/>
  <c r="L509" i="6"/>
  <c r="L510" i="6"/>
  <c r="L511" i="6"/>
  <c r="L512" i="6"/>
  <c r="L513" i="6"/>
  <c r="L514" i="6"/>
  <c r="L515" i="6"/>
  <c r="L516" i="6"/>
  <c r="L517" i="6"/>
  <c r="L518" i="6"/>
  <c r="L519" i="6"/>
  <c r="L520" i="6"/>
  <c r="L521" i="6"/>
  <c r="L522" i="6"/>
  <c r="L523" i="6"/>
  <c r="L524" i="6"/>
  <c r="L525" i="6"/>
  <c r="L526" i="6"/>
  <c r="L527" i="6"/>
  <c r="L528" i="6"/>
  <c r="L529" i="6"/>
  <c r="L530" i="6"/>
  <c r="L531" i="6"/>
  <c r="L532" i="6"/>
  <c r="L533" i="6"/>
  <c r="L534" i="6"/>
  <c r="L535" i="6"/>
  <c r="L536" i="6"/>
  <c r="L537" i="6"/>
  <c r="L538" i="6"/>
  <c r="L539" i="6"/>
  <c r="L540" i="6"/>
  <c r="L541" i="6"/>
  <c r="L542" i="6"/>
  <c r="L543" i="6"/>
  <c r="L544" i="6"/>
  <c r="L545" i="6"/>
  <c r="L546" i="6"/>
  <c r="L547" i="6"/>
  <c r="L548" i="6"/>
  <c r="L549" i="6"/>
  <c r="L550" i="6"/>
  <c r="L551" i="6"/>
  <c r="L552" i="6"/>
  <c r="L553" i="6"/>
  <c r="L554" i="6"/>
  <c r="L555" i="6"/>
  <c r="L556" i="6"/>
  <c r="L557" i="6"/>
  <c r="L558" i="6"/>
  <c r="L559" i="6"/>
  <c r="L560" i="6"/>
  <c r="L561" i="6"/>
  <c r="L562" i="6"/>
  <c r="L563" i="6"/>
  <c r="L564" i="6"/>
  <c r="L565" i="6"/>
  <c r="L566" i="6"/>
  <c r="L567" i="6"/>
  <c r="L568" i="6"/>
  <c r="L569" i="6"/>
  <c r="L570" i="6"/>
  <c r="L571" i="6"/>
  <c r="L572" i="6"/>
  <c r="L573" i="6"/>
  <c r="L574" i="6"/>
  <c r="L575" i="6"/>
  <c r="L576" i="6"/>
  <c r="L577" i="6"/>
  <c r="L578" i="6"/>
  <c r="L579" i="6"/>
  <c r="L580" i="6"/>
  <c r="L581" i="6"/>
  <c r="L582" i="6"/>
  <c r="L583" i="6"/>
  <c r="L584" i="6"/>
  <c r="L585" i="6"/>
  <c r="L586" i="6"/>
  <c r="L587" i="6"/>
  <c r="L588" i="6"/>
  <c r="L589" i="6"/>
  <c r="L590" i="6"/>
  <c r="L591" i="6"/>
  <c r="L592" i="6"/>
  <c r="L593" i="6"/>
  <c r="L594" i="6"/>
  <c r="L595" i="6"/>
  <c r="L596" i="6"/>
  <c r="L597" i="6"/>
  <c r="L598" i="6"/>
  <c r="L599" i="6"/>
  <c r="L600" i="6"/>
  <c r="L601" i="6"/>
  <c r="L602" i="6"/>
  <c r="L603" i="6"/>
  <c r="L604" i="6"/>
  <c r="L605" i="6"/>
  <c r="L606" i="6"/>
  <c r="L607" i="6"/>
  <c r="L608" i="6"/>
  <c r="L609" i="6"/>
  <c r="L610" i="6"/>
  <c r="L611" i="6"/>
  <c r="L612" i="6"/>
  <c r="L613" i="6"/>
  <c r="L614" i="6"/>
  <c r="L615" i="6"/>
  <c r="L616" i="6"/>
  <c r="L617" i="6"/>
  <c r="L618" i="6"/>
  <c r="L619" i="6"/>
  <c r="L620" i="6"/>
  <c r="L621" i="6"/>
  <c r="L622" i="6"/>
  <c r="L623" i="6"/>
  <c r="L624" i="6"/>
  <c r="L625" i="6"/>
  <c r="L626" i="6"/>
  <c r="L627" i="6"/>
  <c r="L628" i="6"/>
  <c r="L629" i="6"/>
  <c r="L630" i="6"/>
  <c r="L631" i="6"/>
  <c r="L632" i="6"/>
  <c r="L633" i="6"/>
  <c r="L634" i="6"/>
  <c r="L635" i="6"/>
  <c r="L636" i="6"/>
  <c r="L637" i="6"/>
  <c r="L638" i="6"/>
  <c r="L639" i="6"/>
  <c r="L640" i="6"/>
  <c r="L641" i="6"/>
  <c r="L642" i="6"/>
  <c r="L643" i="6"/>
  <c r="L644" i="6"/>
  <c r="L645" i="6"/>
  <c r="L646" i="6"/>
  <c r="L647" i="6"/>
  <c r="L648" i="6"/>
  <c r="L649" i="6"/>
  <c r="L650" i="6"/>
  <c r="L651" i="6"/>
  <c r="L652" i="6"/>
  <c r="L653" i="6"/>
  <c r="L654" i="6"/>
  <c r="L655" i="6"/>
  <c r="L656" i="6"/>
  <c r="L657" i="6"/>
  <c r="L658" i="6"/>
  <c r="L659" i="6"/>
  <c r="L660" i="6"/>
  <c r="L661" i="6"/>
  <c r="L662" i="6"/>
  <c r="L663" i="6"/>
  <c r="L664" i="6"/>
  <c r="L665" i="6"/>
  <c r="L666" i="6"/>
  <c r="L667" i="6"/>
  <c r="L668" i="6"/>
  <c r="L669" i="6"/>
  <c r="L670" i="6"/>
  <c r="L671" i="6"/>
  <c r="L672" i="6"/>
  <c r="L673" i="6"/>
  <c r="L674" i="6"/>
  <c r="L675" i="6"/>
  <c r="L676" i="6"/>
  <c r="L677" i="6"/>
  <c r="L678" i="6"/>
  <c r="L679" i="6"/>
  <c r="L680" i="6"/>
  <c r="L681" i="6"/>
  <c r="L682" i="6"/>
  <c r="L683" i="6"/>
  <c r="L684" i="6"/>
  <c r="L685" i="6"/>
  <c r="L686" i="6"/>
  <c r="L687" i="6"/>
  <c r="L688" i="6"/>
  <c r="L689" i="6"/>
  <c r="L690" i="6"/>
  <c r="L691" i="6"/>
  <c r="L692" i="6"/>
  <c r="L693" i="6"/>
  <c r="L694" i="6"/>
  <c r="L695" i="6"/>
  <c r="L696" i="6"/>
  <c r="L697" i="6"/>
  <c r="L698" i="6"/>
  <c r="L699" i="6"/>
  <c r="L700" i="6"/>
  <c r="L701" i="6"/>
  <c r="L702" i="6"/>
  <c r="L703" i="6"/>
  <c r="L704" i="6"/>
  <c r="L705" i="6"/>
  <c r="L706" i="6"/>
  <c r="L707" i="6"/>
  <c r="L708" i="6"/>
  <c r="L709" i="6"/>
  <c r="L710" i="6"/>
  <c r="L711" i="6"/>
  <c r="L712" i="6"/>
  <c r="L713" i="6"/>
  <c r="L714" i="6"/>
  <c r="L715" i="6"/>
  <c r="L716" i="6"/>
  <c r="L717" i="6"/>
  <c r="L718" i="6"/>
  <c r="L719" i="6"/>
  <c r="L720" i="6"/>
  <c r="L721" i="6"/>
  <c r="L722" i="6"/>
  <c r="L723" i="6"/>
  <c r="L724" i="6"/>
  <c r="L725" i="6"/>
  <c r="L726" i="6"/>
  <c r="L727" i="6"/>
  <c r="L728" i="6"/>
  <c r="L729" i="6"/>
  <c r="L730" i="6"/>
  <c r="L731" i="6"/>
  <c r="L732" i="6"/>
  <c r="L733" i="6"/>
  <c r="L734" i="6"/>
  <c r="L735" i="6"/>
  <c r="L736" i="6"/>
  <c r="L737" i="6"/>
  <c r="L738" i="6"/>
  <c r="L739" i="6"/>
  <c r="L740" i="6"/>
  <c r="L741" i="6"/>
  <c r="L742" i="6"/>
  <c r="L743" i="6"/>
  <c r="L744" i="6"/>
  <c r="L745" i="6"/>
  <c r="L746" i="6"/>
  <c r="L747" i="6"/>
  <c r="L748" i="6"/>
  <c r="L749" i="6"/>
  <c r="L750" i="6"/>
  <c r="L751" i="6"/>
  <c r="L752" i="6"/>
  <c r="L753" i="6"/>
  <c r="L754" i="6"/>
  <c r="L755" i="6"/>
  <c r="L756" i="6"/>
  <c r="L757" i="6"/>
  <c r="L758" i="6"/>
  <c r="L759" i="6"/>
  <c r="L760" i="6"/>
  <c r="L761" i="6"/>
  <c r="L762" i="6"/>
  <c r="L763" i="6"/>
  <c r="L764" i="6"/>
  <c r="L765" i="6"/>
  <c r="L766" i="6"/>
  <c r="L767" i="6"/>
  <c r="L768" i="6"/>
  <c r="L769" i="6"/>
  <c r="L770" i="6"/>
  <c r="L771" i="6"/>
  <c r="L772" i="6"/>
  <c r="L773" i="6"/>
  <c r="L774" i="6"/>
  <c r="L775" i="6"/>
  <c r="L776" i="6"/>
  <c r="L777" i="6"/>
  <c r="L778" i="6"/>
  <c r="L779" i="6"/>
  <c r="L780" i="6"/>
  <c r="L781" i="6"/>
  <c r="L782" i="6"/>
  <c r="L783" i="6"/>
  <c r="L784" i="6"/>
  <c r="L785" i="6"/>
  <c r="L786" i="6"/>
  <c r="L787" i="6"/>
  <c r="L788" i="6"/>
  <c r="L789" i="6"/>
  <c r="L790" i="6"/>
  <c r="L791" i="6"/>
  <c r="L792" i="6"/>
  <c r="L793" i="6"/>
  <c r="L794" i="6"/>
  <c r="L795" i="6"/>
  <c r="L796" i="6"/>
  <c r="L797" i="6"/>
  <c r="L798" i="6"/>
  <c r="L799" i="6"/>
  <c r="L800" i="6"/>
  <c r="L801" i="6"/>
  <c r="L802" i="6"/>
  <c r="L803" i="6"/>
  <c r="L804" i="6"/>
  <c r="L805" i="6"/>
  <c r="L806" i="6"/>
  <c r="L807" i="6"/>
  <c r="L808" i="6"/>
  <c r="L809" i="6"/>
  <c r="L810" i="6"/>
  <c r="L811" i="6"/>
  <c r="L812" i="6"/>
  <c r="L813" i="6"/>
  <c r="L814" i="6"/>
  <c r="L815" i="6"/>
  <c r="L816" i="6"/>
  <c r="L817" i="6"/>
  <c r="L818" i="6"/>
  <c r="L819" i="6"/>
  <c r="L820" i="6"/>
  <c r="L821" i="6"/>
  <c r="L822" i="6"/>
  <c r="L823" i="6"/>
  <c r="L824" i="6"/>
  <c r="L825" i="6"/>
  <c r="L826" i="6"/>
  <c r="L827" i="6"/>
  <c r="L828" i="6"/>
  <c r="L829" i="6"/>
  <c r="L830" i="6"/>
  <c r="L831" i="6"/>
  <c r="L832" i="6"/>
  <c r="L833" i="6"/>
  <c r="L834" i="6"/>
  <c r="L835" i="6"/>
  <c r="L836" i="6"/>
  <c r="L837" i="6"/>
  <c r="L838" i="6"/>
  <c r="L839" i="6"/>
  <c r="L840" i="6"/>
  <c r="L841" i="6"/>
  <c r="L842" i="6"/>
  <c r="L843" i="6"/>
  <c r="L844" i="6"/>
  <c r="L845" i="6"/>
  <c r="L846" i="6"/>
  <c r="L847" i="6"/>
  <c r="L848" i="6"/>
  <c r="L849" i="6"/>
  <c r="L850" i="6"/>
  <c r="L851" i="6"/>
  <c r="L852" i="6"/>
  <c r="L853" i="6"/>
  <c r="L854" i="6"/>
  <c r="L855" i="6"/>
  <c r="L856" i="6"/>
  <c r="L857" i="6"/>
  <c r="L858" i="6"/>
  <c r="L859" i="6"/>
  <c r="L860" i="6"/>
  <c r="L861" i="6"/>
  <c r="L862" i="6"/>
  <c r="L863" i="6"/>
  <c r="L864" i="6"/>
  <c r="L865" i="6"/>
  <c r="L866" i="6"/>
  <c r="L867" i="6"/>
  <c r="L868" i="6"/>
  <c r="L869" i="6"/>
  <c r="L870" i="6"/>
  <c r="L871" i="6"/>
  <c r="L872" i="6"/>
  <c r="L873" i="6"/>
  <c r="L874" i="6"/>
  <c r="L875" i="6"/>
  <c r="L876" i="6"/>
  <c r="L877" i="6"/>
  <c r="L878" i="6"/>
  <c r="L879" i="6"/>
  <c r="L880" i="6"/>
  <c r="L881" i="6"/>
  <c r="L882" i="6"/>
  <c r="L883" i="6"/>
  <c r="L884" i="6"/>
  <c r="L885" i="6"/>
  <c r="L886" i="6"/>
  <c r="L887" i="6"/>
  <c r="L888" i="6"/>
  <c r="L889" i="6"/>
  <c r="L890" i="6"/>
  <c r="L891" i="6"/>
  <c r="L892" i="6"/>
  <c r="L893" i="6"/>
  <c r="L894" i="6"/>
  <c r="L895" i="6"/>
  <c r="L896" i="6"/>
  <c r="L897" i="6"/>
  <c r="L898" i="6"/>
  <c r="L899" i="6"/>
  <c r="L900" i="6"/>
  <c r="L901" i="6"/>
  <c r="L902" i="6"/>
  <c r="L903" i="6"/>
  <c r="L904" i="6"/>
  <c r="L905" i="6"/>
  <c r="L906" i="6"/>
  <c r="L907" i="6"/>
  <c r="L908" i="6"/>
  <c r="L909" i="6"/>
  <c r="L910" i="6"/>
  <c r="L911" i="6"/>
  <c r="L912" i="6"/>
  <c r="L913" i="6"/>
  <c r="L914" i="6"/>
  <c r="L915" i="6"/>
  <c r="L916" i="6"/>
  <c r="L917" i="6"/>
  <c r="L918" i="6"/>
  <c r="L919" i="6"/>
  <c r="L920" i="6"/>
  <c r="L921" i="6"/>
  <c r="L922" i="6"/>
  <c r="L923" i="6"/>
  <c r="L924" i="6"/>
  <c r="L925" i="6"/>
  <c r="L926" i="6"/>
  <c r="L927" i="6"/>
  <c r="L928" i="6"/>
  <c r="L929" i="6"/>
  <c r="L930" i="6"/>
  <c r="L931" i="6"/>
  <c r="L932" i="6"/>
  <c r="L933" i="6"/>
  <c r="L934" i="6"/>
  <c r="L935" i="6"/>
  <c r="L936" i="6"/>
  <c r="L937" i="6"/>
  <c r="L938" i="6"/>
  <c r="L939" i="6"/>
  <c r="L940" i="6"/>
  <c r="L941" i="6"/>
  <c r="L942" i="6"/>
  <c r="L943" i="6"/>
  <c r="L944" i="6"/>
  <c r="L945" i="6"/>
  <c r="L946" i="6"/>
  <c r="L947" i="6"/>
  <c r="L948" i="6"/>
  <c r="L949" i="6"/>
  <c r="L950" i="6"/>
  <c r="L951" i="6"/>
  <c r="L952" i="6"/>
  <c r="L953" i="6"/>
  <c r="L954" i="6"/>
  <c r="L955" i="6"/>
  <c r="L956" i="6"/>
  <c r="L957" i="6"/>
  <c r="L958" i="6"/>
  <c r="L959" i="6"/>
  <c r="L960" i="6"/>
  <c r="L961" i="6"/>
  <c r="L962" i="6"/>
  <c r="L963" i="6"/>
  <c r="L964" i="6"/>
  <c r="L965" i="6"/>
  <c r="L966" i="6"/>
  <c r="L967" i="6"/>
  <c r="L968" i="6"/>
  <c r="L969" i="6"/>
  <c r="L970" i="6"/>
  <c r="L971" i="6"/>
  <c r="L972" i="6"/>
  <c r="L973" i="6"/>
  <c r="L974" i="6"/>
  <c r="L975" i="6"/>
  <c r="L976" i="6"/>
  <c r="L977" i="6"/>
  <c r="L978" i="6"/>
  <c r="L979" i="6"/>
  <c r="L980" i="6"/>
  <c r="L981" i="6"/>
  <c r="L982" i="6"/>
  <c r="L983" i="6"/>
  <c r="L984" i="6"/>
  <c r="L985" i="6"/>
  <c r="L986" i="6"/>
  <c r="L987" i="6"/>
  <c r="L988" i="6"/>
  <c r="L989" i="6"/>
  <c r="L990" i="6"/>
  <c r="L991" i="6"/>
  <c r="L992" i="6"/>
  <c r="L993" i="6"/>
  <c r="L994" i="6"/>
  <c r="L995" i="6"/>
  <c r="L996" i="6"/>
  <c r="L997" i="6"/>
  <c r="L998" i="6"/>
  <c r="L999" i="6"/>
  <c r="L1000" i="6"/>
  <c r="L1001" i="6"/>
  <c r="L1002" i="6"/>
  <c r="L1003" i="6"/>
  <c r="L1004" i="6"/>
  <c r="L1005" i="6"/>
  <c r="L1006" i="6"/>
  <c r="L1007" i="6"/>
  <c r="L1008" i="6"/>
  <c r="L1009" i="6"/>
  <c r="L1010" i="6"/>
  <c r="L1011" i="6"/>
  <c r="L1012" i="6"/>
  <c r="L1013" i="6"/>
  <c r="L1014" i="6"/>
  <c r="L1015" i="6"/>
  <c r="L1016" i="6"/>
  <c r="L1017" i="6"/>
  <c r="L1018" i="6"/>
  <c r="L1019" i="6"/>
  <c r="L1020" i="6"/>
  <c r="L1021" i="6"/>
  <c r="L1022" i="6"/>
  <c r="L1023" i="6"/>
  <c r="L1024" i="6"/>
  <c r="L1025" i="6"/>
  <c r="L1026" i="6"/>
  <c r="L1027" i="6"/>
  <c r="L1028" i="6"/>
  <c r="L1029" i="6"/>
  <c r="L1030" i="6"/>
  <c r="L1031" i="6"/>
  <c r="L1032" i="6"/>
  <c r="L1033" i="6"/>
  <c r="L1034" i="6"/>
  <c r="L1035" i="6"/>
  <c r="L1036" i="6"/>
  <c r="L1037" i="6"/>
  <c r="L1038" i="6"/>
  <c r="L1039" i="6"/>
  <c r="L1040" i="6"/>
  <c r="L1041" i="6"/>
  <c r="L1042" i="6"/>
  <c r="L1043" i="6"/>
  <c r="L1044" i="6"/>
  <c r="L1045" i="6"/>
  <c r="L1046" i="6"/>
  <c r="L1047" i="6"/>
  <c r="L1048" i="6"/>
  <c r="L1049" i="6"/>
  <c r="L1050" i="6"/>
  <c r="L1051" i="6"/>
  <c r="L1052" i="6"/>
  <c r="L1053" i="6"/>
  <c r="L1054" i="6"/>
  <c r="L1055" i="6"/>
  <c r="L1056" i="6"/>
  <c r="L1057" i="6"/>
  <c r="L1058" i="6"/>
  <c r="L1059" i="6"/>
  <c r="L1060" i="6"/>
  <c r="L1061" i="6"/>
  <c r="L1062" i="6"/>
  <c r="L1063" i="6"/>
  <c r="L1064" i="6"/>
  <c r="L1065" i="6"/>
  <c r="L1066" i="6"/>
  <c r="L1067" i="6"/>
  <c r="L1068" i="6"/>
  <c r="L1069" i="6"/>
  <c r="L1070" i="6"/>
  <c r="L1071" i="6"/>
  <c r="L1072" i="6"/>
  <c r="L1073" i="6"/>
  <c r="L1074" i="6"/>
  <c r="L1075" i="6"/>
  <c r="L1076" i="6"/>
  <c r="L1077" i="6"/>
  <c r="L1078" i="6"/>
  <c r="L1079" i="6"/>
  <c r="L1080" i="6"/>
  <c r="L1081" i="6"/>
  <c r="L1082" i="6"/>
  <c r="L1083" i="6"/>
  <c r="L1084" i="6"/>
  <c r="L1085" i="6"/>
  <c r="L1086" i="6"/>
  <c r="L1087" i="6"/>
  <c r="L1088" i="6"/>
  <c r="L1089" i="6"/>
  <c r="L1090" i="6"/>
  <c r="L1091" i="6"/>
  <c r="L1092" i="6"/>
  <c r="L1093" i="6"/>
  <c r="L1094" i="6"/>
  <c r="L1095" i="6"/>
  <c r="L1096" i="6"/>
  <c r="L1097" i="6"/>
  <c r="L1098" i="6"/>
  <c r="L1099" i="6"/>
  <c r="L1100" i="6"/>
  <c r="L1101" i="6"/>
  <c r="L1102" i="6"/>
  <c r="L1103" i="6"/>
  <c r="L1104" i="6"/>
  <c r="L1105" i="6"/>
  <c r="L1106" i="6"/>
  <c r="L1107" i="6"/>
  <c r="L1108" i="6"/>
  <c r="L1109" i="6"/>
  <c r="L1110" i="6"/>
  <c r="L1111" i="6"/>
  <c r="L1112" i="6"/>
  <c r="L1113" i="6"/>
  <c r="L1114" i="6"/>
  <c r="L1115" i="6"/>
  <c r="L1116" i="6"/>
  <c r="L1117" i="6"/>
  <c r="L1118" i="6"/>
  <c r="L1119" i="6"/>
  <c r="L1120" i="6"/>
  <c r="L1121" i="6"/>
  <c r="L1122" i="6"/>
  <c r="L1123" i="6"/>
  <c r="L1124" i="6"/>
  <c r="L1125" i="6"/>
  <c r="L1126" i="6"/>
  <c r="L1127" i="6"/>
  <c r="L1128" i="6"/>
  <c r="L1129" i="6"/>
  <c r="L1130" i="6"/>
  <c r="L1131" i="6"/>
  <c r="L1132" i="6"/>
  <c r="L1133" i="6"/>
  <c r="L1134" i="6"/>
  <c r="L1135" i="6"/>
  <c r="L1136" i="6"/>
  <c r="L1137" i="6"/>
  <c r="L1138" i="6"/>
  <c r="L1139" i="6"/>
  <c r="L1140" i="6"/>
  <c r="L1141" i="6"/>
  <c r="L1142" i="6"/>
  <c r="L1143" i="6"/>
  <c r="L1144" i="6"/>
  <c r="L1145" i="6"/>
  <c r="L1146" i="6"/>
  <c r="L1147" i="6"/>
  <c r="L1148" i="6"/>
  <c r="L1149" i="6"/>
  <c r="L1150" i="6"/>
  <c r="L1151" i="6"/>
  <c r="L1152" i="6"/>
  <c r="L1153" i="6"/>
  <c r="L1154" i="6"/>
  <c r="L1155" i="6"/>
  <c r="L1156" i="6"/>
  <c r="L1157" i="6"/>
  <c r="L1158" i="6"/>
  <c r="L1159" i="6"/>
  <c r="L1160" i="6"/>
  <c r="L1161" i="6"/>
  <c r="L1162" i="6"/>
  <c r="L1163" i="6"/>
  <c r="L1164" i="6"/>
  <c r="L1165" i="6"/>
  <c r="L1166" i="6"/>
  <c r="L1167" i="6"/>
  <c r="L1168" i="6"/>
  <c r="L1169" i="6"/>
  <c r="L1170" i="6"/>
  <c r="L1171" i="6"/>
  <c r="L1172" i="6"/>
  <c r="L1173" i="6"/>
  <c r="L1174" i="6"/>
  <c r="L1175" i="6"/>
  <c r="L1176" i="6"/>
  <c r="L1177" i="6"/>
  <c r="L1178" i="6"/>
  <c r="L1179" i="6"/>
  <c r="L1180" i="6"/>
  <c r="L1181" i="6"/>
  <c r="L1182" i="6"/>
  <c r="L1183" i="6"/>
  <c r="L1184" i="6"/>
  <c r="L1185" i="6"/>
  <c r="L1186" i="6"/>
  <c r="L1187" i="6"/>
  <c r="L1188" i="6"/>
  <c r="L1189" i="6"/>
  <c r="L1190" i="6"/>
  <c r="L1191" i="6"/>
  <c r="L1192" i="6"/>
  <c r="L1193" i="6"/>
  <c r="L1194" i="6"/>
  <c r="L1195" i="6"/>
  <c r="L1196" i="6"/>
  <c r="L1197" i="6"/>
  <c r="L1198" i="6"/>
  <c r="L1199" i="6"/>
  <c r="L1200" i="6"/>
  <c r="L1201" i="6"/>
  <c r="L1202" i="6"/>
  <c r="L1203" i="6"/>
  <c r="L1204" i="6"/>
  <c r="L1205" i="6"/>
  <c r="L1206" i="6"/>
  <c r="L1207" i="6"/>
  <c r="L1208" i="6"/>
  <c r="L1209" i="6"/>
  <c r="L1210" i="6"/>
  <c r="L1211" i="6"/>
  <c r="L1212" i="6"/>
  <c r="L1213" i="6"/>
  <c r="L1214" i="6"/>
  <c r="L1215" i="6"/>
  <c r="L1216" i="6"/>
  <c r="L1217" i="6"/>
  <c r="L1218" i="6"/>
  <c r="L1219" i="6"/>
  <c r="L1220" i="6"/>
  <c r="L1221" i="6"/>
  <c r="L1222" i="6"/>
  <c r="L1223" i="6"/>
  <c r="L1224" i="6"/>
  <c r="L1225" i="6"/>
  <c r="L1226" i="6"/>
  <c r="L1227" i="6"/>
  <c r="L1228" i="6"/>
  <c r="L1229" i="6"/>
  <c r="L1230" i="6"/>
  <c r="L1231" i="6"/>
  <c r="L1232" i="6"/>
  <c r="L1233" i="6"/>
  <c r="L1234" i="6"/>
  <c r="L1235" i="6"/>
  <c r="L1236" i="6"/>
  <c r="L1237" i="6"/>
  <c r="L1238" i="6"/>
  <c r="L1239" i="6"/>
  <c r="L1240" i="6"/>
  <c r="L1241" i="6"/>
  <c r="L1242" i="6"/>
  <c r="L1243" i="6"/>
  <c r="L1244" i="6"/>
  <c r="L1245" i="6"/>
  <c r="L1246" i="6"/>
  <c r="L1247" i="6"/>
  <c r="L1248" i="6"/>
  <c r="L1249" i="6"/>
  <c r="L1250" i="6"/>
  <c r="L1251" i="6"/>
  <c r="L1252" i="6"/>
  <c r="L1253" i="6"/>
  <c r="L1254" i="6"/>
  <c r="L1255" i="6"/>
  <c r="L1256" i="6"/>
  <c r="L1257" i="6"/>
  <c r="L1258" i="6"/>
  <c r="L1259" i="6"/>
  <c r="L1260" i="6"/>
  <c r="L1261" i="6"/>
  <c r="L1262" i="6"/>
  <c r="L1263" i="6"/>
  <c r="L1264" i="6"/>
  <c r="L1265" i="6"/>
  <c r="L1266" i="6"/>
  <c r="L1267" i="6"/>
  <c r="L1268" i="6"/>
  <c r="L1269" i="6"/>
  <c r="L1270" i="6"/>
  <c r="L1271" i="6"/>
  <c r="L1272" i="6"/>
  <c r="L1273" i="6"/>
  <c r="L1274" i="6"/>
  <c r="L1275" i="6"/>
  <c r="L1276" i="6"/>
  <c r="L1277" i="6"/>
  <c r="L1278" i="6"/>
  <c r="L1279" i="6"/>
  <c r="L1280" i="6"/>
  <c r="L1281" i="6"/>
  <c r="L1282" i="6"/>
  <c r="L1283" i="6"/>
  <c r="L1284" i="6"/>
  <c r="L1285" i="6"/>
  <c r="L1286" i="6"/>
  <c r="L1287" i="6"/>
  <c r="L1288" i="6"/>
  <c r="L1289" i="6"/>
  <c r="L1290" i="6"/>
  <c r="L1291" i="6"/>
  <c r="L1292" i="6"/>
  <c r="L1293" i="6"/>
  <c r="L1294" i="6"/>
  <c r="L1295" i="6"/>
  <c r="L1296" i="6"/>
  <c r="L1297" i="6"/>
  <c r="L1298" i="6"/>
  <c r="L1299" i="6"/>
  <c r="L1300" i="6"/>
  <c r="L1301" i="6"/>
  <c r="L1302" i="6"/>
  <c r="L1303" i="6"/>
  <c r="L1304" i="6"/>
  <c r="L1305" i="6"/>
  <c r="L1306" i="6"/>
  <c r="L1307" i="6"/>
  <c r="L1308" i="6"/>
  <c r="L1309" i="6"/>
  <c r="L1310" i="6"/>
  <c r="L1311" i="6"/>
  <c r="L1312" i="6"/>
  <c r="L1313" i="6"/>
  <c r="L1314" i="6"/>
  <c r="L1315" i="6"/>
  <c r="L1316" i="6"/>
  <c r="L1317" i="6"/>
  <c r="L1318" i="6"/>
  <c r="L1319" i="6"/>
  <c r="L1320" i="6"/>
  <c r="L1321" i="6"/>
  <c r="L1322" i="6"/>
  <c r="L1323" i="6"/>
  <c r="L1324" i="6"/>
  <c r="L1325" i="6"/>
  <c r="L1326" i="6"/>
  <c r="L1327" i="6"/>
  <c r="L1328" i="6"/>
  <c r="L1329" i="6"/>
  <c r="L1330" i="6"/>
  <c r="L1331" i="6"/>
  <c r="L1332" i="6"/>
  <c r="L1333" i="6"/>
  <c r="L1334" i="6"/>
  <c r="L1335" i="6"/>
  <c r="L1336" i="6"/>
  <c r="L1337" i="6"/>
  <c r="L1338" i="6"/>
  <c r="L1339" i="6"/>
  <c r="L1340" i="6"/>
  <c r="L1341" i="6"/>
  <c r="L1342" i="6"/>
  <c r="L1343" i="6"/>
  <c r="L1344" i="6"/>
  <c r="L1345" i="6"/>
  <c r="L1346" i="6"/>
  <c r="L1347" i="6"/>
  <c r="L1348" i="6"/>
  <c r="L1349" i="6"/>
  <c r="L1350" i="6"/>
  <c r="L1351" i="6"/>
  <c r="L1352" i="6"/>
  <c r="L1353" i="6"/>
  <c r="L1354" i="6"/>
  <c r="L1355" i="6"/>
  <c r="L1356" i="6"/>
  <c r="L1357" i="6"/>
  <c r="L1358" i="6"/>
  <c r="L1359" i="6"/>
  <c r="L1360" i="6"/>
  <c r="L1361" i="6"/>
  <c r="L1362" i="6"/>
  <c r="L1363" i="6"/>
  <c r="L1364" i="6"/>
  <c r="L1365" i="6"/>
  <c r="L1366" i="6"/>
  <c r="L1367" i="6"/>
  <c r="L1368" i="6"/>
  <c r="L1369" i="6"/>
  <c r="L1370" i="6"/>
  <c r="L1371" i="6"/>
  <c r="L1372" i="6"/>
  <c r="L1373" i="6"/>
  <c r="L1374" i="6"/>
  <c r="L1375" i="6"/>
  <c r="L1376" i="6"/>
  <c r="L1377" i="6"/>
  <c r="L1378" i="6"/>
  <c r="L1379" i="6"/>
  <c r="L1380" i="6"/>
  <c r="L1381" i="6"/>
  <c r="L1382" i="6"/>
  <c r="L1383" i="6"/>
  <c r="L1384" i="6"/>
  <c r="L1385" i="6"/>
  <c r="L1386" i="6"/>
  <c r="L1387" i="6"/>
  <c r="L1388" i="6"/>
  <c r="L1389" i="6"/>
  <c r="L1390" i="6"/>
  <c r="L1391" i="6"/>
  <c r="L1392" i="6"/>
  <c r="L1393" i="6"/>
  <c r="L1394" i="6"/>
  <c r="L1395" i="6"/>
  <c r="L1396" i="6"/>
  <c r="L1397" i="6"/>
  <c r="L1398" i="6"/>
  <c r="L1399" i="6"/>
  <c r="L1400" i="6"/>
  <c r="L1401" i="6"/>
  <c r="L1402" i="6"/>
  <c r="L1403" i="6"/>
  <c r="L1404" i="6"/>
  <c r="L1405" i="6"/>
  <c r="L1406" i="6"/>
  <c r="L1407" i="6"/>
  <c r="L1408" i="6"/>
  <c r="L1409" i="6"/>
  <c r="L1410" i="6"/>
  <c r="L1411" i="6"/>
  <c r="L1412" i="6"/>
  <c r="L1413" i="6"/>
  <c r="L1414" i="6"/>
  <c r="L1415" i="6"/>
  <c r="L1416" i="6"/>
  <c r="L1417" i="6"/>
  <c r="L1418" i="6"/>
  <c r="L1419" i="6"/>
  <c r="L1420" i="6"/>
  <c r="L1421" i="6"/>
  <c r="L1422" i="6"/>
  <c r="L1423" i="6"/>
  <c r="L1424" i="6"/>
  <c r="L1425" i="6"/>
  <c r="L1426" i="6"/>
  <c r="L1427" i="6"/>
  <c r="L1428" i="6"/>
  <c r="L1429" i="6"/>
  <c r="L1430" i="6"/>
  <c r="L1431" i="6"/>
  <c r="L1432" i="6"/>
  <c r="L1433" i="6"/>
  <c r="L1434" i="6"/>
  <c r="L1435" i="6"/>
  <c r="L1436" i="6"/>
  <c r="L1437" i="6"/>
  <c r="L1438" i="6"/>
  <c r="L1439" i="6"/>
  <c r="L1440" i="6"/>
  <c r="L1441" i="6"/>
  <c r="L1442" i="6"/>
  <c r="L1443" i="6"/>
  <c r="L1444" i="6"/>
  <c r="L1445" i="6"/>
  <c r="L1446" i="6"/>
  <c r="L1447" i="6"/>
  <c r="L1448" i="6"/>
  <c r="L1449" i="6"/>
  <c r="L1450" i="6"/>
  <c r="L1451" i="6"/>
  <c r="L1452" i="6"/>
  <c r="L1453" i="6"/>
  <c r="L1454" i="6"/>
  <c r="L1455" i="6"/>
  <c r="L1456" i="6"/>
  <c r="L1457" i="6"/>
  <c r="L1458" i="6"/>
  <c r="L1459" i="6"/>
  <c r="L1460" i="6"/>
  <c r="L1461" i="6"/>
  <c r="L1462" i="6"/>
  <c r="L1463" i="6"/>
  <c r="L1464" i="6"/>
  <c r="L1465" i="6"/>
  <c r="L1466" i="6"/>
  <c r="L1467" i="6"/>
  <c r="L1468" i="6"/>
  <c r="L1469" i="6"/>
  <c r="L1470" i="6"/>
  <c r="L1471" i="6"/>
  <c r="L1472" i="6"/>
  <c r="L1473" i="6"/>
  <c r="L1474" i="6"/>
  <c r="L1475" i="6"/>
  <c r="L1476" i="6"/>
  <c r="L1477" i="6"/>
  <c r="L1478" i="6"/>
  <c r="L1479" i="6"/>
  <c r="L1480" i="6"/>
  <c r="L1481" i="6"/>
  <c r="L1482" i="6"/>
  <c r="L1483" i="6"/>
  <c r="L1484" i="6"/>
  <c r="L1485" i="6"/>
  <c r="L1486" i="6"/>
  <c r="L1487" i="6"/>
  <c r="L1488" i="6"/>
  <c r="L1489" i="6"/>
  <c r="L1490" i="6"/>
  <c r="L1491" i="6"/>
  <c r="L1492" i="6"/>
  <c r="L1493" i="6"/>
  <c r="L1494" i="6"/>
  <c r="L1495" i="6"/>
  <c r="L1496" i="6"/>
  <c r="L1497" i="6"/>
  <c r="L1498" i="6"/>
  <c r="L1499" i="6"/>
  <c r="L1500" i="6"/>
  <c r="L1501" i="6"/>
  <c r="L1502" i="6"/>
  <c r="L1503" i="6"/>
  <c r="L1504" i="6"/>
  <c r="L1505" i="6"/>
  <c r="L1506" i="6"/>
  <c r="L1507" i="6"/>
  <c r="L1508" i="6"/>
  <c r="L1509" i="6"/>
  <c r="L1510" i="6"/>
  <c r="L1511" i="6"/>
  <c r="L1512" i="6"/>
  <c r="L1513" i="6"/>
  <c r="L1514" i="6"/>
  <c r="L1515" i="6"/>
  <c r="L1516" i="6"/>
  <c r="L1517" i="6"/>
  <c r="L1518" i="6"/>
  <c r="L1519" i="6"/>
  <c r="L1520" i="6"/>
  <c r="L1521" i="6"/>
  <c r="L1522" i="6"/>
  <c r="L1523" i="6"/>
  <c r="L1524" i="6"/>
  <c r="L1525" i="6"/>
  <c r="L1526" i="6"/>
  <c r="L1527" i="6"/>
  <c r="L1528" i="6"/>
  <c r="L1529" i="6"/>
  <c r="L1530" i="6"/>
  <c r="L1531" i="6"/>
  <c r="L1532" i="6"/>
  <c r="L1533" i="6"/>
  <c r="L1534" i="6"/>
  <c r="L1535" i="6"/>
  <c r="L1536" i="6"/>
  <c r="L1537" i="6"/>
  <c r="L1538" i="6"/>
  <c r="L1539" i="6"/>
  <c r="L1540" i="6"/>
  <c r="L1541" i="6"/>
  <c r="L1542" i="6"/>
  <c r="L1543" i="6"/>
  <c r="L1544" i="6"/>
  <c r="L1545" i="6"/>
  <c r="L1546" i="6"/>
  <c r="L1547" i="6"/>
  <c r="L1548" i="6"/>
  <c r="L1549" i="6"/>
  <c r="L1550" i="6"/>
  <c r="L1551" i="6"/>
  <c r="L1552" i="6"/>
  <c r="L1553" i="6"/>
  <c r="L1554" i="6"/>
  <c r="L1555" i="6"/>
  <c r="L1556" i="6"/>
  <c r="L1557" i="6"/>
  <c r="L1558" i="6"/>
  <c r="L1559" i="6"/>
  <c r="L1560" i="6"/>
  <c r="L1561" i="6"/>
  <c r="L1562" i="6"/>
  <c r="L1563" i="6"/>
  <c r="L1564" i="6"/>
  <c r="L1565" i="6"/>
  <c r="L1566" i="6"/>
  <c r="L1567" i="6"/>
  <c r="L1568" i="6"/>
  <c r="L1569" i="6"/>
  <c r="L1570" i="6"/>
  <c r="L1571" i="6"/>
  <c r="L1572" i="6"/>
  <c r="L1573" i="6"/>
  <c r="L1574" i="6"/>
  <c r="L1575" i="6"/>
  <c r="L1576" i="6"/>
  <c r="L1577" i="6"/>
  <c r="L1578" i="6"/>
  <c r="L1579" i="6"/>
  <c r="L1580" i="6"/>
  <c r="L1581" i="6"/>
  <c r="L1582" i="6"/>
  <c r="L1583" i="6"/>
  <c r="L1584" i="6"/>
  <c r="L1585" i="6"/>
  <c r="L1586" i="6"/>
  <c r="L1587" i="6"/>
  <c r="L1588" i="6"/>
  <c r="L1589" i="6"/>
  <c r="L1590" i="6"/>
  <c r="L1591" i="6"/>
  <c r="L1592" i="6"/>
  <c r="L1593" i="6"/>
  <c r="L1594" i="6"/>
  <c r="L1595" i="6"/>
  <c r="L1596" i="6"/>
  <c r="L1597" i="6"/>
  <c r="L1598" i="6"/>
  <c r="L1599" i="6"/>
  <c r="L1600" i="6"/>
  <c r="L1601" i="6"/>
  <c r="L1602" i="6"/>
  <c r="L1603" i="6"/>
  <c r="L1604" i="6"/>
  <c r="L1605" i="6"/>
  <c r="L1606" i="6"/>
  <c r="L1607" i="6"/>
  <c r="L1608" i="6"/>
  <c r="L1609" i="6"/>
  <c r="L1610" i="6"/>
  <c r="L1611" i="6"/>
  <c r="L1612" i="6"/>
  <c r="L1613" i="6"/>
  <c r="L1614" i="6"/>
  <c r="L1615" i="6"/>
  <c r="L1616" i="6"/>
  <c r="L1617" i="6"/>
  <c r="L1618" i="6"/>
  <c r="L1619" i="6"/>
  <c r="L1620" i="6"/>
  <c r="L1621" i="6"/>
  <c r="L1622" i="6"/>
  <c r="L1623" i="6"/>
  <c r="L1624" i="6"/>
  <c r="L1625" i="6"/>
  <c r="L1626" i="6"/>
  <c r="L1627" i="6"/>
  <c r="L1628" i="6"/>
  <c r="L1629" i="6"/>
  <c r="L1630" i="6"/>
  <c r="L1631" i="6"/>
  <c r="L1632" i="6"/>
  <c r="L1633" i="6"/>
  <c r="L1634" i="6"/>
  <c r="L1635" i="6"/>
  <c r="L1636" i="6"/>
  <c r="L1637" i="6"/>
  <c r="L1638" i="6"/>
  <c r="L1639" i="6"/>
  <c r="L1640" i="6"/>
  <c r="L1641" i="6"/>
  <c r="L1642" i="6"/>
  <c r="L1643" i="6"/>
  <c r="L1644" i="6"/>
  <c r="L1645" i="6"/>
  <c r="L1646" i="6"/>
  <c r="L1647" i="6"/>
  <c r="L1648" i="6"/>
  <c r="L1649" i="6"/>
  <c r="L1650" i="6"/>
  <c r="L1651" i="6"/>
  <c r="L1652" i="6"/>
  <c r="L1653" i="6"/>
  <c r="L1654" i="6"/>
  <c r="L1655" i="6"/>
  <c r="L1656" i="6"/>
  <c r="L1657" i="6"/>
  <c r="L1658" i="6"/>
  <c r="L1659" i="6"/>
  <c r="L1660" i="6"/>
  <c r="L1661" i="6"/>
  <c r="L1662" i="6"/>
  <c r="L1663" i="6"/>
  <c r="L1664" i="6"/>
  <c r="L1665" i="6"/>
  <c r="L1666" i="6"/>
  <c r="L1667" i="6"/>
  <c r="L1668" i="6"/>
  <c r="L1669" i="6"/>
  <c r="L1670" i="6"/>
  <c r="L1671" i="6"/>
  <c r="L1672" i="6"/>
  <c r="L1673" i="6"/>
  <c r="L1674" i="6"/>
  <c r="L1675" i="6"/>
  <c r="L1676" i="6"/>
  <c r="L1677" i="6"/>
  <c r="L1678" i="6"/>
  <c r="L1679" i="6"/>
  <c r="L1680" i="6"/>
  <c r="L1681" i="6"/>
  <c r="L1682" i="6"/>
  <c r="L1683" i="6"/>
  <c r="L1684" i="6"/>
  <c r="L1685" i="6"/>
  <c r="L1686" i="6"/>
  <c r="L1687" i="6"/>
  <c r="L1688" i="6"/>
  <c r="L1689" i="6"/>
  <c r="L1690" i="6"/>
  <c r="L1691" i="6"/>
  <c r="L1692" i="6"/>
  <c r="L1693" i="6"/>
  <c r="L1694" i="6"/>
  <c r="L1695" i="6"/>
  <c r="L1696" i="6"/>
  <c r="L1697" i="6"/>
  <c r="L1698" i="6"/>
  <c r="L1699" i="6"/>
  <c r="L1700" i="6"/>
  <c r="L1701" i="6"/>
  <c r="L1702" i="6"/>
  <c r="L1703" i="6"/>
  <c r="L1704" i="6"/>
  <c r="L1705" i="6"/>
  <c r="L1706" i="6"/>
  <c r="L1707" i="6"/>
  <c r="L1708" i="6"/>
  <c r="L1709" i="6"/>
  <c r="L1710" i="6"/>
  <c r="L1711" i="6"/>
  <c r="L1712" i="6"/>
  <c r="L1713" i="6"/>
  <c r="L1714" i="6"/>
  <c r="L1715" i="6"/>
  <c r="L1716" i="6"/>
  <c r="L1717" i="6"/>
  <c r="L1718" i="6"/>
  <c r="L1719" i="6"/>
  <c r="L1720" i="6"/>
  <c r="L1721" i="6"/>
  <c r="L1722" i="6"/>
  <c r="L1723" i="6"/>
  <c r="L1724" i="6"/>
  <c r="L1725" i="6"/>
  <c r="L1726" i="6"/>
  <c r="L1727" i="6"/>
  <c r="L1728" i="6"/>
  <c r="L1729" i="6"/>
  <c r="L1730" i="6"/>
  <c r="L1731" i="6"/>
  <c r="L1732" i="6"/>
  <c r="L1733" i="6"/>
  <c r="L1734" i="6"/>
  <c r="L1735" i="6"/>
  <c r="L1736" i="6"/>
  <c r="L1737" i="6"/>
  <c r="L1738" i="6"/>
  <c r="L1739" i="6"/>
  <c r="L1740" i="6"/>
  <c r="L1741" i="6"/>
  <c r="L1742" i="6"/>
  <c r="L1743" i="6"/>
  <c r="L1744" i="6"/>
  <c r="L1745" i="6"/>
  <c r="L1746" i="6"/>
  <c r="L1747" i="6"/>
  <c r="L1748" i="6"/>
  <c r="L1749" i="6"/>
  <c r="L1750" i="6"/>
  <c r="L1751" i="6"/>
  <c r="L1752" i="6"/>
  <c r="L1753" i="6"/>
  <c r="L1754" i="6"/>
  <c r="L1755" i="6"/>
  <c r="L1756" i="6"/>
  <c r="L1757" i="6"/>
  <c r="L1758" i="6"/>
  <c r="L1759" i="6"/>
  <c r="L1760" i="6"/>
  <c r="L1761" i="6"/>
  <c r="L1762" i="6"/>
  <c r="L1763" i="6"/>
  <c r="L1764" i="6"/>
  <c r="L1765" i="6"/>
  <c r="L1766" i="6"/>
  <c r="L1767" i="6"/>
  <c r="L1768" i="6"/>
  <c r="L1769" i="6"/>
  <c r="L1770" i="6"/>
  <c r="L1771" i="6"/>
  <c r="L1772" i="6"/>
  <c r="L1773" i="6"/>
  <c r="L1774" i="6"/>
  <c r="L1775" i="6"/>
  <c r="L1776" i="6"/>
  <c r="L1777" i="6"/>
  <c r="L1778" i="6"/>
  <c r="L1779" i="6"/>
  <c r="L1780" i="6"/>
  <c r="L1781" i="6"/>
  <c r="L1782" i="6"/>
  <c r="L1783" i="6"/>
  <c r="L1784" i="6"/>
  <c r="L1785" i="6"/>
  <c r="L1786" i="6"/>
  <c r="L1787" i="6"/>
  <c r="L1788" i="6"/>
  <c r="L1789" i="6"/>
  <c r="L1790" i="6"/>
  <c r="L1791" i="6"/>
  <c r="L1792" i="6"/>
  <c r="L1793" i="6"/>
  <c r="L1794" i="6"/>
  <c r="L1795" i="6"/>
  <c r="L1796" i="6"/>
  <c r="L1797" i="6"/>
  <c r="L1798" i="6"/>
  <c r="L1799" i="6"/>
  <c r="L1800" i="6"/>
  <c r="L1801" i="6"/>
  <c r="L1802" i="6"/>
  <c r="L1803" i="6"/>
  <c r="L1804" i="6"/>
  <c r="L1805" i="6"/>
  <c r="L1806" i="6"/>
  <c r="L1807" i="6"/>
  <c r="L1808" i="6"/>
  <c r="L1809" i="6"/>
  <c r="L1810" i="6"/>
  <c r="L1811" i="6"/>
  <c r="L1812" i="6"/>
  <c r="L1813" i="6"/>
  <c r="L1814" i="6"/>
  <c r="L1815" i="6"/>
  <c r="L1816" i="6"/>
  <c r="L1817" i="6"/>
  <c r="L1818" i="6"/>
  <c r="L1819" i="6"/>
  <c r="L1820" i="6"/>
  <c r="L1821" i="6"/>
  <c r="L1822" i="6"/>
  <c r="L1823" i="6"/>
  <c r="L1824" i="6"/>
  <c r="L1825" i="6"/>
  <c r="L1826" i="6"/>
  <c r="L1827" i="6"/>
  <c r="L1828" i="6"/>
  <c r="L1829" i="6"/>
  <c r="L1830" i="6"/>
  <c r="L1831" i="6"/>
  <c r="L1832" i="6"/>
  <c r="L1833" i="6"/>
  <c r="L1834" i="6"/>
  <c r="L1835" i="6"/>
  <c r="L1836" i="6"/>
  <c r="L1837" i="6"/>
  <c r="L1838" i="6"/>
  <c r="L1839" i="6"/>
  <c r="L1840" i="6"/>
  <c r="L1841" i="6"/>
  <c r="L1842" i="6"/>
  <c r="L1843" i="6"/>
  <c r="L1844" i="6"/>
  <c r="L1845" i="6"/>
  <c r="L1846" i="6"/>
  <c r="L1847" i="6"/>
  <c r="L1848" i="6"/>
  <c r="L1849" i="6"/>
  <c r="L1850" i="6"/>
  <c r="L1851" i="6"/>
  <c r="L1852" i="6"/>
  <c r="L1853" i="6"/>
  <c r="L1854" i="6"/>
  <c r="L1855" i="6"/>
  <c r="L1856" i="6"/>
  <c r="L1857" i="6"/>
  <c r="L1858" i="6"/>
  <c r="L1859" i="6"/>
  <c r="L1860" i="6"/>
  <c r="L1861" i="6"/>
  <c r="L1862" i="6"/>
  <c r="L1863" i="6"/>
  <c r="L1864" i="6"/>
  <c r="L1865" i="6"/>
  <c r="L1866" i="6"/>
  <c r="L1867" i="6"/>
  <c r="L1868" i="6"/>
  <c r="L1869" i="6"/>
  <c r="L1870" i="6"/>
  <c r="L1871" i="6"/>
  <c r="L1872" i="6"/>
  <c r="L1873" i="6"/>
  <c r="L1874" i="6"/>
  <c r="L1875" i="6"/>
  <c r="L1876" i="6"/>
  <c r="L1877" i="6"/>
  <c r="L1878" i="6"/>
  <c r="L1879" i="6"/>
  <c r="L1880" i="6"/>
  <c r="L1881" i="6"/>
  <c r="L1882" i="6"/>
  <c r="L1883" i="6"/>
  <c r="L1884" i="6"/>
  <c r="L1885" i="6"/>
  <c r="L1886" i="6"/>
  <c r="L1887" i="6"/>
  <c r="L1888" i="6"/>
  <c r="L1889" i="6"/>
  <c r="L1890" i="6"/>
  <c r="L1891" i="6"/>
  <c r="L1892" i="6"/>
  <c r="L1893" i="6"/>
  <c r="L1894" i="6"/>
  <c r="L1895" i="6"/>
  <c r="L1896" i="6"/>
  <c r="L1897" i="6"/>
  <c r="L1898" i="6"/>
  <c r="L1899" i="6"/>
  <c r="L1900" i="6"/>
  <c r="L1901" i="6"/>
  <c r="L1902" i="6"/>
  <c r="L1903" i="6"/>
  <c r="L1904" i="6"/>
  <c r="L1905" i="6"/>
  <c r="L1906" i="6"/>
  <c r="L1907" i="6"/>
  <c r="L1908" i="6"/>
  <c r="L1909" i="6"/>
  <c r="L1910" i="6"/>
  <c r="L1911" i="6"/>
  <c r="L1912" i="6"/>
  <c r="L1913" i="6"/>
  <c r="L1914" i="6"/>
  <c r="L1915" i="6"/>
  <c r="L1916" i="6"/>
  <c r="L1917" i="6"/>
  <c r="L1918" i="6"/>
  <c r="L1919" i="6"/>
  <c r="L1920" i="6"/>
  <c r="L1921" i="6"/>
  <c r="L1922" i="6"/>
  <c r="L1923" i="6"/>
  <c r="L1924" i="6"/>
  <c r="L1925" i="6"/>
  <c r="L1926" i="6"/>
  <c r="L1927" i="6"/>
  <c r="L1928" i="6"/>
  <c r="L1929" i="6"/>
  <c r="L1930" i="6"/>
  <c r="L1931" i="6"/>
  <c r="L1932" i="6"/>
  <c r="L1933" i="6"/>
  <c r="L1934" i="6"/>
  <c r="L1935" i="6"/>
  <c r="L1936" i="6"/>
  <c r="L1937" i="6"/>
  <c r="L1938" i="6"/>
  <c r="L1939" i="6"/>
  <c r="L1940" i="6"/>
  <c r="L1941" i="6"/>
  <c r="L1942" i="6"/>
  <c r="L1943" i="6"/>
  <c r="L1944" i="6"/>
  <c r="L1945" i="6"/>
  <c r="L1946" i="6"/>
  <c r="L1947" i="6"/>
  <c r="L1948" i="6"/>
  <c r="L1949" i="6"/>
  <c r="L1950" i="6"/>
  <c r="L1951" i="6"/>
  <c r="L1952" i="6"/>
  <c r="L1953" i="6"/>
  <c r="L1954" i="6"/>
  <c r="L1955" i="6"/>
  <c r="L1956" i="6"/>
  <c r="L1957" i="6"/>
  <c r="L1958" i="6"/>
  <c r="L1959" i="6"/>
  <c r="L1960" i="6"/>
  <c r="L1961" i="6"/>
  <c r="L1962" i="6"/>
  <c r="L1963" i="6"/>
  <c r="L1964" i="6"/>
  <c r="L1965" i="6"/>
  <c r="L1966" i="6"/>
  <c r="L1967" i="6"/>
  <c r="L1968" i="6"/>
  <c r="L1969" i="6"/>
  <c r="L1970" i="6"/>
  <c r="L1971" i="6"/>
  <c r="L1972" i="6"/>
  <c r="L1973" i="6"/>
  <c r="L1974" i="6"/>
  <c r="L1975" i="6"/>
  <c r="L1976" i="6"/>
  <c r="L1977" i="6"/>
  <c r="L1978" i="6"/>
  <c r="L1979" i="6"/>
  <c r="L1980" i="6"/>
  <c r="L1981" i="6"/>
  <c r="L1982" i="6"/>
  <c r="L1983" i="6"/>
  <c r="L1984" i="6"/>
  <c r="L1985" i="6"/>
  <c r="L1986" i="6"/>
  <c r="L1987" i="6"/>
  <c r="L1988" i="6"/>
  <c r="L1989" i="6"/>
  <c r="L1990" i="6"/>
  <c r="L1991" i="6"/>
  <c r="L1992" i="6"/>
  <c r="L1993" i="6"/>
  <c r="L1994" i="6"/>
  <c r="L1995" i="6"/>
  <c r="L1996" i="6"/>
  <c r="L1997" i="6"/>
  <c r="L1998" i="6"/>
  <c r="L1999" i="6"/>
  <c r="L2000" i="6"/>
  <c r="L2001" i="6"/>
  <c r="L2002" i="6"/>
  <c r="L2003" i="6"/>
  <c r="L2004" i="6"/>
  <c r="L2005" i="6"/>
  <c r="L2006" i="6"/>
  <c r="L2007" i="6"/>
  <c r="L2008" i="6"/>
  <c r="L2009" i="6"/>
  <c r="L2010" i="6"/>
  <c r="L2011" i="6"/>
  <c r="L2012" i="6"/>
  <c r="L2013" i="6"/>
  <c r="L2014" i="6"/>
  <c r="L2015" i="6"/>
  <c r="L2016" i="6"/>
  <c r="L2017" i="6"/>
  <c r="L2018" i="6"/>
  <c r="L2019" i="6"/>
  <c r="L2020" i="6"/>
  <c r="L2021" i="6"/>
  <c r="L2022" i="6"/>
  <c r="L2023" i="6"/>
  <c r="L2024" i="6"/>
  <c r="L2025" i="6"/>
  <c r="L2026" i="6"/>
  <c r="L2027" i="6"/>
  <c r="L2028" i="6"/>
  <c r="L2029" i="6"/>
  <c r="L2030" i="6"/>
  <c r="L2031" i="6"/>
  <c r="L2032" i="6"/>
  <c r="L2033" i="6"/>
  <c r="L2034" i="6"/>
  <c r="L2035" i="6"/>
  <c r="L2036" i="6"/>
  <c r="L2037" i="6"/>
  <c r="L2038" i="6"/>
  <c r="L2039" i="6"/>
  <c r="L2040" i="6"/>
  <c r="L2041" i="6"/>
  <c r="L2042" i="6"/>
  <c r="L2043" i="6"/>
  <c r="L2044" i="6"/>
  <c r="L2045" i="6"/>
  <c r="L2046" i="6"/>
  <c r="L2047" i="6"/>
  <c r="L2048" i="6"/>
  <c r="L2049" i="6"/>
  <c r="L2050" i="6"/>
  <c r="L2051" i="6"/>
  <c r="L2052" i="6"/>
  <c r="L2053" i="6"/>
  <c r="L2054" i="6"/>
  <c r="L2055" i="6"/>
  <c r="L2056" i="6"/>
  <c r="L2057" i="6"/>
  <c r="L2058" i="6"/>
  <c r="L2059" i="6"/>
  <c r="L2060" i="6"/>
  <c r="L2061" i="6"/>
  <c r="L2062" i="6"/>
  <c r="L2063" i="6"/>
  <c r="L2064" i="6"/>
  <c r="L2065" i="6"/>
  <c r="L2066" i="6"/>
  <c r="L2067" i="6"/>
  <c r="L2068" i="6"/>
  <c r="L2069" i="6"/>
  <c r="L2070" i="6"/>
  <c r="L2071" i="6"/>
  <c r="L2072" i="6"/>
  <c r="L2073" i="6"/>
  <c r="L2074" i="6"/>
  <c r="L2075" i="6"/>
  <c r="L2076" i="6"/>
  <c r="L2077" i="6"/>
  <c r="L2078" i="6"/>
  <c r="L2079" i="6"/>
  <c r="L2080" i="6"/>
  <c r="L2081" i="6"/>
  <c r="L2082" i="6"/>
  <c r="L2083" i="6"/>
  <c r="L2084" i="6"/>
  <c r="L2085" i="6"/>
  <c r="L2086" i="6"/>
  <c r="L2087" i="6"/>
  <c r="L2088" i="6"/>
  <c r="L2089" i="6"/>
  <c r="L2090" i="6"/>
  <c r="L2091" i="6"/>
  <c r="L2092" i="6"/>
  <c r="L2093" i="6"/>
  <c r="L2094" i="6"/>
  <c r="L2095" i="6"/>
  <c r="L2096" i="6"/>
  <c r="L2097" i="6"/>
  <c r="L2098" i="6"/>
  <c r="L2099" i="6"/>
  <c r="L2100" i="6"/>
  <c r="L2101" i="6"/>
  <c r="L2102" i="6"/>
  <c r="L2103" i="6"/>
  <c r="L2104" i="6"/>
  <c r="L2105" i="6"/>
  <c r="L2106" i="6"/>
  <c r="L2107" i="6"/>
  <c r="L2108" i="6"/>
  <c r="L2109" i="6"/>
  <c r="L2110" i="6"/>
  <c r="L2111" i="6"/>
  <c r="L2112" i="6"/>
  <c r="L2113" i="6"/>
  <c r="L2114" i="6"/>
  <c r="L2115" i="6"/>
  <c r="L2116" i="6"/>
  <c r="L2117" i="6"/>
  <c r="L2118" i="6"/>
  <c r="L2119" i="6"/>
  <c r="L2120" i="6"/>
  <c r="L2121" i="6"/>
  <c r="L2122" i="6"/>
  <c r="L2123" i="6"/>
  <c r="L2124" i="6"/>
  <c r="L2125" i="6"/>
  <c r="L2126" i="6"/>
  <c r="L2127" i="6"/>
  <c r="L2128" i="6"/>
  <c r="L2129" i="6"/>
  <c r="L2130" i="6"/>
  <c r="L2131" i="6"/>
  <c r="L2132" i="6"/>
  <c r="L2133" i="6"/>
  <c r="L2134" i="6"/>
  <c r="L2135" i="6"/>
  <c r="L2136" i="6"/>
  <c r="L2137" i="6"/>
  <c r="L2138" i="6"/>
  <c r="L2139" i="6"/>
  <c r="L2140" i="6"/>
  <c r="L2141" i="6"/>
  <c r="L2142" i="6"/>
  <c r="L2143" i="6"/>
  <c r="L2144" i="6"/>
  <c r="L2145" i="6"/>
  <c r="L2146" i="6"/>
  <c r="L2147" i="6"/>
  <c r="L2148" i="6"/>
  <c r="L2149" i="6"/>
  <c r="L2150" i="6"/>
  <c r="L2151" i="6"/>
  <c r="L2152" i="6"/>
  <c r="L2153" i="6"/>
  <c r="L2154" i="6"/>
  <c r="L2155" i="6"/>
  <c r="L2156" i="6"/>
  <c r="L2157" i="6"/>
  <c r="L2158" i="6"/>
  <c r="L2159" i="6"/>
  <c r="L2160" i="6"/>
  <c r="L2161" i="6"/>
  <c r="L2162" i="6"/>
  <c r="L2163" i="6"/>
  <c r="L2164" i="6"/>
  <c r="L2165" i="6"/>
  <c r="L2166" i="6"/>
  <c r="L2167" i="6"/>
  <c r="L2168" i="6"/>
  <c r="L2169" i="6"/>
  <c r="L2170" i="6"/>
  <c r="M3" i="6"/>
  <c r="M4" i="6"/>
  <c r="M5" i="6"/>
  <c r="M6"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M506" i="6"/>
  <c r="M507" i="6"/>
  <c r="M508" i="6"/>
  <c r="M509" i="6"/>
  <c r="M510" i="6"/>
  <c r="M511" i="6"/>
  <c r="M512" i="6"/>
  <c r="M513" i="6"/>
  <c r="M514" i="6"/>
  <c r="M515" i="6"/>
  <c r="M516" i="6"/>
  <c r="M517" i="6"/>
  <c r="M518" i="6"/>
  <c r="M519" i="6"/>
  <c r="M520" i="6"/>
  <c r="M521" i="6"/>
  <c r="M522" i="6"/>
  <c r="M523" i="6"/>
  <c r="M524" i="6"/>
  <c r="M525" i="6"/>
  <c r="M526" i="6"/>
  <c r="M527" i="6"/>
  <c r="M528" i="6"/>
  <c r="M529" i="6"/>
  <c r="M530" i="6"/>
  <c r="M531" i="6"/>
  <c r="M532" i="6"/>
  <c r="M533" i="6"/>
  <c r="M534" i="6"/>
  <c r="M535" i="6"/>
  <c r="M536" i="6"/>
  <c r="M537" i="6"/>
  <c r="M538" i="6"/>
  <c r="M539" i="6"/>
  <c r="M540" i="6"/>
  <c r="M541" i="6"/>
  <c r="M542" i="6"/>
  <c r="M543" i="6"/>
  <c r="M544" i="6"/>
  <c r="M545" i="6"/>
  <c r="M546" i="6"/>
  <c r="M547" i="6"/>
  <c r="M548" i="6"/>
  <c r="M549" i="6"/>
  <c r="M550" i="6"/>
  <c r="M551" i="6"/>
  <c r="M552" i="6"/>
  <c r="M553" i="6"/>
  <c r="M554" i="6"/>
  <c r="M555" i="6"/>
  <c r="M556" i="6"/>
  <c r="M557" i="6"/>
  <c r="M558" i="6"/>
  <c r="M559" i="6"/>
  <c r="M560" i="6"/>
  <c r="M561" i="6"/>
  <c r="M562" i="6"/>
  <c r="M563" i="6"/>
  <c r="M564" i="6"/>
  <c r="M565" i="6"/>
  <c r="M566" i="6"/>
  <c r="M567" i="6"/>
  <c r="M568" i="6"/>
  <c r="M569" i="6"/>
  <c r="M570" i="6"/>
  <c r="M571" i="6"/>
  <c r="M572" i="6"/>
  <c r="M573" i="6"/>
  <c r="M574" i="6"/>
  <c r="M575" i="6"/>
  <c r="M576" i="6"/>
  <c r="M577" i="6"/>
  <c r="M578" i="6"/>
  <c r="M579" i="6"/>
  <c r="M580" i="6"/>
  <c r="M581" i="6"/>
  <c r="M582" i="6"/>
  <c r="M583" i="6"/>
  <c r="M584" i="6"/>
  <c r="M585" i="6"/>
  <c r="M586" i="6"/>
  <c r="M587" i="6"/>
  <c r="M588" i="6"/>
  <c r="M589" i="6"/>
  <c r="M590" i="6"/>
  <c r="M591" i="6"/>
  <c r="M592" i="6"/>
  <c r="M593" i="6"/>
  <c r="M594" i="6"/>
  <c r="M595" i="6"/>
  <c r="M596" i="6"/>
  <c r="M597" i="6"/>
  <c r="M598" i="6"/>
  <c r="M599" i="6"/>
  <c r="M600" i="6"/>
  <c r="M601" i="6"/>
  <c r="M602" i="6"/>
  <c r="M603" i="6"/>
  <c r="M604" i="6"/>
  <c r="M605" i="6"/>
  <c r="M606" i="6"/>
  <c r="M607" i="6"/>
  <c r="M608" i="6"/>
  <c r="M609" i="6"/>
  <c r="M610" i="6"/>
  <c r="M611" i="6"/>
  <c r="M612" i="6"/>
  <c r="M613" i="6"/>
  <c r="M614" i="6"/>
  <c r="M615" i="6"/>
  <c r="M616" i="6"/>
  <c r="M617" i="6"/>
  <c r="M618" i="6"/>
  <c r="M619" i="6"/>
  <c r="M620" i="6"/>
  <c r="M621" i="6"/>
  <c r="M622" i="6"/>
  <c r="M623" i="6"/>
  <c r="M624" i="6"/>
  <c r="M625" i="6"/>
  <c r="M626" i="6"/>
  <c r="M627" i="6"/>
  <c r="M628" i="6"/>
  <c r="M629" i="6"/>
  <c r="M630" i="6"/>
  <c r="M631" i="6"/>
  <c r="M632" i="6"/>
  <c r="M633" i="6"/>
  <c r="M634" i="6"/>
  <c r="M635" i="6"/>
  <c r="M636" i="6"/>
  <c r="M637" i="6"/>
  <c r="M638" i="6"/>
  <c r="M639" i="6"/>
  <c r="M640" i="6"/>
  <c r="M641" i="6"/>
  <c r="M642" i="6"/>
  <c r="M643" i="6"/>
  <c r="M644" i="6"/>
  <c r="M645" i="6"/>
  <c r="M646" i="6"/>
  <c r="M647" i="6"/>
  <c r="M648" i="6"/>
  <c r="M649" i="6"/>
  <c r="M650" i="6"/>
  <c r="M651" i="6"/>
  <c r="M652" i="6"/>
  <c r="M653" i="6"/>
  <c r="M654" i="6"/>
  <c r="M655" i="6"/>
  <c r="M656" i="6"/>
  <c r="M657" i="6"/>
  <c r="M658" i="6"/>
  <c r="M659" i="6"/>
  <c r="M660" i="6"/>
  <c r="M661" i="6"/>
  <c r="M662" i="6"/>
  <c r="M663" i="6"/>
  <c r="M664" i="6"/>
  <c r="M665" i="6"/>
  <c r="M666" i="6"/>
  <c r="M667" i="6"/>
  <c r="M668" i="6"/>
  <c r="M669" i="6"/>
  <c r="M670" i="6"/>
  <c r="M671" i="6"/>
  <c r="M672" i="6"/>
  <c r="M673" i="6"/>
  <c r="M674" i="6"/>
  <c r="M675" i="6"/>
  <c r="M676" i="6"/>
  <c r="M677" i="6"/>
  <c r="M678" i="6"/>
  <c r="M679" i="6"/>
  <c r="M680" i="6"/>
  <c r="M681" i="6"/>
  <c r="M682" i="6"/>
  <c r="M683" i="6"/>
  <c r="M684" i="6"/>
  <c r="M685" i="6"/>
  <c r="M686" i="6"/>
  <c r="M687" i="6"/>
  <c r="M688" i="6"/>
  <c r="M689" i="6"/>
  <c r="M690" i="6"/>
  <c r="M691" i="6"/>
  <c r="M692" i="6"/>
  <c r="M693" i="6"/>
  <c r="M694" i="6"/>
  <c r="M695" i="6"/>
  <c r="M696" i="6"/>
  <c r="M697" i="6"/>
  <c r="M698" i="6"/>
  <c r="M699" i="6"/>
  <c r="M700" i="6"/>
  <c r="M701" i="6"/>
  <c r="M702" i="6"/>
  <c r="M703" i="6"/>
  <c r="M704" i="6"/>
  <c r="M705" i="6"/>
  <c r="M706" i="6"/>
  <c r="M707" i="6"/>
  <c r="M708" i="6"/>
  <c r="M709" i="6"/>
  <c r="M710" i="6"/>
  <c r="M711" i="6"/>
  <c r="M712" i="6"/>
  <c r="M713" i="6"/>
  <c r="M714" i="6"/>
  <c r="M715" i="6"/>
  <c r="M716" i="6"/>
  <c r="M717" i="6"/>
  <c r="M718" i="6"/>
  <c r="M719" i="6"/>
  <c r="M720" i="6"/>
  <c r="M721" i="6"/>
  <c r="M722" i="6"/>
  <c r="M723" i="6"/>
  <c r="M724" i="6"/>
  <c r="M725" i="6"/>
  <c r="M726" i="6"/>
  <c r="M727" i="6"/>
  <c r="M728" i="6"/>
  <c r="M729" i="6"/>
  <c r="M730" i="6"/>
  <c r="M731" i="6"/>
  <c r="M732" i="6"/>
  <c r="M733" i="6"/>
  <c r="M734" i="6"/>
  <c r="M735" i="6"/>
  <c r="M736" i="6"/>
  <c r="M737" i="6"/>
  <c r="M738" i="6"/>
  <c r="M739" i="6"/>
  <c r="M740" i="6"/>
  <c r="M741" i="6"/>
  <c r="M742" i="6"/>
  <c r="M743" i="6"/>
  <c r="M744" i="6"/>
  <c r="M745" i="6"/>
  <c r="M746" i="6"/>
  <c r="M747" i="6"/>
  <c r="M748" i="6"/>
  <c r="M749" i="6"/>
  <c r="M750" i="6"/>
  <c r="M751" i="6"/>
  <c r="M752" i="6"/>
  <c r="M753" i="6"/>
  <c r="M754" i="6"/>
  <c r="M755" i="6"/>
  <c r="M756" i="6"/>
  <c r="M757" i="6"/>
  <c r="M758" i="6"/>
  <c r="M759" i="6"/>
  <c r="M760" i="6"/>
  <c r="M761" i="6"/>
  <c r="M762" i="6"/>
  <c r="M763" i="6"/>
  <c r="M764" i="6"/>
  <c r="M765" i="6"/>
  <c r="M766" i="6"/>
  <c r="M767" i="6"/>
  <c r="M768" i="6"/>
  <c r="M769" i="6"/>
  <c r="M770" i="6"/>
  <c r="M771" i="6"/>
  <c r="M772" i="6"/>
  <c r="M773" i="6"/>
  <c r="M774" i="6"/>
  <c r="M775" i="6"/>
  <c r="M776" i="6"/>
  <c r="M777" i="6"/>
  <c r="M778" i="6"/>
  <c r="M779" i="6"/>
  <c r="M780" i="6"/>
  <c r="M781" i="6"/>
  <c r="M782" i="6"/>
  <c r="M783" i="6"/>
  <c r="M784" i="6"/>
  <c r="M785" i="6"/>
  <c r="M786" i="6"/>
  <c r="M787" i="6"/>
  <c r="M788" i="6"/>
  <c r="M789" i="6"/>
  <c r="M790" i="6"/>
  <c r="M791" i="6"/>
  <c r="M792" i="6"/>
  <c r="M793" i="6"/>
  <c r="M794" i="6"/>
  <c r="M795" i="6"/>
  <c r="M796" i="6"/>
  <c r="M797" i="6"/>
  <c r="M798" i="6"/>
  <c r="M799" i="6"/>
  <c r="M800" i="6"/>
  <c r="M801" i="6"/>
  <c r="M802" i="6"/>
  <c r="M803" i="6"/>
  <c r="M804" i="6"/>
  <c r="M805" i="6"/>
  <c r="M806" i="6"/>
  <c r="M807" i="6"/>
  <c r="M808" i="6"/>
  <c r="M809" i="6"/>
  <c r="M810" i="6"/>
  <c r="M811" i="6"/>
  <c r="M812" i="6"/>
  <c r="M813" i="6"/>
  <c r="M814" i="6"/>
  <c r="M815" i="6"/>
  <c r="M816" i="6"/>
  <c r="M817" i="6"/>
  <c r="M818" i="6"/>
  <c r="M819" i="6"/>
  <c r="M820" i="6"/>
  <c r="M821" i="6"/>
  <c r="M822" i="6"/>
  <c r="M823" i="6"/>
  <c r="M824" i="6"/>
  <c r="M825" i="6"/>
  <c r="M826" i="6"/>
  <c r="M827" i="6"/>
  <c r="M828" i="6"/>
  <c r="M829" i="6"/>
  <c r="M830" i="6"/>
  <c r="M831" i="6"/>
  <c r="M832" i="6"/>
  <c r="M833" i="6"/>
  <c r="M834" i="6"/>
  <c r="M835" i="6"/>
  <c r="M836" i="6"/>
  <c r="M837" i="6"/>
  <c r="M838" i="6"/>
  <c r="M839" i="6"/>
  <c r="M840" i="6"/>
  <c r="M841" i="6"/>
  <c r="M842" i="6"/>
  <c r="M843" i="6"/>
  <c r="M844" i="6"/>
  <c r="M845" i="6"/>
  <c r="M846" i="6"/>
  <c r="M847" i="6"/>
  <c r="M848" i="6"/>
  <c r="M849" i="6"/>
  <c r="M850" i="6"/>
  <c r="M851" i="6"/>
  <c r="M852" i="6"/>
  <c r="M853" i="6"/>
  <c r="M854" i="6"/>
  <c r="M855" i="6"/>
  <c r="M856" i="6"/>
  <c r="M857" i="6"/>
  <c r="M858" i="6"/>
  <c r="M859" i="6"/>
  <c r="M860" i="6"/>
  <c r="M861" i="6"/>
  <c r="M862" i="6"/>
  <c r="M863" i="6"/>
  <c r="M864" i="6"/>
  <c r="M865" i="6"/>
  <c r="M866" i="6"/>
  <c r="M867" i="6"/>
  <c r="M868" i="6"/>
  <c r="M869" i="6"/>
  <c r="M870" i="6"/>
  <c r="M871" i="6"/>
  <c r="M872" i="6"/>
  <c r="M873" i="6"/>
  <c r="M874" i="6"/>
  <c r="M875" i="6"/>
  <c r="M876" i="6"/>
  <c r="M877" i="6"/>
  <c r="M878" i="6"/>
  <c r="M879" i="6"/>
  <c r="M880" i="6"/>
  <c r="M881" i="6"/>
  <c r="M882" i="6"/>
  <c r="M883" i="6"/>
  <c r="M884" i="6"/>
  <c r="M885" i="6"/>
  <c r="M886" i="6"/>
  <c r="M887" i="6"/>
  <c r="M888" i="6"/>
  <c r="M889" i="6"/>
  <c r="M890" i="6"/>
  <c r="M891" i="6"/>
  <c r="M892" i="6"/>
  <c r="M893" i="6"/>
  <c r="M894" i="6"/>
  <c r="M895" i="6"/>
  <c r="M896" i="6"/>
  <c r="M897" i="6"/>
  <c r="M898" i="6"/>
  <c r="M899" i="6"/>
  <c r="M900" i="6"/>
  <c r="M901" i="6"/>
  <c r="M902" i="6"/>
  <c r="M903" i="6"/>
  <c r="M904" i="6"/>
  <c r="M905" i="6"/>
  <c r="M906" i="6"/>
  <c r="M907" i="6"/>
  <c r="M908" i="6"/>
  <c r="M909" i="6"/>
  <c r="M910" i="6"/>
  <c r="M911" i="6"/>
  <c r="M912" i="6"/>
  <c r="M913" i="6"/>
  <c r="M914" i="6"/>
  <c r="M915" i="6"/>
  <c r="M916" i="6"/>
  <c r="M917" i="6"/>
  <c r="M918" i="6"/>
  <c r="M919" i="6"/>
  <c r="M920" i="6"/>
  <c r="M921" i="6"/>
  <c r="M922" i="6"/>
  <c r="M923" i="6"/>
  <c r="M924" i="6"/>
  <c r="M925" i="6"/>
  <c r="M926" i="6"/>
  <c r="M927" i="6"/>
  <c r="M928" i="6"/>
  <c r="M929" i="6"/>
  <c r="M930" i="6"/>
  <c r="M931" i="6"/>
  <c r="M932" i="6"/>
  <c r="M933" i="6"/>
  <c r="M934" i="6"/>
  <c r="M935" i="6"/>
  <c r="M936" i="6"/>
  <c r="M937" i="6"/>
  <c r="M938" i="6"/>
  <c r="M939" i="6"/>
  <c r="M940" i="6"/>
  <c r="M941" i="6"/>
  <c r="M942" i="6"/>
  <c r="M943" i="6"/>
  <c r="M944" i="6"/>
  <c r="M945" i="6"/>
  <c r="M946" i="6"/>
  <c r="M947" i="6"/>
  <c r="M948" i="6"/>
  <c r="M949" i="6"/>
  <c r="M950" i="6"/>
  <c r="M951" i="6"/>
  <c r="M952" i="6"/>
  <c r="M953" i="6"/>
  <c r="M954" i="6"/>
  <c r="M955" i="6"/>
  <c r="M956" i="6"/>
  <c r="M957" i="6"/>
  <c r="M958" i="6"/>
  <c r="M959" i="6"/>
  <c r="M960" i="6"/>
  <c r="M961" i="6"/>
  <c r="M962" i="6"/>
  <c r="M963" i="6"/>
  <c r="M964" i="6"/>
  <c r="M965" i="6"/>
  <c r="M966" i="6"/>
  <c r="M967" i="6"/>
  <c r="M968" i="6"/>
  <c r="M969" i="6"/>
  <c r="M970" i="6"/>
  <c r="M971" i="6"/>
  <c r="M972" i="6"/>
  <c r="M973" i="6"/>
  <c r="M974" i="6"/>
  <c r="M975" i="6"/>
  <c r="M976" i="6"/>
  <c r="M977" i="6"/>
  <c r="M978" i="6"/>
  <c r="M979" i="6"/>
  <c r="M980" i="6"/>
  <c r="M981" i="6"/>
  <c r="M982" i="6"/>
  <c r="M983" i="6"/>
  <c r="M984" i="6"/>
  <c r="M985" i="6"/>
  <c r="M986" i="6"/>
  <c r="M987" i="6"/>
  <c r="M988" i="6"/>
  <c r="M989" i="6"/>
  <c r="M990" i="6"/>
  <c r="M991" i="6"/>
  <c r="M992" i="6"/>
  <c r="M993" i="6"/>
  <c r="M994" i="6"/>
  <c r="M995" i="6"/>
  <c r="M996" i="6"/>
  <c r="M997" i="6"/>
  <c r="M998" i="6"/>
  <c r="M999" i="6"/>
  <c r="M1000" i="6"/>
  <c r="M1001" i="6"/>
  <c r="M1002" i="6"/>
  <c r="M1003" i="6"/>
  <c r="M1004" i="6"/>
  <c r="M1005" i="6"/>
  <c r="M1006" i="6"/>
  <c r="M1007" i="6"/>
  <c r="M1008" i="6"/>
  <c r="M1009" i="6"/>
  <c r="M1010" i="6"/>
  <c r="M1011" i="6"/>
  <c r="M1012" i="6"/>
  <c r="M1013" i="6"/>
  <c r="M1014" i="6"/>
  <c r="M1015" i="6"/>
  <c r="M1016" i="6"/>
  <c r="M1017" i="6"/>
  <c r="M1018" i="6"/>
  <c r="M1019" i="6"/>
  <c r="M1020" i="6"/>
  <c r="M1021" i="6"/>
  <c r="M1022" i="6"/>
  <c r="M1023" i="6"/>
  <c r="M1024" i="6"/>
  <c r="M1025" i="6"/>
  <c r="M1026" i="6"/>
  <c r="M1027" i="6"/>
  <c r="M1028" i="6"/>
  <c r="M1029" i="6"/>
  <c r="M1030" i="6"/>
  <c r="M1031" i="6"/>
  <c r="M1032" i="6"/>
  <c r="M1033" i="6"/>
  <c r="M1034" i="6"/>
  <c r="M1035" i="6"/>
  <c r="M1036" i="6"/>
  <c r="M1037" i="6"/>
  <c r="M1038" i="6"/>
  <c r="M1039" i="6"/>
  <c r="M1040" i="6"/>
  <c r="M1041" i="6"/>
  <c r="M1042" i="6"/>
  <c r="M1043" i="6"/>
  <c r="M1044" i="6"/>
  <c r="M1045" i="6"/>
  <c r="M1046" i="6"/>
  <c r="M1047" i="6"/>
  <c r="M1048" i="6"/>
  <c r="M1049" i="6"/>
  <c r="M1050" i="6"/>
  <c r="M1051" i="6"/>
  <c r="M1052" i="6"/>
  <c r="M1053" i="6"/>
  <c r="M1054" i="6"/>
  <c r="M1055" i="6"/>
  <c r="M1056" i="6"/>
  <c r="M1057" i="6"/>
  <c r="M1058" i="6"/>
  <c r="M1059" i="6"/>
  <c r="M1060" i="6"/>
  <c r="M1061" i="6"/>
  <c r="M1062" i="6"/>
  <c r="M1063" i="6"/>
  <c r="M1064" i="6"/>
  <c r="M1065" i="6"/>
  <c r="M1066" i="6"/>
  <c r="M1067" i="6"/>
  <c r="M1068" i="6"/>
  <c r="M1069" i="6"/>
  <c r="M1070" i="6"/>
  <c r="M1071" i="6"/>
  <c r="M1072" i="6"/>
  <c r="M1073" i="6"/>
  <c r="M1074" i="6"/>
  <c r="M1075" i="6"/>
  <c r="M1076" i="6"/>
  <c r="M1077" i="6"/>
  <c r="M1078" i="6"/>
  <c r="M1079" i="6"/>
  <c r="M1080" i="6"/>
  <c r="M1081" i="6"/>
  <c r="M1082" i="6"/>
  <c r="M1083" i="6"/>
  <c r="M1084" i="6"/>
  <c r="M1085" i="6"/>
  <c r="M1086" i="6"/>
  <c r="M1087" i="6"/>
  <c r="M1088" i="6"/>
  <c r="M1089" i="6"/>
  <c r="M1090" i="6"/>
  <c r="M1091" i="6"/>
  <c r="M1092" i="6"/>
  <c r="M1093" i="6"/>
  <c r="M1094" i="6"/>
  <c r="M1095" i="6"/>
  <c r="M1096" i="6"/>
  <c r="M1097" i="6"/>
  <c r="M1098" i="6"/>
  <c r="M1099" i="6"/>
  <c r="M1100" i="6"/>
  <c r="M1101" i="6"/>
  <c r="M1102" i="6"/>
  <c r="M1103" i="6"/>
  <c r="M1104" i="6"/>
  <c r="M1105" i="6"/>
  <c r="M1106" i="6"/>
  <c r="M1107" i="6"/>
  <c r="M1108" i="6"/>
  <c r="M1109" i="6"/>
  <c r="M1110" i="6"/>
  <c r="M1111" i="6"/>
  <c r="M1112" i="6"/>
  <c r="M1113" i="6"/>
  <c r="M1114" i="6"/>
  <c r="M1115" i="6"/>
  <c r="M1116" i="6"/>
  <c r="M1117" i="6"/>
  <c r="M1118" i="6"/>
  <c r="M1119" i="6"/>
  <c r="M1120" i="6"/>
  <c r="M1121" i="6"/>
  <c r="M1122" i="6"/>
  <c r="M1123" i="6"/>
  <c r="M1124" i="6"/>
  <c r="M1125" i="6"/>
  <c r="M1126" i="6"/>
  <c r="M1127" i="6"/>
  <c r="M1128" i="6"/>
  <c r="M1129" i="6"/>
  <c r="M1130" i="6"/>
  <c r="M1131" i="6"/>
  <c r="M1132" i="6"/>
  <c r="M1133" i="6"/>
  <c r="M1134" i="6"/>
  <c r="M1135" i="6"/>
  <c r="M1136" i="6"/>
  <c r="M1137" i="6"/>
  <c r="M1138" i="6"/>
  <c r="M1139" i="6"/>
  <c r="M1140" i="6"/>
  <c r="M1141" i="6"/>
  <c r="M1142" i="6"/>
  <c r="M1143" i="6"/>
  <c r="M1144" i="6"/>
  <c r="M1145" i="6"/>
  <c r="M1146" i="6"/>
  <c r="M1147" i="6"/>
  <c r="M1148" i="6"/>
  <c r="M1149" i="6"/>
  <c r="M1150" i="6"/>
  <c r="M1151" i="6"/>
  <c r="M1152" i="6"/>
  <c r="M1153" i="6"/>
  <c r="M1154" i="6"/>
  <c r="M1155" i="6"/>
  <c r="M1156" i="6"/>
  <c r="M1157" i="6"/>
  <c r="M1158" i="6"/>
  <c r="M1159" i="6"/>
  <c r="M1160" i="6"/>
  <c r="M1161" i="6"/>
  <c r="M1162" i="6"/>
  <c r="M1163" i="6"/>
  <c r="M1164" i="6"/>
  <c r="M1165" i="6"/>
  <c r="M1166" i="6"/>
  <c r="M1167" i="6"/>
  <c r="M1168" i="6"/>
  <c r="M1169" i="6"/>
  <c r="M1170" i="6"/>
  <c r="M1171" i="6"/>
  <c r="M1172" i="6"/>
  <c r="M1173" i="6"/>
  <c r="M1174" i="6"/>
  <c r="M1175" i="6"/>
  <c r="M1176" i="6"/>
  <c r="M1177" i="6"/>
  <c r="M1178" i="6"/>
  <c r="M1179" i="6"/>
  <c r="M1180" i="6"/>
  <c r="M1181" i="6"/>
  <c r="M1182" i="6"/>
  <c r="M1183" i="6"/>
  <c r="M1184" i="6"/>
  <c r="M1185" i="6"/>
  <c r="M1186" i="6"/>
  <c r="M1187" i="6"/>
  <c r="M1188" i="6"/>
  <c r="M1189" i="6"/>
  <c r="M1190" i="6"/>
  <c r="M1191" i="6"/>
  <c r="M1192" i="6"/>
  <c r="M1193" i="6"/>
  <c r="M1194" i="6"/>
  <c r="M1195" i="6"/>
  <c r="M1196" i="6"/>
  <c r="M1197" i="6"/>
  <c r="M1198" i="6"/>
  <c r="M1199" i="6"/>
  <c r="M1200" i="6"/>
  <c r="M1201" i="6"/>
  <c r="M1202" i="6"/>
  <c r="M1203" i="6"/>
  <c r="M1204" i="6"/>
  <c r="M1205" i="6"/>
  <c r="M1206" i="6"/>
  <c r="M1207" i="6"/>
  <c r="M1208" i="6"/>
  <c r="M1209" i="6"/>
  <c r="M1210" i="6"/>
  <c r="M1211" i="6"/>
  <c r="M1212" i="6"/>
  <c r="M1213" i="6"/>
  <c r="M1214" i="6"/>
  <c r="M1215" i="6"/>
  <c r="M1216" i="6"/>
  <c r="M1217" i="6"/>
  <c r="M1218" i="6"/>
  <c r="M1219" i="6"/>
  <c r="M1220" i="6"/>
  <c r="M1221" i="6"/>
  <c r="M1222" i="6"/>
  <c r="M1223" i="6"/>
  <c r="M1224" i="6"/>
  <c r="M1225" i="6"/>
  <c r="M1226" i="6"/>
  <c r="M1227" i="6"/>
  <c r="M1228" i="6"/>
  <c r="M1229" i="6"/>
  <c r="M1230" i="6"/>
  <c r="M1231" i="6"/>
  <c r="M1232" i="6"/>
  <c r="M1233" i="6"/>
  <c r="M1234" i="6"/>
  <c r="M1235" i="6"/>
  <c r="M1236" i="6"/>
  <c r="M1237" i="6"/>
  <c r="M1238" i="6"/>
  <c r="M1239" i="6"/>
  <c r="M1240" i="6"/>
  <c r="M1241" i="6"/>
  <c r="M1242" i="6"/>
  <c r="M1243" i="6"/>
  <c r="M1244" i="6"/>
  <c r="M1245" i="6"/>
  <c r="M1246" i="6"/>
  <c r="M1247" i="6"/>
  <c r="M1248" i="6"/>
  <c r="M1249" i="6"/>
  <c r="M1250" i="6"/>
  <c r="M1251" i="6"/>
  <c r="M1252" i="6"/>
  <c r="M1253" i="6"/>
  <c r="M1254" i="6"/>
  <c r="M1255" i="6"/>
  <c r="M1256" i="6"/>
  <c r="M1257" i="6"/>
  <c r="M1258" i="6"/>
  <c r="M1259" i="6"/>
  <c r="M1260" i="6"/>
  <c r="M1261" i="6"/>
  <c r="M1262" i="6"/>
  <c r="M1263" i="6"/>
  <c r="M1264" i="6"/>
  <c r="M1265" i="6"/>
  <c r="M1266" i="6"/>
  <c r="M1267" i="6"/>
  <c r="M1268" i="6"/>
  <c r="M1269" i="6"/>
  <c r="M1270" i="6"/>
  <c r="M1271" i="6"/>
  <c r="M1272" i="6"/>
  <c r="M1273" i="6"/>
  <c r="M1274" i="6"/>
  <c r="M1275" i="6"/>
  <c r="M1276" i="6"/>
  <c r="M1277" i="6"/>
  <c r="M1278" i="6"/>
  <c r="M1279" i="6"/>
  <c r="M1280" i="6"/>
  <c r="M1281" i="6"/>
  <c r="M1282" i="6"/>
  <c r="M1283" i="6"/>
  <c r="M1284" i="6"/>
  <c r="M1285" i="6"/>
  <c r="M1286" i="6"/>
  <c r="M1287" i="6"/>
  <c r="M1288" i="6"/>
  <c r="M1289" i="6"/>
  <c r="M1290" i="6"/>
  <c r="M1291" i="6"/>
  <c r="M1292" i="6"/>
  <c r="M1293" i="6"/>
  <c r="M1294" i="6"/>
  <c r="M1295" i="6"/>
  <c r="M1296" i="6"/>
  <c r="M1297" i="6"/>
  <c r="M1298" i="6"/>
  <c r="M1299" i="6"/>
  <c r="M1300" i="6"/>
  <c r="M1301" i="6"/>
  <c r="M1302" i="6"/>
  <c r="M1303" i="6"/>
  <c r="M1304" i="6"/>
  <c r="M1305" i="6"/>
  <c r="M1306" i="6"/>
  <c r="M1307" i="6"/>
  <c r="M1308" i="6"/>
  <c r="M1309" i="6"/>
  <c r="M1310" i="6"/>
  <c r="M1311" i="6"/>
  <c r="M1312" i="6"/>
  <c r="M1313" i="6"/>
  <c r="M1314" i="6"/>
  <c r="M1315" i="6"/>
  <c r="M1316" i="6"/>
  <c r="M1317" i="6"/>
  <c r="M1318" i="6"/>
  <c r="M1319" i="6"/>
  <c r="M1320" i="6"/>
  <c r="M1321" i="6"/>
  <c r="M1322" i="6"/>
  <c r="M1323" i="6"/>
  <c r="M1324" i="6"/>
  <c r="M1325" i="6"/>
  <c r="M1326" i="6"/>
  <c r="M1327" i="6"/>
  <c r="M1328" i="6"/>
  <c r="M1329" i="6"/>
  <c r="M1330" i="6"/>
  <c r="M1331" i="6"/>
  <c r="M1332" i="6"/>
  <c r="M1333" i="6"/>
  <c r="M1334" i="6"/>
  <c r="M1335" i="6"/>
  <c r="M1336" i="6"/>
  <c r="M1337" i="6"/>
  <c r="M1338" i="6"/>
  <c r="M1339" i="6"/>
  <c r="M1340" i="6"/>
  <c r="M1341" i="6"/>
  <c r="M1342" i="6"/>
  <c r="M1343" i="6"/>
  <c r="M1344" i="6"/>
  <c r="M1345" i="6"/>
  <c r="M1346" i="6"/>
  <c r="M1347" i="6"/>
  <c r="M1348" i="6"/>
  <c r="M1349" i="6"/>
  <c r="M1350" i="6"/>
  <c r="M1351" i="6"/>
  <c r="M1352" i="6"/>
  <c r="M1353" i="6"/>
  <c r="M1354" i="6"/>
  <c r="M1355" i="6"/>
  <c r="M1356" i="6"/>
  <c r="M1357" i="6"/>
  <c r="M1358" i="6"/>
  <c r="M1359" i="6"/>
  <c r="M1360" i="6"/>
  <c r="M1361" i="6"/>
  <c r="M1362" i="6"/>
  <c r="M1363" i="6"/>
  <c r="M1364" i="6"/>
  <c r="M1365" i="6"/>
  <c r="M1366" i="6"/>
  <c r="M1367" i="6"/>
  <c r="M1368" i="6"/>
  <c r="M1369" i="6"/>
  <c r="M1370" i="6"/>
  <c r="M1371" i="6"/>
  <c r="M1372" i="6"/>
  <c r="M1373" i="6"/>
  <c r="M1374" i="6"/>
  <c r="M1375" i="6"/>
  <c r="M1376" i="6"/>
  <c r="M1377" i="6"/>
  <c r="M1378" i="6"/>
  <c r="M1379" i="6"/>
  <c r="M1380" i="6"/>
  <c r="M1381" i="6"/>
  <c r="M1382" i="6"/>
  <c r="M1383" i="6"/>
  <c r="M1384" i="6"/>
  <c r="M1385" i="6"/>
  <c r="M1386" i="6"/>
  <c r="M1387" i="6"/>
  <c r="M1388" i="6"/>
  <c r="M1389" i="6"/>
  <c r="M1390" i="6"/>
  <c r="M1391" i="6"/>
  <c r="M1392" i="6"/>
  <c r="M1393" i="6"/>
  <c r="M1394" i="6"/>
  <c r="M1395" i="6"/>
  <c r="M1396" i="6"/>
  <c r="M1397" i="6"/>
  <c r="M1398" i="6"/>
  <c r="M1399" i="6"/>
  <c r="M1400" i="6"/>
  <c r="M1401" i="6"/>
  <c r="M1402" i="6"/>
  <c r="M1403" i="6"/>
  <c r="M1404" i="6"/>
  <c r="M1405" i="6"/>
  <c r="M1406" i="6"/>
  <c r="M1407" i="6"/>
  <c r="M1408" i="6"/>
  <c r="M1409" i="6"/>
  <c r="M1410" i="6"/>
  <c r="M1411" i="6"/>
  <c r="M1412" i="6"/>
  <c r="M1413" i="6"/>
  <c r="M1414" i="6"/>
  <c r="M1415" i="6"/>
  <c r="M1416" i="6"/>
  <c r="M1417" i="6"/>
  <c r="M1418" i="6"/>
  <c r="M1419" i="6"/>
  <c r="M1420" i="6"/>
  <c r="M1421" i="6"/>
  <c r="M1422" i="6"/>
  <c r="M1423" i="6"/>
  <c r="M1424" i="6"/>
  <c r="M1425" i="6"/>
  <c r="M1426" i="6"/>
  <c r="M1427" i="6"/>
  <c r="M1428" i="6"/>
  <c r="M1429" i="6"/>
  <c r="M1430" i="6"/>
  <c r="M1431" i="6"/>
  <c r="M1432" i="6"/>
  <c r="M1433" i="6"/>
  <c r="M1434" i="6"/>
  <c r="M1435" i="6"/>
  <c r="M1436" i="6"/>
  <c r="M1437" i="6"/>
  <c r="M1438" i="6"/>
  <c r="M1439" i="6"/>
  <c r="M1440" i="6"/>
  <c r="M1441" i="6"/>
  <c r="M1442" i="6"/>
  <c r="M1443" i="6"/>
  <c r="M1444" i="6"/>
  <c r="M1445" i="6"/>
  <c r="M1446" i="6"/>
  <c r="M1447" i="6"/>
  <c r="M1448" i="6"/>
  <c r="M1449" i="6"/>
  <c r="M1450" i="6"/>
  <c r="M1451" i="6"/>
  <c r="M1452" i="6"/>
  <c r="M1453" i="6"/>
  <c r="M1454" i="6"/>
  <c r="M1455" i="6"/>
  <c r="M1456" i="6"/>
  <c r="M1457" i="6"/>
  <c r="M1458" i="6"/>
  <c r="M1459" i="6"/>
  <c r="M1460" i="6"/>
  <c r="M1461" i="6"/>
  <c r="M1462" i="6"/>
  <c r="M1463" i="6"/>
  <c r="M1464" i="6"/>
  <c r="M1465" i="6"/>
  <c r="M1466" i="6"/>
  <c r="M1467" i="6"/>
  <c r="M1468" i="6"/>
  <c r="M1469" i="6"/>
  <c r="M1470" i="6"/>
  <c r="M1471" i="6"/>
  <c r="M1472" i="6"/>
  <c r="M1473" i="6"/>
  <c r="M1474" i="6"/>
  <c r="M1475" i="6"/>
  <c r="M1476" i="6"/>
  <c r="M1477" i="6"/>
  <c r="M1478" i="6"/>
  <c r="M1479" i="6"/>
  <c r="M1480" i="6"/>
  <c r="M1481" i="6"/>
  <c r="M1482" i="6"/>
  <c r="M1483" i="6"/>
  <c r="M1484" i="6"/>
  <c r="M1485" i="6"/>
  <c r="M1486" i="6"/>
  <c r="M1487" i="6"/>
  <c r="M1488" i="6"/>
  <c r="M1489" i="6"/>
  <c r="M1490" i="6"/>
  <c r="M1491" i="6"/>
  <c r="M1492" i="6"/>
  <c r="M1493" i="6"/>
  <c r="M1494" i="6"/>
  <c r="M1495" i="6"/>
  <c r="M1496" i="6"/>
  <c r="M1497" i="6"/>
  <c r="M1498" i="6"/>
  <c r="M1499" i="6"/>
  <c r="M1500" i="6"/>
  <c r="M1501" i="6"/>
  <c r="M1502" i="6"/>
  <c r="M1503" i="6"/>
  <c r="M1504" i="6"/>
  <c r="M1505" i="6"/>
  <c r="M1506" i="6"/>
  <c r="M1507" i="6"/>
  <c r="M1508" i="6"/>
  <c r="M1509" i="6"/>
  <c r="M1510" i="6"/>
  <c r="M1511" i="6"/>
  <c r="M1512" i="6"/>
  <c r="M1513" i="6"/>
  <c r="M1514" i="6"/>
  <c r="M1515" i="6"/>
  <c r="M1516" i="6"/>
  <c r="M1517" i="6"/>
  <c r="M1518" i="6"/>
  <c r="M1519" i="6"/>
  <c r="M1520" i="6"/>
  <c r="M1521" i="6"/>
  <c r="M1522" i="6"/>
  <c r="M1523" i="6"/>
  <c r="M1524" i="6"/>
  <c r="M1525" i="6"/>
  <c r="M1526" i="6"/>
  <c r="M1527" i="6"/>
  <c r="M1528" i="6"/>
  <c r="M1529" i="6"/>
  <c r="M1530" i="6"/>
  <c r="M1531" i="6"/>
  <c r="M1532" i="6"/>
  <c r="M1533" i="6"/>
  <c r="M1534" i="6"/>
  <c r="M1535" i="6"/>
  <c r="M1536" i="6"/>
  <c r="M1537" i="6"/>
  <c r="M1538" i="6"/>
  <c r="M1539" i="6"/>
  <c r="M1540" i="6"/>
  <c r="M1541" i="6"/>
  <c r="M1542" i="6"/>
  <c r="M1543" i="6"/>
  <c r="M1544" i="6"/>
  <c r="M1545" i="6"/>
  <c r="M1546" i="6"/>
  <c r="M1547" i="6"/>
  <c r="M1548" i="6"/>
  <c r="M1549" i="6"/>
  <c r="M1550" i="6"/>
  <c r="M1551" i="6"/>
  <c r="M1552" i="6"/>
  <c r="M1553" i="6"/>
  <c r="M1554" i="6"/>
  <c r="M1555" i="6"/>
  <c r="M1556" i="6"/>
  <c r="M1557" i="6"/>
  <c r="M1558" i="6"/>
  <c r="M1559" i="6"/>
  <c r="M1560" i="6"/>
  <c r="M1561" i="6"/>
  <c r="M1562" i="6"/>
  <c r="M1563" i="6"/>
  <c r="M1564" i="6"/>
  <c r="M1565" i="6"/>
  <c r="M1566" i="6"/>
  <c r="M1567" i="6"/>
  <c r="M1568" i="6"/>
  <c r="M1569" i="6"/>
  <c r="M1570" i="6"/>
  <c r="M1571" i="6"/>
  <c r="M1572" i="6"/>
  <c r="M1573" i="6"/>
  <c r="M1574" i="6"/>
  <c r="M1575" i="6"/>
  <c r="M1576" i="6"/>
  <c r="M1577" i="6"/>
  <c r="M1578" i="6"/>
  <c r="M1579" i="6"/>
  <c r="M1580" i="6"/>
  <c r="M1581" i="6"/>
  <c r="M1582" i="6"/>
  <c r="M1583" i="6"/>
  <c r="M1584" i="6"/>
  <c r="M1585" i="6"/>
  <c r="M1586" i="6"/>
  <c r="M1587" i="6"/>
  <c r="M1588" i="6"/>
  <c r="M1589" i="6"/>
  <c r="M1590" i="6"/>
  <c r="M1591" i="6"/>
  <c r="M1592" i="6"/>
  <c r="M1593" i="6"/>
  <c r="M1594" i="6"/>
  <c r="M1595" i="6"/>
  <c r="M1596" i="6"/>
  <c r="M1597" i="6"/>
  <c r="M1598" i="6"/>
  <c r="M1599" i="6"/>
  <c r="M1600" i="6"/>
  <c r="M1601" i="6"/>
  <c r="M1602" i="6"/>
  <c r="M1603" i="6"/>
  <c r="M1604" i="6"/>
  <c r="M1605" i="6"/>
  <c r="M1606" i="6"/>
  <c r="M1607" i="6"/>
  <c r="M1608" i="6"/>
  <c r="M1609" i="6"/>
  <c r="M1610" i="6"/>
  <c r="M1611" i="6"/>
  <c r="M1612" i="6"/>
  <c r="M1613" i="6"/>
  <c r="M1614" i="6"/>
  <c r="M1615" i="6"/>
  <c r="M1616" i="6"/>
  <c r="M1617" i="6"/>
  <c r="M1618" i="6"/>
  <c r="M1619" i="6"/>
  <c r="M1620" i="6"/>
  <c r="M1621" i="6"/>
  <c r="M1622" i="6"/>
  <c r="M1623" i="6"/>
  <c r="M1624" i="6"/>
  <c r="M1625" i="6"/>
  <c r="M1626" i="6"/>
  <c r="M1627" i="6"/>
  <c r="M1628" i="6"/>
  <c r="M1629" i="6"/>
  <c r="M1630" i="6"/>
  <c r="M1631" i="6"/>
  <c r="M1632" i="6"/>
  <c r="M1633" i="6"/>
  <c r="M1634" i="6"/>
  <c r="M1635" i="6"/>
  <c r="M1636" i="6"/>
  <c r="M1637" i="6"/>
  <c r="M1638" i="6"/>
  <c r="M1639" i="6"/>
  <c r="M1640" i="6"/>
  <c r="M1641" i="6"/>
  <c r="M1642" i="6"/>
  <c r="M1643" i="6"/>
  <c r="M1644" i="6"/>
  <c r="M1645" i="6"/>
  <c r="M1646" i="6"/>
  <c r="M1647" i="6"/>
  <c r="M1648" i="6"/>
  <c r="M1649" i="6"/>
  <c r="M1650" i="6"/>
  <c r="M1651" i="6"/>
  <c r="M1652" i="6"/>
  <c r="M1653" i="6"/>
  <c r="M1654" i="6"/>
  <c r="M1655" i="6"/>
  <c r="M1656" i="6"/>
  <c r="M1657" i="6"/>
  <c r="M1658" i="6"/>
  <c r="M1659" i="6"/>
  <c r="M1660" i="6"/>
  <c r="M1661" i="6"/>
  <c r="M1662" i="6"/>
  <c r="M1663" i="6"/>
  <c r="M1664" i="6"/>
  <c r="M1665" i="6"/>
  <c r="M1666" i="6"/>
  <c r="M1667" i="6"/>
  <c r="M1668" i="6"/>
  <c r="M1669" i="6"/>
  <c r="M1670" i="6"/>
  <c r="M1671" i="6"/>
  <c r="M1672" i="6"/>
  <c r="M1673" i="6"/>
  <c r="M1674" i="6"/>
  <c r="M1675" i="6"/>
  <c r="M1676" i="6"/>
  <c r="M1677" i="6"/>
  <c r="M1678" i="6"/>
  <c r="M1679" i="6"/>
  <c r="M1680" i="6"/>
  <c r="M1681" i="6"/>
  <c r="M1682" i="6"/>
  <c r="M1683" i="6"/>
  <c r="M1684" i="6"/>
  <c r="M1685" i="6"/>
  <c r="M1686" i="6"/>
  <c r="M1687" i="6"/>
  <c r="M1688" i="6"/>
  <c r="M1689" i="6"/>
  <c r="M1690" i="6"/>
  <c r="M1691" i="6"/>
  <c r="M1692" i="6"/>
  <c r="M1693" i="6"/>
  <c r="M1694" i="6"/>
  <c r="M1695" i="6"/>
  <c r="M1696" i="6"/>
  <c r="M1697" i="6"/>
  <c r="M1698" i="6"/>
  <c r="M1699" i="6"/>
  <c r="M1700" i="6"/>
  <c r="M1701" i="6"/>
  <c r="M1702" i="6"/>
  <c r="M1703" i="6"/>
  <c r="M1704" i="6"/>
  <c r="M1705" i="6"/>
  <c r="M1706" i="6"/>
  <c r="M1707" i="6"/>
  <c r="M1708" i="6"/>
  <c r="M1709" i="6"/>
  <c r="M1710" i="6"/>
  <c r="M1711" i="6"/>
  <c r="M1712" i="6"/>
  <c r="M1713" i="6"/>
  <c r="M1714" i="6"/>
  <c r="M1715" i="6"/>
  <c r="M1716" i="6"/>
  <c r="M1717" i="6"/>
  <c r="M1718" i="6"/>
  <c r="M1719" i="6"/>
  <c r="M1720" i="6"/>
  <c r="M1721" i="6"/>
  <c r="M1722" i="6"/>
  <c r="M1723" i="6"/>
  <c r="M1724" i="6"/>
  <c r="M1725" i="6"/>
  <c r="M1726" i="6"/>
  <c r="M1727" i="6"/>
  <c r="M1728" i="6"/>
  <c r="M1729" i="6"/>
  <c r="M1730" i="6"/>
  <c r="M1731" i="6"/>
  <c r="M1732" i="6"/>
  <c r="M1733" i="6"/>
  <c r="M1734" i="6"/>
  <c r="M1735" i="6"/>
  <c r="M1736" i="6"/>
  <c r="M1737" i="6"/>
  <c r="M1738" i="6"/>
  <c r="M1739" i="6"/>
  <c r="M1740" i="6"/>
  <c r="M1741" i="6"/>
  <c r="M1742" i="6"/>
  <c r="M1743" i="6"/>
  <c r="M1744" i="6"/>
  <c r="M1745" i="6"/>
  <c r="M1746" i="6"/>
  <c r="M1747" i="6"/>
  <c r="M1748" i="6"/>
  <c r="M1749" i="6"/>
  <c r="M1750" i="6"/>
  <c r="M1751" i="6"/>
  <c r="M1752" i="6"/>
  <c r="M1753" i="6"/>
  <c r="M1754" i="6"/>
  <c r="M1755" i="6"/>
  <c r="M1756" i="6"/>
  <c r="M1757" i="6"/>
  <c r="M1758" i="6"/>
  <c r="M1759" i="6"/>
  <c r="M1760" i="6"/>
  <c r="M1761" i="6"/>
  <c r="M1762" i="6"/>
  <c r="M1763" i="6"/>
  <c r="M1764" i="6"/>
  <c r="M1765" i="6"/>
  <c r="M1766" i="6"/>
  <c r="M1767" i="6"/>
  <c r="M1768" i="6"/>
  <c r="M1769" i="6"/>
  <c r="M1770" i="6"/>
  <c r="M1771" i="6"/>
  <c r="M1772" i="6"/>
  <c r="M1773" i="6"/>
  <c r="M1774" i="6"/>
  <c r="M1775" i="6"/>
  <c r="M1776" i="6"/>
  <c r="M1777" i="6"/>
  <c r="M1778" i="6"/>
  <c r="M1779" i="6"/>
  <c r="M1780" i="6"/>
  <c r="M1781" i="6"/>
  <c r="M1782" i="6"/>
  <c r="M1783" i="6"/>
  <c r="M1784" i="6"/>
  <c r="M1785" i="6"/>
  <c r="M1786" i="6"/>
  <c r="M1787" i="6"/>
  <c r="M1788" i="6"/>
  <c r="M1789" i="6"/>
  <c r="M1790" i="6"/>
  <c r="M1791" i="6"/>
  <c r="M1792" i="6"/>
  <c r="M1793" i="6"/>
  <c r="M1794" i="6"/>
  <c r="M1795" i="6"/>
  <c r="M1796" i="6"/>
  <c r="M1797" i="6"/>
  <c r="M1798" i="6"/>
  <c r="M1799" i="6"/>
  <c r="M1800" i="6"/>
  <c r="M1801" i="6"/>
  <c r="M1802" i="6"/>
  <c r="M1803" i="6"/>
  <c r="M1804" i="6"/>
  <c r="M1805" i="6"/>
  <c r="M1806" i="6"/>
  <c r="M1807" i="6"/>
  <c r="M1808" i="6"/>
  <c r="M1809" i="6"/>
  <c r="M1810" i="6"/>
  <c r="M1811" i="6"/>
  <c r="M1812" i="6"/>
  <c r="M1813" i="6"/>
  <c r="M1814" i="6"/>
  <c r="M1815" i="6"/>
  <c r="M1816" i="6"/>
  <c r="M1817" i="6"/>
  <c r="M1818" i="6"/>
  <c r="M1819" i="6"/>
  <c r="M1820" i="6"/>
  <c r="M1821" i="6"/>
  <c r="M1822" i="6"/>
  <c r="M1823" i="6"/>
  <c r="M1824" i="6"/>
  <c r="M1825" i="6"/>
  <c r="M1826" i="6"/>
  <c r="M1827" i="6"/>
  <c r="M1828" i="6"/>
  <c r="M1829" i="6"/>
  <c r="M1830" i="6"/>
  <c r="M1831" i="6"/>
  <c r="M1832" i="6"/>
  <c r="M1833" i="6"/>
  <c r="M1834" i="6"/>
  <c r="M1835" i="6"/>
  <c r="M1836" i="6"/>
  <c r="M1837" i="6"/>
  <c r="M1838" i="6"/>
  <c r="M1839" i="6"/>
  <c r="M1840" i="6"/>
  <c r="M1841" i="6"/>
  <c r="M1842" i="6"/>
  <c r="M1843" i="6"/>
  <c r="M1844" i="6"/>
  <c r="M1845" i="6"/>
  <c r="M1846" i="6"/>
  <c r="M1847" i="6"/>
  <c r="M1848" i="6"/>
  <c r="M1849" i="6"/>
  <c r="M1850" i="6"/>
  <c r="M1851" i="6"/>
  <c r="M1852" i="6"/>
  <c r="M1853" i="6"/>
  <c r="M1854" i="6"/>
  <c r="M1855" i="6"/>
  <c r="M1856" i="6"/>
  <c r="M1857" i="6"/>
  <c r="M1858" i="6"/>
  <c r="M1859" i="6"/>
  <c r="M1860" i="6"/>
  <c r="M1861" i="6"/>
  <c r="M1862" i="6"/>
  <c r="M1863" i="6"/>
  <c r="M1864" i="6"/>
  <c r="M1865" i="6"/>
  <c r="M1866" i="6"/>
  <c r="M1867" i="6"/>
  <c r="M1868" i="6"/>
  <c r="M1869" i="6"/>
  <c r="M1870" i="6"/>
  <c r="M1871" i="6"/>
  <c r="M1872" i="6"/>
  <c r="M1873" i="6"/>
  <c r="M1874" i="6"/>
  <c r="M1875" i="6"/>
  <c r="M1876" i="6"/>
  <c r="M1877" i="6"/>
  <c r="M1878" i="6"/>
  <c r="M1879" i="6"/>
  <c r="M1880" i="6"/>
  <c r="M1881" i="6"/>
  <c r="M1882" i="6"/>
  <c r="M1883" i="6"/>
  <c r="M1884" i="6"/>
  <c r="M1885" i="6"/>
  <c r="M1886" i="6"/>
  <c r="M1887" i="6"/>
  <c r="M1888" i="6"/>
  <c r="M1889" i="6"/>
  <c r="M1890" i="6"/>
  <c r="M1891" i="6"/>
  <c r="M1892" i="6"/>
  <c r="M1893" i="6"/>
  <c r="M1894" i="6"/>
  <c r="M1895" i="6"/>
  <c r="M1896" i="6"/>
  <c r="M1897" i="6"/>
  <c r="M1898" i="6"/>
  <c r="M1899" i="6"/>
  <c r="M1900" i="6"/>
  <c r="M1901" i="6"/>
  <c r="M1902" i="6"/>
  <c r="M1903" i="6"/>
  <c r="M1904" i="6"/>
  <c r="M1905" i="6"/>
  <c r="M1906" i="6"/>
  <c r="M1907" i="6"/>
  <c r="M1908" i="6"/>
  <c r="M1909" i="6"/>
  <c r="M1910" i="6"/>
  <c r="M1911" i="6"/>
  <c r="M1912" i="6"/>
  <c r="M1913" i="6"/>
  <c r="M1914" i="6"/>
  <c r="M1915" i="6"/>
  <c r="M1916" i="6"/>
  <c r="M1917" i="6"/>
  <c r="M1918" i="6"/>
  <c r="M1919" i="6"/>
  <c r="M1920" i="6"/>
  <c r="M1921" i="6"/>
  <c r="M1922" i="6"/>
  <c r="M1923" i="6"/>
  <c r="M1924" i="6"/>
  <c r="M1925" i="6"/>
  <c r="M1926" i="6"/>
  <c r="M1927" i="6"/>
  <c r="M1928" i="6"/>
  <c r="M1929" i="6"/>
  <c r="M1930" i="6"/>
  <c r="M1931" i="6"/>
  <c r="M1932" i="6"/>
  <c r="M1933" i="6"/>
  <c r="M1934" i="6"/>
  <c r="M1935" i="6"/>
  <c r="M1936" i="6"/>
  <c r="M1937" i="6"/>
  <c r="M1938" i="6"/>
  <c r="M1939" i="6"/>
  <c r="M1940" i="6"/>
  <c r="M1941" i="6"/>
  <c r="M1942" i="6"/>
  <c r="M1943" i="6"/>
  <c r="M1944" i="6"/>
  <c r="M1945" i="6"/>
  <c r="M1946" i="6"/>
  <c r="M1947" i="6"/>
  <c r="M1948" i="6"/>
  <c r="M1949" i="6"/>
  <c r="M1950" i="6"/>
  <c r="M1951" i="6"/>
  <c r="M1952" i="6"/>
  <c r="M1953" i="6"/>
  <c r="M1954" i="6"/>
  <c r="M1955" i="6"/>
  <c r="M1956" i="6"/>
  <c r="M1957" i="6"/>
  <c r="M1958" i="6"/>
  <c r="M1959" i="6"/>
  <c r="M1960" i="6"/>
  <c r="M1961" i="6"/>
  <c r="M1962" i="6"/>
  <c r="M1963" i="6"/>
  <c r="M1964" i="6"/>
  <c r="M1965" i="6"/>
  <c r="M1966" i="6"/>
  <c r="M1967" i="6"/>
  <c r="M1968" i="6"/>
  <c r="M1969" i="6"/>
  <c r="M1970" i="6"/>
  <c r="M1971" i="6"/>
  <c r="M1972" i="6"/>
  <c r="M1973" i="6"/>
  <c r="M1974" i="6"/>
  <c r="M1975" i="6"/>
  <c r="M1976" i="6"/>
  <c r="M1977" i="6"/>
  <c r="M1978" i="6"/>
  <c r="M1979" i="6"/>
  <c r="M1980" i="6"/>
  <c r="M1981" i="6"/>
  <c r="M1982" i="6"/>
  <c r="M1983" i="6"/>
  <c r="M1984" i="6"/>
  <c r="M1985" i="6"/>
  <c r="M1986" i="6"/>
  <c r="M1987" i="6"/>
  <c r="M1988" i="6"/>
  <c r="M1989" i="6"/>
  <c r="M1990" i="6"/>
  <c r="M1991" i="6"/>
  <c r="M1992" i="6"/>
  <c r="M1993" i="6"/>
  <c r="M1994" i="6"/>
  <c r="M1995" i="6"/>
  <c r="M1996" i="6"/>
  <c r="M1997" i="6"/>
  <c r="M1998" i="6"/>
  <c r="M1999" i="6"/>
  <c r="M2000" i="6"/>
  <c r="M2001" i="6"/>
  <c r="M2002" i="6"/>
  <c r="M2003" i="6"/>
  <c r="M2004" i="6"/>
  <c r="M2005" i="6"/>
  <c r="M2006" i="6"/>
  <c r="M2007" i="6"/>
  <c r="M2008" i="6"/>
  <c r="M2009" i="6"/>
  <c r="M2010" i="6"/>
  <c r="M2011" i="6"/>
  <c r="M2012" i="6"/>
  <c r="M2013" i="6"/>
  <c r="M2014" i="6"/>
  <c r="M2015" i="6"/>
  <c r="M2016" i="6"/>
  <c r="M2017" i="6"/>
  <c r="M2018" i="6"/>
  <c r="M2019" i="6"/>
  <c r="M2020" i="6"/>
  <c r="M2021" i="6"/>
  <c r="M2022" i="6"/>
  <c r="M2023" i="6"/>
  <c r="M2024" i="6"/>
  <c r="M2025" i="6"/>
  <c r="M2026" i="6"/>
  <c r="M2027" i="6"/>
  <c r="M2028" i="6"/>
  <c r="M2029" i="6"/>
  <c r="M2030" i="6"/>
  <c r="M2031" i="6"/>
  <c r="M2032" i="6"/>
  <c r="M2033" i="6"/>
  <c r="M2034" i="6"/>
  <c r="M2035" i="6"/>
  <c r="M2036" i="6"/>
  <c r="M2037" i="6"/>
  <c r="M2038" i="6"/>
  <c r="M2039" i="6"/>
  <c r="M2040" i="6"/>
  <c r="M2041" i="6"/>
  <c r="M2042" i="6"/>
  <c r="M2043" i="6"/>
  <c r="M2044" i="6"/>
  <c r="M2045" i="6"/>
  <c r="M2046" i="6"/>
  <c r="M2047" i="6"/>
  <c r="M2048" i="6"/>
  <c r="M2049" i="6"/>
  <c r="M2050" i="6"/>
  <c r="M2051" i="6"/>
  <c r="M2052" i="6"/>
  <c r="M2053" i="6"/>
  <c r="M2054" i="6"/>
  <c r="M2055" i="6"/>
  <c r="M2056" i="6"/>
  <c r="M2057" i="6"/>
  <c r="M2058" i="6"/>
  <c r="M2059" i="6"/>
  <c r="M2060" i="6"/>
  <c r="M2061" i="6"/>
  <c r="M2062" i="6"/>
  <c r="M2063" i="6"/>
  <c r="M2064" i="6"/>
  <c r="M2065" i="6"/>
  <c r="M2066" i="6"/>
  <c r="M2067" i="6"/>
  <c r="M2068" i="6"/>
  <c r="M2069" i="6"/>
  <c r="M2070" i="6"/>
  <c r="M2071" i="6"/>
  <c r="M2072" i="6"/>
  <c r="M2073" i="6"/>
  <c r="M2074" i="6"/>
  <c r="M2075" i="6"/>
  <c r="M2076" i="6"/>
  <c r="M2077" i="6"/>
  <c r="M2078" i="6"/>
  <c r="M2079" i="6"/>
  <c r="M2080" i="6"/>
  <c r="M2081" i="6"/>
  <c r="M2082" i="6"/>
  <c r="M2083" i="6"/>
  <c r="M2084" i="6"/>
  <c r="M2085" i="6"/>
  <c r="M2086" i="6"/>
  <c r="M2087" i="6"/>
  <c r="M2088" i="6"/>
  <c r="M2089" i="6"/>
  <c r="M2090" i="6"/>
  <c r="M2091" i="6"/>
  <c r="M2092" i="6"/>
  <c r="M2093" i="6"/>
  <c r="M2094" i="6"/>
  <c r="M2095" i="6"/>
  <c r="M2096" i="6"/>
  <c r="M2097" i="6"/>
  <c r="M2098" i="6"/>
  <c r="M2099" i="6"/>
  <c r="M2100" i="6"/>
  <c r="M2101" i="6"/>
  <c r="M2102" i="6"/>
  <c r="M2103" i="6"/>
  <c r="M2104" i="6"/>
  <c r="M2105" i="6"/>
  <c r="M2106" i="6"/>
  <c r="M2107" i="6"/>
  <c r="M2108" i="6"/>
  <c r="M2109" i="6"/>
  <c r="M2110" i="6"/>
  <c r="M2111" i="6"/>
  <c r="M2112" i="6"/>
  <c r="M2113" i="6"/>
  <c r="M2114" i="6"/>
  <c r="M2115" i="6"/>
  <c r="M2116" i="6"/>
  <c r="M2117" i="6"/>
  <c r="M2118" i="6"/>
  <c r="M2119" i="6"/>
  <c r="M2120" i="6"/>
  <c r="M2121" i="6"/>
  <c r="M2122" i="6"/>
  <c r="M2123" i="6"/>
  <c r="M2124" i="6"/>
  <c r="M2125" i="6"/>
  <c r="M2126" i="6"/>
  <c r="M2127" i="6"/>
  <c r="M2128" i="6"/>
  <c r="M2129" i="6"/>
  <c r="M2130" i="6"/>
  <c r="M2131" i="6"/>
  <c r="M2132" i="6"/>
  <c r="M2133" i="6"/>
  <c r="M2134" i="6"/>
  <c r="M2135" i="6"/>
  <c r="M2136" i="6"/>
  <c r="M2137" i="6"/>
  <c r="M2138" i="6"/>
  <c r="M2139" i="6"/>
  <c r="M2140" i="6"/>
  <c r="M2141" i="6"/>
  <c r="M2142" i="6"/>
  <c r="M2143" i="6"/>
  <c r="M2144" i="6"/>
  <c r="M2145" i="6"/>
  <c r="M2146" i="6"/>
  <c r="M2147" i="6"/>
  <c r="M2148" i="6"/>
  <c r="M2149" i="6"/>
  <c r="M2150" i="6"/>
  <c r="M2151" i="6"/>
  <c r="M2152" i="6"/>
  <c r="M2153" i="6"/>
  <c r="M2154" i="6"/>
  <c r="M2155" i="6"/>
  <c r="M2156" i="6"/>
  <c r="M2157" i="6"/>
  <c r="M2158" i="6"/>
  <c r="M2159" i="6"/>
  <c r="M2160" i="6"/>
  <c r="M2161" i="6"/>
  <c r="M2162" i="6"/>
  <c r="M2163" i="6"/>
  <c r="M2164" i="6"/>
  <c r="M2165" i="6"/>
  <c r="M2166" i="6"/>
  <c r="M2167" i="6"/>
  <c r="M2168" i="6"/>
  <c r="M2169" i="6"/>
  <c r="M2170" i="6"/>
  <c r="N3" i="6"/>
  <c r="N4" i="6"/>
  <c r="N5"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N278" i="6"/>
  <c r="N279" i="6"/>
  <c r="N280" i="6"/>
  <c r="N281" i="6"/>
  <c r="N282" i="6"/>
  <c r="N283" i="6"/>
  <c r="N284" i="6"/>
  <c r="N285" i="6"/>
  <c r="N286" i="6"/>
  <c r="N287" i="6"/>
  <c r="N288" i="6"/>
  <c r="N289" i="6"/>
  <c r="N290" i="6"/>
  <c r="N291" i="6"/>
  <c r="N292" i="6"/>
  <c r="N293" i="6"/>
  <c r="N294" i="6"/>
  <c r="N295" i="6"/>
  <c r="N296" i="6"/>
  <c r="N297" i="6"/>
  <c r="N298" i="6"/>
  <c r="N299" i="6"/>
  <c r="N300" i="6"/>
  <c r="N301" i="6"/>
  <c r="N302" i="6"/>
  <c r="N303" i="6"/>
  <c r="N304" i="6"/>
  <c r="N305" i="6"/>
  <c r="N306" i="6"/>
  <c r="N307" i="6"/>
  <c r="N308" i="6"/>
  <c r="N309" i="6"/>
  <c r="N310" i="6"/>
  <c r="N311" i="6"/>
  <c r="N312" i="6"/>
  <c r="N313" i="6"/>
  <c r="N314" i="6"/>
  <c r="N315" i="6"/>
  <c r="N316" i="6"/>
  <c r="N317" i="6"/>
  <c r="N318" i="6"/>
  <c r="N319" i="6"/>
  <c r="N320" i="6"/>
  <c r="N321" i="6"/>
  <c r="N322" i="6"/>
  <c r="N323" i="6"/>
  <c r="N324" i="6"/>
  <c r="N325" i="6"/>
  <c r="N326" i="6"/>
  <c r="N327" i="6"/>
  <c r="N328" i="6"/>
  <c r="N329" i="6"/>
  <c r="N330" i="6"/>
  <c r="N331" i="6"/>
  <c r="N332" i="6"/>
  <c r="N333" i="6"/>
  <c r="N334" i="6"/>
  <c r="N335" i="6"/>
  <c r="N336" i="6"/>
  <c r="N337" i="6"/>
  <c r="N338" i="6"/>
  <c r="N339" i="6"/>
  <c r="N340" i="6"/>
  <c r="N341" i="6"/>
  <c r="N342" i="6"/>
  <c r="N343" i="6"/>
  <c r="N344" i="6"/>
  <c r="N345" i="6"/>
  <c r="N346" i="6"/>
  <c r="N347" i="6"/>
  <c r="N348" i="6"/>
  <c r="N349" i="6"/>
  <c r="N350" i="6"/>
  <c r="N351" i="6"/>
  <c r="N352" i="6"/>
  <c r="N353" i="6"/>
  <c r="N354" i="6"/>
  <c r="N355" i="6"/>
  <c r="N356" i="6"/>
  <c r="N357" i="6"/>
  <c r="N358" i="6"/>
  <c r="N359" i="6"/>
  <c r="N360" i="6"/>
  <c r="N361" i="6"/>
  <c r="N362" i="6"/>
  <c r="N363" i="6"/>
  <c r="N364" i="6"/>
  <c r="N365" i="6"/>
  <c r="N366" i="6"/>
  <c r="N367" i="6"/>
  <c r="N368" i="6"/>
  <c r="N369" i="6"/>
  <c r="N370" i="6"/>
  <c r="N371" i="6"/>
  <c r="N372" i="6"/>
  <c r="N373" i="6"/>
  <c r="N374" i="6"/>
  <c r="N375" i="6"/>
  <c r="N376" i="6"/>
  <c r="N377" i="6"/>
  <c r="N378" i="6"/>
  <c r="N379" i="6"/>
  <c r="N380" i="6"/>
  <c r="N381" i="6"/>
  <c r="N382" i="6"/>
  <c r="N383" i="6"/>
  <c r="N384" i="6"/>
  <c r="N385" i="6"/>
  <c r="N386" i="6"/>
  <c r="N387" i="6"/>
  <c r="N388" i="6"/>
  <c r="N389" i="6"/>
  <c r="N390" i="6"/>
  <c r="N391" i="6"/>
  <c r="N392" i="6"/>
  <c r="N393" i="6"/>
  <c r="N394" i="6"/>
  <c r="N395" i="6"/>
  <c r="N396" i="6"/>
  <c r="N397" i="6"/>
  <c r="N398" i="6"/>
  <c r="N399" i="6"/>
  <c r="N400" i="6"/>
  <c r="N401" i="6"/>
  <c r="N402" i="6"/>
  <c r="N403" i="6"/>
  <c r="N404" i="6"/>
  <c r="N405" i="6"/>
  <c r="N406" i="6"/>
  <c r="N407" i="6"/>
  <c r="N408" i="6"/>
  <c r="N409" i="6"/>
  <c r="N410" i="6"/>
  <c r="N411" i="6"/>
  <c r="N412" i="6"/>
  <c r="N413" i="6"/>
  <c r="N414" i="6"/>
  <c r="N415" i="6"/>
  <c r="N416" i="6"/>
  <c r="N417" i="6"/>
  <c r="N418" i="6"/>
  <c r="N419" i="6"/>
  <c r="N420" i="6"/>
  <c r="N421" i="6"/>
  <c r="N422" i="6"/>
  <c r="N423" i="6"/>
  <c r="N424" i="6"/>
  <c r="N425" i="6"/>
  <c r="N426" i="6"/>
  <c r="N427" i="6"/>
  <c r="N428" i="6"/>
  <c r="N429" i="6"/>
  <c r="N430" i="6"/>
  <c r="N431" i="6"/>
  <c r="N432" i="6"/>
  <c r="N433" i="6"/>
  <c r="N434" i="6"/>
  <c r="N435" i="6"/>
  <c r="N436" i="6"/>
  <c r="N437" i="6"/>
  <c r="N438" i="6"/>
  <c r="N439" i="6"/>
  <c r="N440" i="6"/>
  <c r="N441" i="6"/>
  <c r="N442" i="6"/>
  <c r="N443" i="6"/>
  <c r="N444" i="6"/>
  <c r="N445" i="6"/>
  <c r="N446" i="6"/>
  <c r="N447" i="6"/>
  <c r="N448" i="6"/>
  <c r="N449" i="6"/>
  <c r="N450" i="6"/>
  <c r="N451" i="6"/>
  <c r="N452" i="6"/>
  <c r="N453" i="6"/>
  <c r="N454" i="6"/>
  <c r="N455" i="6"/>
  <c r="N456" i="6"/>
  <c r="N457" i="6"/>
  <c r="N458" i="6"/>
  <c r="N459" i="6"/>
  <c r="N460" i="6"/>
  <c r="N461" i="6"/>
  <c r="N462" i="6"/>
  <c r="N463" i="6"/>
  <c r="N464" i="6"/>
  <c r="N465" i="6"/>
  <c r="N466" i="6"/>
  <c r="N467" i="6"/>
  <c r="N468" i="6"/>
  <c r="N469" i="6"/>
  <c r="N470" i="6"/>
  <c r="N471" i="6"/>
  <c r="N472" i="6"/>
  <c r="N473" i="6"/>
  <c r="N474" i="6"/>
  <c r="N475" i="6"/>
  <c r="N476" i="6"/>
  <c r="N477" i="6"/>
  <c r="N478" i="6"/>
  <c r="N479" i="6"/>
  <c r="N480" i="6"/>
  <c r="N481" i="6"/>
  <c r="N482" i="6"/>
  <c r="N483" i="6"/>
  <c r="N484" i="6"/>
  <c r="N485" i="6"/>
  <c r="N486" i="6"/>
  <c r="N487" i="6"/>
  <c r="N488" i="6"/>
  <c r="N489" i="6"/>
  <c r="N490" i="6"/>
  <c r="N491" i="6"/>
  <c r="N492" i="6"/>
  <c r="N493" i="6"/>
  <c r="N494" i="6"/>
  <c r="N495" i="6"/>
  <c r="N496" i="6"/>
  <c r="N497" i="6"/>
  <c r="N498" i="6"/>
  <c r="N499" i="6"/>
  <c r="N500" i="6"/>
  <c r="N501" i="6"/>
  <c r="N502" i="6"/>
  <c r="N503" i="6"/>
  <c r="N504" i="6"/>
  <c r="N505" i="6"/>
  <c r="N506" i="6"/>
  <c r="N507" i="6"/>
  <c r="N508" i="6"/>
  <c r="N509" i="6"/>
  <c r="N510" i="6"/>
  <c r="N511" i="6"/>
  <c r="N512" i="6"/>
  <c r="N513" i="6"/>
  <c r="N514" i="6"/>
  <c r="N515" i="6"/>
  <c r="N516" i="6"/>
  <c r="N517" i="6"/>
  <c r="N518" i="6"/>
  <c r="N519" i="6"/>
  <c r="N520" i="6"/>
  <c r="N521" i="6"/>
  <c r="N522" i="6"/>
  <c r="N523" i="6"/>
  <c r="N524" i="6"/>
  <c r="N525" i="6"/>
  <c r="N526" i="6"/>
  <c r="N527" i="6"/>
  <c r="N528" i="6"/>
  <c r="N529" i="6"/>
  <c r="N530" i="6"/>
  <c r="N531" i="6"/>
  <c r="N532" i="6"/>
  <c r="N533" i="6"/>
  <c r="N534" i="6"/>
  <c r="N535" i="6"/>
  <c r="N536" i="6"/>
  <c r="N537" i="6"/>
  <c r="N538" i="6"/>
  <c r="N539" i="6"/>
  <c r="N540" i="6"/>
  <c r="N541" i="6"/>
  <c r="N542" i="6"/>
  <c r="N543" i="6"/>
  <c r="N544" i="6"/>
  <c r="N545" i="6"/>
  <c r="N546" i="6"/>
  <c r="N547" i="6"/>
  <c r="N548" i="6"/>
  <c r="N549" i="6"/>
  <c r="N550" i="6"/>
  <c r="N551" i="6"/>
  <c r="N552" i="6"/>
  <c r="N553" i="6"/>
  <c r="N554" i="6"/>
  <c r="N555" i="6"/>
  <c r="N556" i="6"/>
  <c r="N557" i="6"/>
  <c r="N558" i="6"/>
  <c r="N559" i="6"/>
  <c r="N560" i="6"/>
  <c r="N561" i="6"/>
  <c r="N562" i="6"/>
  <c r="N563" i="6"/>
  <c r="N564" i="6"/>
  <c r="N565" i="6"/>
  <c r="N566" i="6"/>
  <c r="N567" i="6"/>
  <c r="N568" i="6"/>
  <c r="N569" i="6"/>
  <c r="N570" i="6"/>
  <c r="N571" i="6"/>
  <c r="N572" i="6"/>
  <c r="N573" i="6"/>
  <c r="N574" i="6"/>
  <c r="N575" i="6"/>
  <c r="N576" i="6"/>
  <c r="N577" i="6"/>
  <c r="N578" i="6"/>
  <c r="N579" i="6"/>
  <c r="N580" i="6"/>
  <c r="N581" i="6"/>
  <c r="N582" i="6"/>
  <c r="N583" i="6"/>
  <c r="N584" i="6"/>
  <c r="N585" i="6"/>
  <c r="N586" i="6"/>
  <c r="N587" i="6"/>
  <c r="N588" i="6"/>
  <c r="N589" i="6"/>
  <c r="N590" i="6"/>
  <c r="N591" i="6"/>
  <c r="N592" i="6"/>
  <c r="N593" i="6"/>
  <c r="N594" i="6"/>
  <c r="N595" i="6"/>
  <c r="N596" i="6"/>
  <c r="N597" i="6"/>
  <c r="N598" i="6"/>
  <c r="N599" i="6"/>
  <c r="N600" i="6"/>
  <c r="N601" i="6"/>
  <c r="N602" i="6"/>
  <c r="N603" i="6"/>
  <c r="N604" i="6"/>
  <c r="N605" i="6"/>
  <c r="N606" i="6"/>
  <c r="N607" i="6"/>
  <c r="N608" i="6"/>
  <c r="N609" i="6"/>
  <c r="N610" i="6"/>
  <c r="N611" i="6"/>
  <c r="N612" i="6"/>
  <c r="N613" i="6"/>
  <c r="N614" i="6"/>
  <c r="N615" i="6"/>
  <c r="N616" i="6"/>
  <c r="N617" i="6"/>
  <c r="N618" i="6"/>
  <c r="N619" i="6"/>
  <c r="N620" i="6"/>
  <c r="N621" i="6"/>
  <c r="N622" i="6"/>
  <c r="N623" i="6"/>
  <c r="N624" i="6"/>
  <c r="N625" i="6"/>
  <c r="N626" i="6"/>
  <c r="N627" i="6"/>
  <c r="N628" i="6"/>
  <c r="N629" i="6"/>
  <c r="N630" i="6"/>
  <c r="N631" i="6"/>
  <c r="N632" i="6"/>
  <c r="N633" i="6"/>
  <c r="N634" i="6"/>
  <c r="N635" i="6"/>
  <c r="N636" i="6"/>
  <c r="N637" i="6"/>
  <c r="N638" i="6"/>
  <c r="N639" i="6"/>
  <c r="N640" i="6"/>
  <c r="N641" i="6"/>
  <c r="N642" i="6"/>
  <c r="N643" i="6"/>
  <c r="N644" i="6"/>
  <c r="N645" i="6"/>
  <c r="N646" i="6"/>
  <c r="N647" i="6"/>
  <c r="N648" i="6"/>
  <c r="N649" i="6"/>
  <c r="N650" i="6"/>
  <c r="N651" i="6"/>
  <c r="N652" i="6"/>
  <c r="N653" i="6"/>
  <c r="N654" i="6"/>
  <c r="N655" i="6"/>
  <c r="N656" i="6"/>
  <c r="N657" i="6"/>
  <c r="N658" i="6"/>
  <c r="N659" i="6"/>
  <c r="N660" i="6"/>
  <c r="N661" i="6"/>
  <c r="N662" i="6"/>
  <c r="N663" i="6"/>
  <c r="N664" i="6"/>
  <c r="N665" i="6"/>
  <c r="N666" i="6"/>
  <c r="N667" i="6"/>
  <c r="N668" i="6"/>
  <c r="N669" i="6"/>
  <c r="N670" i="6"/>
  <c r="N671" i="6"/>
  <c r="N672" i="6"/>
  <c r="N673" i="6"/>
  <c r="N674" i="6"/>
  <c r="N675" i="6"/>
  <c r="N676" i="6"/>
  <c r="N677" i="6"/>
  <c r="N678" i="6"/>
  <c r="N679" i="6"/>
  <c r="N680" i="6"/>
  <c r="N681" i="6"/>
  <c r="N682" i="6"/>
  <c r="N683" i="6"/>
  <c r="N684" i="6"/>
  <c r="N685" i="6"/>
  <c r="N686" i="6"/>
  <c r="N687" i="6"/>
  <c r="N688" i="6"/>
  <c r="N689" i="6"/>
  <c r="N690" i="6"/>
  <c r="N691" i="6"/>
  <c r="N692" i="6"/>
  <c r="N693" i="6"/>
  <c r="N694" i="6"/>
  <c r="N695" i="6"/>
  <c r="N696" i="6"/>
  <c r="N697" i="6"/>
  <c r="N698" i="6"/>
  <c r="N699" i="6"/>
  <c r="N700" i="6"/>
  <c r="N701" i="6"/>
  <c r="N702" i="6"/>
  <c r="N703" i="6"/>
  <c r="N704" i="6"/>
  <c r="N705" i="6"/>
  <c r="N706" i="6"/>
  <c r="N707" i="6"/>
  <c r="N708" i="6"/>
  <c r="N709" i="6"/>
  <c r="N710" i="6"/>
  <c r="N711" i="6"/>
  <c r="N712" i="6"/>
  <c r="N713" i="6"/>
  <c r="N714" i="6"/>
  <c r="N715" i="6"/>
  <c r="N716" i="6"/>
  <c r="N717" i="6"/>
  <c r="N718" i="6"/>
  <c r="N719" i="6"/>
  <c r="N720" i="6"/>
  <c r="N721" i="6"/>
  <c r="N722" i="6"/>
  <c r="N723" i="6"/>
  <c r="N724" i="6"/>
  <c r="N725" i="6"/>
  <c r="N726" i="6"/>
  <c r="N727" i="6"/>
  <c r="N728" i="6"/>
  <c r="N729" i="6"/>
  <c r="N730" i="6"/>
  <c r="N731" i="6"/>
  <c r="N732" i="6"/>
  <c r="N733" i="6"/>
  <c r="N734" i="6"/>
  <c r="N735" i="6"/>
  <c r="N736" i="6"/>
  <c r="N737" i="6"/>
  <c r="N738" i="6"/>
  <c r="N739" i="6"/>
  <c r="N740" i="6"/>
  <c r="N741" i="6"/>
  <c r="N742" i="6"/>
  <c r="N743" i="6"/>
  <c r="N744" i="6"/>
  <c r="N745" i="6"/>
  <c r="N746" i="6"/>
  <c r="N747" i="6"/>
  <c r="N748" i="6"/>
  <c r="N749" i="6"/>
  <c r="N750" i="6"/>
  <c r="N751" i="6"/>
  <c r="N752" i="6"/>
  <c r="N753" i="6"/>
  <c r="N754" i="6"/>
  <c r="N755" i="6"/>
  <c r="N756" i="6"/>
  <c r="N757" i="6"/>
  <c r="N758" i="6"/>
  <c r="N759" i="6"/>
  <c r="N760" i="6"/>
  <c r="N761" i="6"/>
  <c r="N762" i="6"/>
  <c r="N763" i="6"/>
  <c r="N764" i="6"/>
  <c r="N765" i="6"/>
  <c r="N766" i="6"/>
  <c r="N767" i="6"/>
  <c r="N768" i="6"/>
  <c r="N769" i="6"/>
  <c r="N770" i="6"/>
  <c r="N771" i="6"/>
  <c r="N772" i="6"/>
  <c r="N773" i="6"/>
  <c r="N774" i="6"/>
  <c r="N775" i="6"/>
  <c r="N776" i="6"/>
  <c r="N777" i="6"/>
  <c r="N778" i="6"/>
  <c r="N779" i="6"/>
  <c r="N780" i="6"/>
  <c r="N781" i="6"/>
  <c r="N782" i="6"/>
  <c r="N783" i="6"/>
  <c r="N784" i="6"/>
  <c r="N785" i="6"/>
  <c r="N786" i="6"/>
  <c r="N787" i="6"/>
  <c r="N788" i="6"/>
  <c r="N789" i="6"/>
  <c r="N790" i="6"/>
  <c r="N791" i="6"/>
  <c r="N792" i="6"/>
  <c r="N793" i="6"/>
  <c r="N794" i="6"/>
  <c r="N795" i="6"/>
  <c r="N796" i="6"/>
  <c r="N797" i="6"/>
  <c r="N798" i="6"/>
  <c r="N799" i="6"/>
  <c r="N800" i="6"/>
  <c r="N801" i="6"/>
  <c r="N802" i="6"/>
  <c r="N803" i="6"/>
  <c r="N804" i="6"/>
  <c r="N805" i="6"/>
  <c r="N806" i="6"/>
  <c r="N807" i="6"/>
  <c r="N808" i="6"/>
  <c r="N809" i="6"/>
  <c r="N810" i="6"/>
  <c r="N811" i="6"/>
  <c r="N812" i="6"/>
  <c r="N813" i="6"/>
  <c r="N814" i="6"/>
  <c r="N815" i="6"/>
  <c r="N816" i="6"/>
  <c r="N817" i="6"/>
  <c r="N818" i="6"/>
  <c r="N819" i="6"/>
  <c r="N820" i="6"/>
  <c r="N821" i="6"/>
  <c r="N822" i="6"/>
  <c r="N823" i="6"/>
  <c r="N824" i="6"/>
  <c r="N825" i="6"/>
  <c r="N826" i="6"/>
  <c r="N827" i="6"/>
  <c r="N828" i="6"/>
  <c r="N829" i="6"/>
  <c r="N830" i="6"/>
  <c r="N831" i="6"/>
  <c r="N832" i="6"/>
  <c r="N833" i="6"/>
  <c r="N834" i="6"/>
  <c r="N835" i="6"/>
  <c r="N836" i="6"/>
  <c r="N837" i="6"/>
  <c r="N838" i="6"/>
  <c r="N839" i="6"/>
  <c r="N840" i="6"/>
  <c r="N841" i="6"/>
  <c r="N842" i="6"/>
  <c r="N843" i="6"/>
  <c r="N844" i="6"/>
  <c r="N845" i="6"/>
  <c r="N846" i="6"/>
  <c r="N847" i="6"/>
  <c r="N848" i="6"/>
  <c r="N849" i="6"/>
  <c r="N850" i="6"/>
  <c r="N851" i="6"/>
  <c r="N852" i="6"/>
  <c r="N853" i="6"/>
  <c r="N854" i="6"/>
  <c r="N855" i="6"/>
  <c r="N856" i="6"/>
  <c r="N857" i="6"/>
  <c r="N858" i="6"/>
  <c r="N859" i="6"/>
  <c r="N860" i="6"/>
  <c r="N861" i="6"/>
  <c r="N862" i="6"/>
  <c r="N863" i="6"/>
  <c r="N864" i="6"/>
  <c r="N865" i="6"/>
  <c r="N866" i="6"/>
  <c r="N867" i="6"/>
  <c r="N868" i="6"/>
  <c r="N869" i="6"/>
  <c r="N870" i="6"/>
  <c r="N871" i="6"/>
  <c r="N872" i="6"/>
  <c r="N873" i="6"/>
  <c r="N874" i="6"/>
  <c r="N875" i="6"/>
  <c r="N876" i="6"/>
  <c r="N877" i="6"/>
  <c r="N878" i="6"/>
  <c r="N879" i="6"/>
  <c r="N880" i="6"/>
  <c r="N881" i="6"/>
  <c r="N882" i="6"/>
  <c r="N883" i="6"/>
  <c r="N884" i="6"/>
  <c r="N885" i="6"/>
  <c r="N886" i="6"/>
  <c r="N887" i="6"/>
  <c r="N888" i="6"/>
  <c r="N889" i="6"/>
  <c r="N890" i="6"/>
  <c r="N891" i="6"/>
  <c r="N892" i="6"/>
  <c r="N893" i="6"/>
  <c r="N894" i="6"/>
  <c r="N895" i="6"/>
  <c r="N896" i="6"/>
  <c r="N897" i="6"/>
  <c r="N898" i="6"/>
  <c r="N899" i="6"/>
  <c r="N900" i="6"/>
  <c r="N901" i="6"/>
  <c r="N902" i="6"/>
  <c r="N903" i="6"/>
  <c r="N904" i="6"/>
  <c r="N905" i="6"/>
  <c r="N906" i="6"/>
  <c r="N907" i="6"/>
  <c r="N908" i="6"/>
  <c r="N909" i="6"/>
  <c r="N910" i="6"/>
  <c r="N911" i="6"/>
  <c r="N912" i="6"/>
  <c r="N913" i="6"/>
  <c r="N914" i="6"/>
  <c r="N915" i="6"/>
  <c r="N916" i="6"/>
  <c r="N917" i="6"/>
  <c r="N918" i="6"/>
  <c r="N919" i="6"/>
  <c r="N920" i="6"/>
  <c r="N921" i="6"/>
  <c r="N922" i="6"/>
  <c r="N923" i="6"/>
  <c r="N924" i="6"/>
  <c r="N925" i="6"/>
  <c r="N926" i="6"/>
  <c r="N927" i="6"/>
  <c r="N928" i="6"/>
  <c r="N929" i="6"/>
  <c r="N930" i="6"/>
  <c r="N931" i="6"/>
  <c r="N932" i="6"/>
  <c r="N933" i="6"/>
  <c r="N934" i="6"/>
  <c r="N935" i="6"/>
  <c r="N936" i="6"/>
  <c r="N937" i="6"/>
  <c r="N938" i="6"/>
  <c r="N939" i="6"/>
  <c r="N940" i="6"/>
  <c r="N941" i="6"/>
  <c r="N942" i="6"/>
  <c r="N943" i="6"/>
  <c r="N944" i="6"/>
  <c r="N945" i="6"/>
  <c r="N946" i="6"/>
  <c r="N947" i="6"/>
  <c r="N948" i="6"/>
  <c r="N949" i="6"/>
  <c r="N950" i="6"/>
  <c r="N951" i="6"/>
  <c r="N952" i="6"/>
  <c r="N953" i="6"/>
  <c r="N954" i="6"/>
  <c r="N955" i="6"/>
  <c r="N956" i="6"/>
  <c r="N957" i="6"/>
  <c r="N958" i="6"/>
  <c r="N959" i="6"/>
  <c r="N960" i="6"/>
  <c r="N961" i="6"/>
  <c r="N962" i="6"/>
  <c r="N963" i="6"/>
  <c r="N964" i="6"/>
  <c r="N965" i="6"/>
  <c r="N966" i="6"/>
  <c r="N967" i="6"/>
  <c r="N968" i="6"/>
  <c r="N969" i="6"/>
  <c r="N970" i="6"/>
  <c r="N971" i="6"/>
  <c r="N972" i="6"/>
  <c r="N973" i="6"/>
  <c r="N974" i="6"/>
  <c r="N975" i="6"/>
  <c r="N976" i="6"/>
  <c r="N977" i="6"/>
  <c r="N978" i="6"/>
  <c r="N979" i="6"/>
  <c r="N980" i="6"/>
  <c r="N981" i="6"/>
  <c r="N982" i="6"/>
  <c r="N983" i="6"/>
  <c r="N984" i="6"/>
  <c r="N985" i="6"/>
  <c r="N986" i="6"/>
  <c r="N987" i="6"/>
  <c r="N988" i="6"/>
  <c r="N989" i="6"/>
  <c r="N990" i="6"/>
  <c r="N991" i="6"/>
  <c r="N992" i="6"/>
  <c r="N993" i="6"/>
  <c r="N994" i="6"/>
  <c r="N995" i="6"/>
  <c r="N996" i="6"/>
  <c r="N997" i="6"/>
  <c r="N998" i="6"/>
  <c r="N999" i="6"/>
  <c r="N1000" i="6"/>
  <c r="N1001" i="6"/>
  <c r="N1002" i="6"/>
  <c r="N1003" i="6"/>
  <c r="N1004" i="6"/>
  <c r="N1005" i="6"/>
  <c r="N1006" i="6"/>
  <c r="N1007" i="6"/>
  <c r="N1008" i="6"/>
  <c r="N1009" i="6"/>
  <c r="N1010" i="6"/>
  <c r="N1011" i="6"/>
  <c r="N1012" i="6"/>
  <c r="N1013" i="6"/>
  <c r="N1014" i="6"/>
  <c r="N1015" i="6"/>
  <c r="N1016" i="6"/>
  <c r="N1017" i="6"/>
  <c r="N1018" i="6"/>
  <c r="N1019" i="6"/>
  <c r="N1020" i="6"/>
  <c r="N1021" i="6"/>
  <c r="N1022" i="6"/>
  <c r="N1023" i="6"/>
  <c r="N1024" i="6"/>
  <c r="N1025" i="6"/>
  <c r="N1026" i="6"/>
  <c r="N1027" i="6"/>
  <c r="N1028" i="6"/>
  <c r="N1029" i="6"/>
  <c r="N1030" i="6"/>
  <c r="N1031" i="6"/>
  <c r="N1032" i="6"/>
  <c r="N1033" i="6"/>
  <c r="N1034" i="6"/>
  <c r="N1035" i="6"/>
  <c r="N1036" i="6"/>
  <c r="N1037" i="6"/>
  <c r="N1038" i="6"/>
  <c r="N1039" i="6"/>
  <c r="N1040" i="6"/>
  <c r="N1041" i="6"/>
  <c r="N1042" i="6"/>
  <c r="N1043" i="6"/>
  <c r="N1044" i="6"/>
  <c r="N1045" i="6"/>
  <c r="N1046" i="6"/>
  <c r="N1047" i="6"/>
  <c r="N1048" i="6"/>
  <c r="N1049" i="6"/>
  <c r="N1050" i="6"/>
  <c r="N1051" i="6"/>
  <c r="N1052" i="6"/>
  <c r="N1053" i="6"/>
  <c r="N1054" i="6"/>
  <c r="N1055" i="6"/>
  <c r="N1056" i="6"/>
  <c r="N1057" i="6"/>
  <c r="N1058" i="6"/>
  <c r="N1059" i="6"/>
  <c r="N1060" i="6"/>
  <c r="N1061" i="6"/>
  <c r="N1062" i="6"/>
  <c r="N1063" i="6"/>
  <c r="N1064" i="6"/>
  <c r="N1065" i="6"/>
  <c r="N1066" i="6"/>
  <c r="N1067" i="6"/>
  <c r="N1068" i="6"/>
  <c r="N1069" i="6"/>
  <c r="N1070" i="6"/>
  <c r="N1071" i="6"/>
  <c r="N1072" i="6"/>
  <c r="N1073" i="6"/>
  <c r="N1074" i="6"/>
  <c r="N1075" i="6"/>
  <c r="N1076" i="6"/>
  <c r="N1077" i="6"/>
  <c r="N1078" i="6"/>
  <c r="N1079" i="6"/>
  <c r="N1080" i="6"/>
  <c r="N1081" i="6"/>
  <c r="N1082" i="6"/>
  <c r="N1083" i="6"/>
  <c r="N1084" i="6"/>
  <c r="N1085" i="6"/>
  <c r="N1086" i="6"/>
  <c r="N1087" i="6"/>
  <c r="N1088" i="6"/>
  <c r="N1089" i="6"/>
  <c r="N1090" i="6"/>
  <c r="N1091" i="6"/>
  <c r="N1092" i="6"/>
  <c r="N1093" i="6"/>
  <c r="N1094" i="6"/>
  <c r="N1095" i="6"/>
  <c r="N1096" i="6"/>
  <c r="N1097" i="6"/>
  <c r="N1098" i="6"/>
  <c r="N1099" i="6"/>
  <c r="N1100" i="6"/>
  <c r="N1101" i="6"/>
  <c r="N1102" i="6"/>
  <c r="N1103" i="6"/>
  <c r="N1104" i="6"/>
  <c r="N1105" i="6"/>
  <c r="N1106" i="6"/>
  <c r="N1107" i="6"/>
  <c r="N1108" i="6"/>
  <c r="N1109" i="6"/>
  <c r="N1110" i="6"/>
  <c r="N1111" i="6"/>
  <c r="N1112" i="6"/>
  <c r="N1113" i="6"/>
  <c r="N1114" i="6"/>
  <c r="N1115" i="6"/>
  <c r="N1116" i="6"/>
  <c r="N1117" i="6"/>
  <c r="N1118" i="6"/>
  <c r="N1119" i="6"/>
  <c r="N1120" i="6"/>
  <c r="N1121" i="6"/>
  <c r="N1122" i="6"/>
  <c r="N1123" i="6"/>
  <c r="N1124" i="6"/>
  <c r="N1125" i="6"/>
  <c r="N1126" i="6"/>
  <c r="N1127" i="6"/>
  <c r="N1128" i="6"/>
  <c r="N1129" i="6"/>
  <c r="N1130" i="6"/>
  <c r="N1131" i="6"/>
  <c r="N1132" i="6"/>
  <c r="N1133" i="6"/>
  <c r="N1134" i="6"/>
  <c r="N1135" i="6"/>
  <c r="N1136" i="6"/>
  <c r="N1137" i="6"/>
  <c r="N1138" i="6"/>
  <c r="N1139" i="6"/>
  <c r="N1140" i="6"/>
  <c r="N1141" i="6"/>
  <c r="N1142" i="6"/>
  <c r="N1143" i="6"/>
  <c r="N1144" i="6"/>
  <c r="N1145" i="6"/>
  <c r="N1146" i="6"/>
  <c r="N1147" i="6"/>
  <c r="N1148" i="6"/>
  <c r="N1149" i="6"/>
  <c r="N1150" i="6"/>
  <c r="N1151" i="6"/>
  <c r="N1152" i="6"/>
  <c r="N1153" i="6"/>
  <c r="N1154" i="6"/>
  <c r="N1155" i="6"/>
  <c r="N1156" i="6"/>
  <c r="N1157" i="6"/>
  <c r="N1158" i="6"/>
  <c r="N1159" i="6"/>
  <c r="N1160" i="6"/>
  <c r="N1161" i="6"/>
  <c r="N1162" i="6"/>
  <c r="N1163" i="6"/>
  <c r="N1164" i="6"/>
  <c r="N1165" i="6"/>
  <c r="N1166" i="6"/>
  <c r="N1167" i="6"/>
  <c r="N1168" i="6"/>
  <c r="N1169" i="6"/>
  <c r="N1170" i="6"/>
  <c r="N1171" i="6"/>
  <c r="N1172" i="6"/>
  <c r="N1173" i="6"/>
  <c r="N1174" i="6"/>
  <c r="N1175" i="6"/>
  <c r="N1176" i="6"/>
  <c r="N1177" i="6"/>
  <c r="N1178" i="6"/>
  <c r="N1179" i="6"/>
  <c r="N1180" i="6"/>
  <c r="N1181" i="6"/>
  <c r="N1182" i="6"/>
  <c r="N1183" i="6"/>
  <c r="N1184" i="6"/>
  <c r="N1185" i="6"/>
  <c r="N1186" i="6"/>
  <c r="N1187" i="6"/>
  <c r="N1188" i="6"/>
  <c r="N1189" i="6"/>
  <c r="N1190" i="6"/>
  <c r="N1191" i="6"/>
  <c r="N1192" i="6"/>
  <c r="N1193" i="6"/>
  <c r="N1194" i="6"/>
  <c r="N1195" i="6"/>
  <c r="N1196" i="6"/>
  <c r="N1197" i="6"/>
  <c r="N1198" i="6"/>
  <c r="N1199" i="6"/>
  <c r="N1200" i="6"/>
  <c r="N1201" i="6"/>
  <c r="N1202" i="6"/>
  <c r="N1203" i="6"/>
  <c r="N1204" i="6"/>
  <c r="N1205" i="6"/>
  <c r="N1206" i="6"/>
  <c r="N1207" i="6"/>
  <c r="N1208" i="6"/>
  <c r="N1209" i="6"/>
  <c r="N1210" i="6"/>
  <c r="N1211" i="6"/>
  <c r="N1212" i="6"/>
  <c r="N1213" i="6"/>
  <c r="N1214" i="6"/>
  <c r="N1215" i="6"/>
  <c r="N1216" i="6"/>
  <c r="N1217" i="6"/>
  <c r="N1218" i="6"/>
  <c r="N1219" i="6"/>
  <c r="N1220" i="6"/>
  <c r="N1221" i="6"/>
  <c r="N1222" i="6"/>
  <c r="N1223" i="6"/>
  <c r="N1224" i="6"/>
  <c r="N1225" i="6"/>
  <c r="N1226" i="6"/>
  <c r="N1227" i="6"/>
  <c r="N1228" i="6"/>
  <c r="N1229" i="6"/>
  <c r="N1230" i="6"/>
  <c r="N1231" i="6"/>
  <c r="N1232" i="6"/>
  <c r="N1233" i="6"/>
  <c r="N1234" i="6"/>
  <c r="N1235" i="6"/>
  <c r="N1236" i="6"/>
  <c r="N1237" i="6"/>
  <c r="N1238" i="6"/>
  <c r="N1239" i="6"/>
  <c r="N1240" i="6"/>
  <c r="N1241" i="6"/>
  <c r="N1242" i="6"/>
  <c r="N1243" i="6"/>
  <c r="N1244" i="6"/>
  <c r="N1245" i="6"/>
  <c r="N1246" i="6"/>
  <c r="N1247" i="6"/>
  <c r="N1248" i="6"/>
  <c r="N1249" i="6"/>
  <c r="N1250" i="6"/>
  <c r="N1251" i="6"/>
  <c r="N1252" i="6"/>
  <c r="N1253" i="6"/>
  <c r="N1254" i="6"/>
  <c r="N1255" i="6"/>
  <c r="N1256" i="6"/>
  <c r="N1257" i="6"/>
  <c r="N1258" i="6"/>
  <c r="N1259" i="6"/>
  <c r="N1260" i="6"/>
  <c r="N1261" i="6"/>
  <c r="N1262" i="6"/>
  <c r="N1263" i="6"/>
  <c r="N1264" i="6"/>
  <c r="N1265" i="6"/>
  <c r="N1266" i="6"/>
  <c r="N1267" i="6"/>
  <c r="N1268" i="6"/>
  <c r="N1269" i="6"/>
  <c r="N1270" i="6"/>
  <c r="N1271" i="6"/>
  <c r="N1272" i="6"/>
  <c r="N1273" i="6"/>
  <c r="N1274" i="6"/>
  <c r="N1275" i="6"/>
  <c r="N1276" i="6"/>
  <c r="N1277" i="6"/>
  <c r="N1278" i="6"/>
  <c r="N1279" i="6"/>
  <c r="N1280" i="6"/>
  <c r="N1281" i="6"/>
  <c r="N1282" i="6"/>
  <c r="N1283" i="6"/>
  <c r="N1284" i="6"/>
  <c r="N1285" i="6"/>
  <c r="N1286" i="6"/>
  <c r="N1287" i="6"/>
  <c r="N1288" i="6"/>
  <c r="N1289" i="6"/>
  <c r="N1290" i="6"/>
  <c r="N1291" i="6"/>
  <c r="N1292" i="6"/>
  <c r="N1293" i="6"/>
  <c r="N1294" i="6"/>
  <c r="N1295" i="6"/>
  <c r="N1296" i="6"/>
  <c r="N1297" i="6"/>
  <c r="N1298" i="6"/>
  <c r="N1299" i="6"/>
  <c r="N1300" i="6"/>
  <c r="N1301" i="6"/>
  <c r="N1302" i="6"/>
  <c r="N1303" i="6"/>
  <c r="N1304" i="6"/>
  <c r="N1305" i="6"/>
  <c r="N1306" i="6"/>
  <c r="N1307" i="6"/>
  <c r="N1308" i="6"/>
  <c r="N1309" i="6"/>
  <c r="N1310" i="6"/>
  <c r="N1311" i="6"/>
  <c r="N1312" i="6"/>
  <c r="N1313" i="6"/>
  <c r="N1314" i="6"/>
  <c r="N1315" i="6"/>
  <c r="N1316" i="6"/>
  <c r="N1317" i="6"/>
  <c r="N1318" i="6"/>
  <c r="N1319" i="6"/>
  <c r="N1320" i="6"/>
  <c r="N1321" i="6"/>
  <c r="N1322" i="6"/>
  <c r="N1323" i="6"/>
  <c r="N1324" i="6"/>
  <c r="N1325" i="6"/>
  <c r="N1326" i="6"/>
  <c r="N1327" i="6"/>
  <c r="N1328" i="6"/>
  <c r="N1329" i="6"/>
  <c r="N1330" i="6"/>
  <c r="N1331" i="6"/>
  <c r="N1332" i="6"/>
  <c r="N1333" i="6"/>
  <c r="N1334" i="6"/>
  <c r="N1335" i="6"/>
  <c r="N1336" i="6"/>
  <c r="N1337" i="6"/>
  <c r="N1338" i="6"/>
  <c r="N1339" i="6"/>
  <c r="N1340" i="6"/>
  <c r="N1341" i="6"/>
  <c r="N1342" i="6"/>
  <c r="N1343" i="6"/>
  <c r="N1344" i="6"/>
  <c r="N1345" i="6"/>
  <c r="N1346" i="6"/>
  <c r="N1347" i="6"/>
  <c r="N1348" i="6"/>
  <c r="N1349" i="6"/>
  <c r="N1350" i="6"/>
  <c r="N1351" i="6"/>
  <c r="N1352" i="6"/>
  <c r="N1353" i="6"/>
  <c r="N1354" i="6"/>
  <c r="N1355" i="6"/>
  <c r="N1356" i="6"/>
  <c r="N1357" i="6"/>
  <c r="N1358" i="6"/>
  <c r="N1359" i="6"/>
  <c r="N1360" i="6"/>
  <c r="N1361" i="6"/>
  <c r="N1362" i="6"/>
  <c r="N1363" i="6"/>
  <c r="N1364" i="6"/>
  <c r="N1365" i="6"/>
  <c r="N1366" i="6"/>
  <c r="N1367" i="6"/>
  <c r="N1368" i="6"/>
  <c r="N1369" i="6"/>
  <c r="N1370" i="6"/>
  <c r="N1371" i="6"/>
  <c r="N1372" i="6"/>
  <c r="N1373" i="6"/>
  <c r="N1374" i="6"/>
  <c r="N1375" i="6"/>
  <c r="N1376" i="6"/>
  <c r="N1377" i="6"/>
  <c r="N1378" i="6"/>
  <c r="N1379" i="6"/>
  <c r="N1380" i="6"/>
  <c r="N1381" i="6"/>
  <c r="N1382" i="6"/>
  <c r="N1383" i="6"/>
  <c r="N1384" i="6"/>
  <c r="N1385" i="6"/>
  <c r="N1386" i="6"/>
  <c r="N1387" i="6"/>
  <c r="N1388" i="6"/>
  <c r="N1389" i="6"/>
  <c r="N1390" i="6"/>
  <c r="N1391" i="6"/>
  <c r="N1392" i="6"/>
  <c r="N1393" i="6"/>
  <c r="N1394" i="6"/>
  <c r="N1395" i="6"/>
  <c r="N1396" i="6"/>
  <c r="N1397" i="6"/>
  <c r="N1398" i="6"/>
  <c r="N1399" i="6"/>
  <c r="N1400" i="6"/>
  <c r="N1401" i="6"/>
  <c r="N1402" i="6"/>
  <c r="N1403" i="6"/>
  <c r="N1404" i="6"/>
  <c r="N1405" i="6"/>
  <c r="N1406" i="6"/>
  <c r="N1407" i="6"/>
  <c r="N1408" i="6"/>
  <c r="N1409" i="6"/>
  <c r="N1410" i="6"/>
  <c r="N1411" i="6"/>
  <c r="N1412" i="6"/>
  <c r="N1413" i="6"/>
  <c r="N1414" i="6"/>
  <c r="N1415" i="6"/>
  <c r="N1416" i="6"/>
  <c r="N1417" i="6"/>
  <c r="N1418" i="6"/>
  <c r="N1419" i="6"/>
  <c r="N1420" i="6"/>
  <c r="N1421" i="6"/>
  <c r="N1422" i="6"/>
  <c r="N1423" i="6"/>
  <c r="N1424" i="6"/>
  <c r="N1425" i="6"/>
  <c r="N1426" i="6"/>
  <c r="N1427" i="6"/>
  <c r="N1428" i="6"/>
  <c r="N1429" i="6"/>
  <c r="N1430" i="6"/>
  <c r="N1431" i="6"/>
  <c r="N1432" i="6"/>
  <c r="N1433" i="6"/>
  <c r="N1434" i="6"/>
  <c r="N1435" i="6"/>
  <c r="N1436" i="6"/>
  <c r="N1437" i="6"/>
  <c r="N1438" i="6"/>
  <c r="N1439" i="6"/>
  <c r="N1440" i="6"/>
  <c r="N1441" i="6"/>
  <c r="N1442" i="6"/>
  <c r="N1443" i="6"/>
  <c r="N1444" i="6"/>
  <c r="N1445" i="6"/>
  <c r="N1446" i="6"/>
  <c r="N1447" i="6"/>
  <c r="N1448" i="6"/>
  <c r="N1449" i="6"/>
  <c r="N1450" i="6"/>
  <c r="N1451" i="6"/>
  <c r="N1452" i="6"/>
  <c r="N1453" i="6"/>
  <c r="N1454" i="6"/>
  <c r="N1455" i="6"/>
  <c r="N1456" i="6"/>
  <c r="N1457" i="6"/>
  <c r="N1458" i="6"/>
  <c r="N1459" i="6"/>
  <c r="N1460" i="6"/>
  <c r="N1461" i="6"/>
  <c r="N1462" i="6"/>
  <c r="N1463" i="6"/>
  <c r="N1464" i="6"/>
  <c r="N1465" i="6"/>
  <c r="N1466" i="6"/>
  <c r="N1467" i="6"/>
  <c r="N1468" i="6"/>
  <c r="N1469" i="6"/>
  <c r="N1470" i="6"/>
  <c r="N1471" i="6"/>
  <c r="N1472" i="6"/>
  <c r="N1473" i="6"/>
  <c r="N1474" i="6"/>
  <c r="N1475" i="6"/>
  <c r="N1476" i="6"/>
  <c r="N1477" i="6"/>
  <c r="N1478" i="6"/>
  <c r="N1479" i="6"/>
  <c r="N1480" i="6"/>
  <c r="N1481" i="6"/>
  <c r="N1482" i="6"/>
  <c r="N1483" i="6"/>
  <c r="N1484" i="6"/>
  <c r="N1485" i="6"/>
  <c r="N1486" i="6"/>
  <c r="N1487" i="6"/>
  <c r="N1488" i="6"/>
  <c r="N1489" i="6"/>
  <c r="N1490" i="6"/>
  <c r="N1491" i="6"/>
  <c r="N1492" i="6"/>
  <c r="N1493" i="6"/>
  <c r="N1494" i="6"/>
  <c r="N1495" i="6"/>
  <c r="N1496" i="6"/>
  <c r="N1497" i="6"/>
  <c r="N1498" i="6"/>
  <c r="N1499" i="6"/>
  <c r="N1500" i="6"/>
  <c r="N1501" i="6"/>
  <c r="N1502" i="6"/>
  <c r="N1503" i="6"/>
  <c r="N1504" i="6"/>
  <c r="N1505" i="6"/>
  <c r="N1506" i="6"/>
  <c r="N1507" i="6"/>
  <c r="N1508" i="6"/>
  <c r="N1509" i="6"/>
  <c r="N1510" i="6"/>
  <c r="N1511" i="6"/>
  <c r="N1512" i="6"/>
  <c r="N1513" i="6"/>
  <c r="N1514" i="6"/>
  <c r="N1515" i="6"/>
  <c r="N1516" i="6"/>
  <c r="N1517" i="6"/>
  <c r="N1518" i="6"/>
  <c r="N1519" i="6"/>
  <c r="N1520" i="6"/>
  <c r="N1521" i="6"/>
  <c r="N1522" i="6"/>
  <c r="N1523" i="6"/>
  <c r="N1524" i="6"/>
  <c r="N1525" i="6"/>
  <c r="N1526" i="6"/>
  <c r="N1527" i="6"/>
  <c r="N1528" i="6"/>
  <c r="N1529" i="6"/>
  <c r="N1530" i="6"/>
  <c r="N1531" i="6"/>
  <c r="N1532" i="6"/>
  <c r="N1533" i="6"/>
  <c r="N1534" i="6"/>
  <c r="N1535" i="6"/>
  <c r="N1536" i="6"/>
  <c r="N1537" i="6"/>
  <c r="N1538" i="6"/>
  <c r="N1539" i="6"/>
  <c r="N1540" i="6"/>
  <c r="N1541" i="6"/>
  <c r="N1542" i="6"/>
  <c r="N1543" i="6"/>
  <c r="N1544" i="6"/>
  <c r="N1545" i="6"/>
  <c r="N1546" i="6"/>
  <c r="N1547" i="6"/>
  <c r="N1548" i="6"/>
  <c r="N1549" i="6"/>
  <c r="N1550" i="6"/>
  <c r="N1551" i="6"/>
  <c r="N1552" i="6"/>
  <c r="N1553" i="6"/>
  <c r="N1554" i="6"/>
  <c r="N1555" i="6"/>
  <c r="N1556" i="6"/>
  <c r="N1557" i="6"/>
  <c r="N1558" i="6"/>
  <c r="N1559" i="6"/>
  <c r="N1560" i="6"/>
  <c r="N1561" i="6"/>
  <c r="N1562" i="6"/>
  <c r="N1563" i="6"/>
  <c r="N1564" i="6"/>
  <c r="N1565" i="6"/>
  <c r="N1566" i="6"/>
  <c r="N1567" i="6"/>
  <c r="N1568" i="6"/>
  <c r="N1569" i="6"/>
  <c r="N1570" i="6"/>
  <c r="N1571" i="6"/>
  <c r="N1572" i="6"/>
  <c r="N1573" i="6"/>
  <c r="N1574" i="6"/>
  <c r="N1575" i="6"/>
  <c r="N1576" i="6"/>
  <c r="N1577" i="6"/>
  <c r="N1578" i="6"/>
  <c r="N1579" i="6"/>
  <c r="N1580" i="6"/>
  <c r="N1581" i="6"/>
  <c r="N1582" i="6"/>
  <c r="N1583" i="6"/>
  <c r="N1584" i="6"/>
  <c r="N1585" i="6"/>
  <c r="N1586" i="6"/>
  <c r="N1587" i="6"/>
  <c r="N1588" i="6"/>
  <c r="N1589" i="6"/>
  <c r="N1590" i="6"/>
  <c r="N1591" i="6"/>
  <c r="N1592" i="6"/>
  <c r="N1593" i="6"/>
  <c r="N1594" i="6"/>
  <c r="N1595" i="6"/>
  <c r="N1596" i="6"/>
  <c r="N1597" i="6"/>
  <c r="N1598" i="6"/>
  <c r="N1599" i="6"/>
  <c r="N1600" i="6"/>
  <c r="N1601" i="6"/>
  <c r="N1602" i="6"/>
  <c r="N1603" i="6"/>
  <c r="N1604" i="6"/>
  <c r="N1605" i="6"/>
  <c r="N1606" i="6"/>
  <c r="N1607" i="6"/>
  <c r="N1608" i="6"/>
  <c r="N1609" i="6"/>
  <c r="N1610" i="6"/>
  <c r="N1611" i="6"/>
  <c r="N1612" i="6"/>
  <c r="N1613" i="6"/>
  <c r="N1614" i="6"/>
  <c r="N1615" i="6"/>
  <c r="N1616" i="6"/>
  <c r="N1617" i="6"/>
  <c r="N1618" i="6"/>
  <c r="N1619" i="6"/>
  <c r="N1620" i="6"/>
  <c r="N1621" i="6"/>
  <c r="N1622" i="6"/>
  <c r="N1623" i="6"/>
  <c r="N1624" i="6"/>
  <c r="N1625" i="6"/>
  <c r="N1626" i="6"/>
  <c r="N1627" i="6"/>
  <c r="N1628" i="6"/>
  <c r="N1629" i="6"/>
  <c r="N1630" i="6"/>
  <c r="N1631" i="6"/>
  <c r="N1632" i="6"/>
  <c r="N1633" i="6"/>
  <c r="N1634" i="6"/>
  <c r="N1635" i="6"/>
  <c r="N1636" i="6"/>
  <c r="N1637" i="6"/>
  <c r="N1638" i="6"/>
  <c r="N1639" i="6"/>
  <c r="N1640" i="6"/>
  <c r="N1641" i="6"/>
  <c r="N1642" i="6"/>
  <c r="N1643" i="6"/>
  <c r="N1644" i="6"/>
  <c r="N1645" i="6"/>
  <c r="N1646" i="6"/>
  <c r="N1647" i="6"/>
  <c r="N1648" i="6"/>
  <c r="N1649" i="6"/>
  <c r="N1650" i="6"/>
  <c r="N1651" i="6"/>
  <c r="N1652" i="6"/>
  <c r="N1653" i="6"/>
  <c r="N1654" i="6"/>
  <c r="N1655" i="6"/>
  <c r="N1656" i="6"/>
  <c r="N1657" i="6"/>
  <c r="N1658" i="6"/>
  <c r="N1659" i="6"/>
  <c r="N1660" i="6"/>
  <c r="N1661" i="6"/>
  <c r="N1662" i="6"/>
  <c r="N1663" i="6"/>
  <c r="N1664" i="6"/>
  <c r="N1665" i="6"/>
  <c r="N1666" i="6"/>
  <c r="N1667" i="6"/>
  <c r="N1668" i="6"/>
  <c r="N1669" i="6"/>
  <c r="N1670" i="6"/>
  <c r="N1671" i="6"/>
  <c r="N1672" i="6"/>
  <c r="N1673" i="6"/>
  <c r="N1674" i="6"/>
  <c r="N1675" i="6"/>
  <c r="N1676" i="6"/>
  <c r="N1677" i="6"/>
  <c r="N1678" i="6"/>
  <c r="N1679" i="6"/>
  <c r="N1680" i="6"/>
  <c r="N1681" i="6"/>
  <c r="N1682" i="6"/>
  <c r="N1683" i="6"/>
  <c r="N1684" i="6"/>
  <c r="N1685" i="6"/>
  <c r="N1686" i="6"/>
  <c r="N1687" i="6"/>
  <c r="N1688" i="6"/>
  <c r="N1689" i="6"/>
  <c r="N1690" i="6"/>
  <c r="N1691" i="6"/>
  <c r="N1692" i="6"/>
  <c r="N1693" i="6"/>
  <c r="N1694" i="6"/>
  <c r="N1695" i="6"/>
  <c r="N1696" i="6"/>
  <c r="N1697" i="6"/>
  <c r="N1698" i="6"/>
  <c r="N1699" i="6"/>
  <c r="N1700" i="6"/>
  <c r="N1701" i="6"/>
  <c r="N1702" i="6"/>
  <c r="N1703" i="6"/>
  <c r="N1704" i="6"/>
  <c r="N1705" i="6"/>
  <c r="N1706" i="6"/>
  <c r="N1707" i="6"/>
  <c r="N1708" i="6"/>
  <c r="N1709" i="6"/>
  <c r="N1710" i="6"/>
  <c r="N1711" i="6"/>
  <c r="N1712" i="6"/>
  <c r="N1713" i="6"/>
  <c r="N1714" i="6"/>
  <c r="N1715" i="6"/>
  <c r="N1716" i="6"/>
  <c r="N1717" i="6"/>
  <c r="N1718" i="6"/>
  <c r="N1719" i="6"/>
  <c r="N1720" i="6"/>
  <c r="N1721" i="6"/>
  <c r="N1722" i="6"/>
  <c r="N1723" i="6"/>
  <c r="N1724" i="6"/>
  <c r="N1725" i="6"/>
  <c r="N1726" i="6"/>
  <c r="N1727" i="6"/>
  <c r="N1728" i="6"/>
  <c r="N1729" i="6"/>
  <c r="N1730" i="6"/>
  <c r="N1731" i="6"/>
  <c r="N1732" i="6"/>
  <c r="N1733" i="6"/>
  <c r="N1734" i="6"/>
  <c r="N1735" i="6"/>
  <c r="N1736" i="6"/>
  <c r="N1737" i="6"/>
  <c r="N1738" i="6"/>
  <c r="N1739" i="6"/>
  <c r="N1740" i="6"/>
  <c r="N1741" i="6"/>
  <c r="N1742" i="6"/>
  <c r="N1743" i="6"/>
  <c r="N1744" i="6"/>
  <c r="N1745" i="6"/>
  <c r="N1746" i="6"/>
  <c r="N1747" i="6"/>
  <c r="N1748" i="6"/>
  <c r="N1749" i="6"/>
  <c r="N1750" i="6"/>
  <c r="N1751" i="6"/>
  <c r="N1752" i="6"/>
  <c r="N1753" i="6"/>
  <c r="N1754" i="6"/>
  <c r="N1755" i="6"/>
  <c r="N1756" i="6"/>
  <c r="N1757" i="6"/>
  <c r="N1758" i="6"/>
  <c r="N1759" i="6"/>
  <c r="N1760" i="6"/>
  <c r="N1761" i="6"/>
  <c r="N1762" i="6"/>
  <c r="N1763" i="6"/>
  <c r="N1764" i="6"/>
  <c r="N1765" i="6"/>
  <c r="N1766" i="6"/>
  <c r="N1767" i="6"/>
  <c r="N1768" i="6"/>
  <c r="N1769" i="6"/>
  <c r="N1770" i="6"/>
  <c r="N1771" i="6"/>
  <c r="N1772" i="6"/>
  <c r="N1773" i="6"/>
  <c r="N1774" i="6"/>
  <c r="N1775" i="6"/>
  <c r="N1776" i="6"/>
  <c r="N1777" i="6"/>
  <c r="N1778" i="6"/>
  <c r="N1779" i="6"/>
  <c r="N1780" i="6"/>
  <c r="N1781" i="6"/>
  <c r="N1782" i="6"/>
  <c r="N1783" i="6"/>
  <c r="N1784" i="6"/>
  <c r="N1785" i="6"/>
  <c r="N1786" i="6"/>
  <c r="N1787" i="6"/>
  <c r="N1788" i="6"/>
  <c r="N1789" i="6"/>
  <c r="N1790" i="6"/>
  <c r="N1791" i="6"/>
  <c r="N1792" i="6"/>
  <c r="N1793" i="6"/>
  <c r="N1794" i="6"/>
  <c r="N1795" i="6"/>
  <c r="N1796" i="6"/>
  <c r="N1797" i="6"/>
  <c r="N1798" i="6"/>
  <c r="N1799" i="6"/>
  <c r="N1800" i="6"/>
  <c r="N1801" i="6"/>
  <c r="N1802" i="6"/>
  <c r="N1803" i="6"/>
  <c r="N1804" i="6"/>
  <c r="N1805" i="6"/>
  <c r="N1806" i="6"/>
  <c r="N1807" i="6"/>
  <c r="N1808" i="6"/>
  <c r="N1809" i="6"/>
  <c r="N1810" i="6"/>
  <c r="N1811" i="6"/>
  <c r="N1812" i="6"/>
  <c r="N1813" i="6"/>
  <c r="N1814" i="6"/>
  <c r="N1815" i="6"/>
  <c r="N1816" i="6"/>
  <c r="N1817" i="6"/>
  <c r="N1818" i="6"/>
  <c r="N1819" i="6"/>
  <c r="N1820" i="6"/>
  <c r="N1821" i="6"/>
  <c r="N1822" i="6"/>
  <c r="N1823" i="6"/>
  <c r="N1824" i="6"/>
  <c r="N1825" i="6"/>
  <c r="N1826" i="6"/>
  <c r="N1827" i="6"/>
  <c r="N1828" i="6"/>
  <c r="N1829" i="6"/>
  <c r="N1830" i="6"/>
  <c r="N1831" i="6"/>
  <c r="N1832" i="6"/>
  <c r="N1833" i="6"/>
  <c r="N1834" i="6"/>
  <c r="N1835" i="6"/>
  <c r="N1836" i="6"/>
  <c r="N1837" i="6"/>
  <c r="N1838" i="6"/>
  <c r="N1839" i="6"/>
  <c r="N1840" i="6"/>
  <c r="N1841" i="6"/>
  <c r="N1842" i="6"/>
  <c r="N1843" i="6"/>
  <c r="N1844" i="6"/>
  <c r="N1845" i="6"/>
  <c r="N1846" i="6"/>
  <c r="N1847" i="6"/>
  <c r="N1848" i="6"/>
  <c r="N1849" i="6"/>
  <c r="N1850" i="6"/>
  <c r="N1851" i="6"/>
  <c r="N1852" i="6"/>
  <c r="N1853" i="6"/>
  <c r="N1854" i="6"/>
  <c r="N1855" i="6"/>
  <c r="N1856" i="6"/>
  <c r="N1857" i="6"/>
  <c r="N1858" i="6"/>
  <c r="N1859" i="6"/>
  <c r="N1860" i="6"/>
  <c r="N1861" i="6"/>
  <c r="N1862" i="6"/>
  <c r="N1863" i="6"/>
  <c r="N1864" i="6"/>
  <c r="N1865" i="6"/>
  <c r="N1866" i="6"/>
  <c r="N1867" i="6"/>
  <c r="N1868" i="6"/>
  <c r="N1869" i="6"/>
  <c r="N1870" i="6"/>
  <c r="N1871" i="6"/>
  <c r="N1872" i="6"/>
  <c r="N1873" i="6"/>
  <c r="N1874" i="6"/>
  <c r="N1875" i="6"/>
  <c r="N1876" i="6"/>
  <c r="N1877" i="6"/>
  <c r="N1878" i="6"/>
  <c r="N1879" i="6"/>
  <c r="N1880" i="6"/>
  <c r="N1881" i="6"/>
  <c r="N1882" i="6"/>
  <c r="N1883" i="6"/>
  <c r="N1884" i="6"/>
  <c r="N1885" i="6"/>
  <c r="N1886" i="6"/>
  <c r="N1887" i="6"/>
  <c r="N1888" i="6"/>
  <c r="N1889" i="6"/>
  <c r="N1890" i="6"/>
  <c r="N1891" i="6"/>
  <c r="N1892" i="6"/>
  <c r="N1893" i="6"/>
  <c r="N1894" i="6"/>
  <c r="N1895" i="6"/>
  <c r="N1896" i="6"/>
  <c r="N1897" i="6"/>
  <c r="N1898" i="6"/>
  <c r="N1899" i="6"/>
  <c r="N1900" i="6"/>
  <c r="N1901" i="6"/>
  <c r="N1902" i="6"/>
  <c r="N1903" i="6"/>
  <c r="N1904" i="6"/>
  <c r="N1905" i="6"/>
  <c r="N1906" i="6"/>
  <c r="N1907" i="6"/>
  <c r="N1908" i="6"/>
  <c r="N1909" i="6"/>
  <c r="N1910" i="6"/>
  <c r="N1911" i="6"/>
  <c r="N1912" i="6"/>
  <c r="N1913" i="6"/>
  <c r="N1914" i="6"/>
  <c r="N1915" i="6"/>
  <c r="N1916" i="6"/>
  <c r="N1917" i="6"/>
  <c r="N1918" i="6"/>
  <c r="N1919" i="6"/>
  <c r="N1920" i="6"/>
  <c r="N1921" i="6"/>
  <c r="N1922" i="6"/>
  <c r="N1923" i="6"/>
  <c r="N1924" i="6"/>
  <c r="N1925" i="6"/>
  <c r="N1926" i="6"/>
  <c r="N1927" i="6"/>
  <c r="N1928" i="6"/>
  <c r="N1929" i="6"/>
  <c r="N1930" i="6"/>
  <c r="N1931" i="6"/>
  <c r="N1932" i="6"/>
  <c r="N1933" i="6"/>
  <c r="N1934" i="6"/>
  <c r="N1935" i="6"/>
  <c r="N1936" i="6"/>
  <c r="N1937" i="6"/>
  <c r="N1938" i="6"/>
  <c r="N1939" i="6"/>
  <c r="N1940" i="6"/>
  <c r="N1941" i="6"/>
  <c r="N1942" i="6"/>
  <c r="N1943" i="6"/>
  <c r="N1944" i="6"/>
  <c r="N1945" i="6"/>
  <c r="N1946" i="6"/>
  <c r="N1947" i="6"/>
  <c r="N1948" i="6"/>
  <c r="N1949" i="6"/>
  <c r="N1950" i="6"/>
  <c r="N1951" i="6"/>
  <c r="N1952" i="6"/>
  <c r="N1953" i="6"/>
  <c r="N1954" i="6"/>
  <c r="N1955" i="6"/>
  <c r="N1956" i="6"/>
  <c r="N1957" i="6"/>
  <c r="N1958" i="6"/>
  <c r="N1959" i="6"/>
  <c r="N1960" i="6"/>
  <c r="N1961" i="6"/>
  <c r="N1962" i="6"/>
  <c r="N1963" i="6"/>
  <c r="N1964" i="6"/>
  <c r="N1965" i="6"/>
  <c r="N1966" i="6"/>
  <c r="N1967" i="6"/>
  <c r="N1968" i="6"/>
  <c r="N1969" i="6"/>
  <c r="N1970" i="6"/>
  <c r="N1971" i="6"/>
  <c r="N1972" i="6"/>
  <c r="N1973" i="6"/>
  <c r="N1974" i="6"/>
  <c r="N1975" i="6"/>
  <c r="N1976" i="6"/>
  <c r="N1977" i="6"/>
  <c r="N1978" i="6"/>
  <c r="N1979" i="6"/>
  <c r="N1980" i="6"/>
  <c r="N1981" i="6"/>
  <c r="N1982" i="6"/>
  <c r="N1983" i="6"/>
  <c r="N1984" i="6"/>
  <c r="N1985" i="6"/>
  <c r="N1986" i="6"/>
  <c r="N1987" i="6"/>
  <c r="N1988" i="6"/>
  <c r="N1989" i="6"/>
  <c r="N1990" i="6"/>
  <c r="N1991" i="6"/>
  <c r="N1992" i="6"/>
  <c r="N1993" i="6"/>
  <c r="N1994" i="6"/>
  <c r="N1995" i="6"/>
  <c r="N1996" i="6"/>
  <c r="N1997" i="6"/>
  <c r="N1998" i="6"/>
  <c r="N1999" i="6"/>
  <c r="N2000" i="6"/>
  <c r="N2001" i="6"/>
  <c r="N2002" i="6"/>
  <c r="N2003" i="6"/>
  <c r="N2004" i="6"/>
  <c r="N2005" i="6"/>
  <c r="N2006" i="6"/>
  <c r="N2007" i="6"/>
  <c r="N2008" i="6"/>
  <c r="N2009" i="6"/>
  <c r="N2010" i="6"/>
  <c r="N2011" i="6"/>
  <c r="N2012" i="6"/>
  <c r="N2013" i="6"/>
  <c r="N2014" i="6"/>
  <c r="N2015" i="6"/>
  <c r="N2016" i="6"/>
  <c r="N2017" i="6"/>
  <c r="N2018" i="6"/>
  <c r="N2019" i="6"/>
  <c r="N2020" i="6"/>
  <c r="N2021" i="6"/>
  <c r="N2022" i="6"/>
  <c r="N2023" i="6"/>
  <c r="N2024" i="6"/>
  <c r="N2025" i="6"/>
  <c r="N2026" i="6"/>
  <c r="N2027" i="6"/>
  <c r="N2028" i="6"/>
  <c r="N2029" i="6"/>
  <c r="N2030" i="6"/>
  <c r="N2031" i="6"/>
  <c r="N2032" i="6"/>
  <c r="N2033" i="6"/>
  <c r="N2034" i="6"/>
  <c r="N2035" i="6"/>
  <c r="N2036" i="6"/>
  <c r="N2037" i="6"/>
  <c r="N2038" i="6"/>
  <c r="N2039" i="6"/>
  <c r="N2040" i="6"/>
  <c r="N2041" i="6"/>
  <c r="N2042" i="6"/>
  <c r="N2043" i="6"/>
  <c r="N2044" i="6"/>
  <c r="N2045" i="6"/>
  <c r="N2046" i="6"/>
  <c r="N2047" i="6"/>
  <c r="N2048" i="6"/>
  <c r="N2049" i="6"/>
  <c r="N2050" i="6"/>
  <c r="N2051" i="6"/>
  <c r="N2052" i="6"/>
  <c r="N2053" i="6"/>
  <c r="N2054" i="6"/>
  <c r="N2055" i="6"/>
  <c r="N2056" i="6"/>
  <c r="N2057" i="6"/>
  <c r="N2058" i="6"/>
  <c r="N2059" i="6"/>
  <c r="N2060" i="6"/>
  <c r="N2061" i="6"/>
  <c r="N2062" i="6"/>
  <c r="N2063" i="6"/>
  <c r="N2064" i="6"/>
  <c r="N2065" i="6"/>
  <c r="N2066" i="6"/>
  <c r="N2067" i="6"/>
  <c r="N2068" i="6"/>
  <c r="N2069" i="6"/>
  <c r="N2070" i="6"/>
  <c r="N2071" i="6"/>
  <c r="N2072" i="6"/>
  <c r="N2073" i="6"/>
  <c r="N2074" i="6"/>
  <c r="N2075" i="6"/>
  <c r="N2076" i="6"/>
  <c r="N2077" i="6"/>
  <c r="N2078" i="6"/>
  <c r="N2079" i="6"/>
  <c r="N2080" i="6"/>
  <c r="N2081" i="6"/>
  <c r="N2082" i="6"/>
  <c r="N2083" i="6"/>
  <c r="N2084" i="6"/>
  <c r="N2085" i="6"/>
  <c r="N2086" i="6"/>
  <c r="N2087" i="6"/>
  <c r="N2088" i="6"/>
  <c r="N2089" i="6"/>
  <c r="N2090" i="6"/>
  <c r="N2091" i="6"/>
  <c r="N2092" i="6"/>
  <c r="N2093" i="6"/>
  <c r="N2094" i="6"/>
  <c r="N2095" i="6"/>
  <c r="N2096" i="6"/>
  <c r="N2097" i="6"/>
  <c r="N2098" i="6"/>
  <c r="N2099" i="6"/>
  <c r="N2100" i="6"/>
  <c r="N2101" i="6"/>
  <c r="N2102" i="6"/>
  <c r="N2103" i="6"/>
  <c r="N2104" i="6"/>
  <c r="N2105" i="6"/>
  <c r="N2106" i="6"/>
  <c r="N2107" i="6"/>
  <c r="N2108" i="6"/>
  <c r="N2109" i="6"/>
  <c r="N2110" i="6"/>
  <c r="N2111" i="6"/>
  <c r="N2112" i="6"/>
  <c r="N2113" i="6"/>
  <c r="N2114" i="6"/>
  <c r="N2115" i="6"/>
  <c r="N2116" i="6"/>
  <c r="N2117" i="6"/>
  <c r="N2118" i="6"/>
  <c r="N2119" i="6"/>
  <c r="N2120" i="6"/>
  <c r="N2121" i="6"/>
  <c r="N2122" i="6"/>
  <c r="N2123" i="6"/>
  <c r="N2124" i="6"/>
  <c r="N2125" i="6"/>
  <c r="N2126" i="6"/>
  <c r="N2127" i="6"/>
  <c r="N2128" i="6"/>
  <c r="N2129" i="6"/>
  <c r="N2130" i="6"/>
  <c r="N2131" i="6"/>
  <c r="N2132" i="6"/>
  <c r="N2133" i="6"/>
  <c r="N2134" i="6"/>
  <c r="N2135" i="6"/>
  <c r="N2136" i="6"/>
  <c r="N2137" i="6"/>
  <c r="N2138" i="6"/>
  <c r="N2139" i="6"/>
  <c r="N2140" i="6"/>
  <c r="N2141" i="6"/>
  <c r="N2142" i="6"/>
  <c r="N2143" i="6"/>
  <c r="N2144" i="6"/>
  <c r="N2145" i="6"/>
  <c r="N2146" i="6"/>
  <c r="N2147" i="6"/>
  <c r="N2148" i="6"/>
  <c r="N2149" i="6"/>
  <c r="N2150" i="6"/>
  <c r="N2151" i="6"/>
  <c r="N2152" i="6"/>
  <c r="N2153" i="6"/>
  <c r="N2154" i="6"/>
  <c r="N2155" i="6"/>
  <c r="N2156" i="6"/>
  <c r="N2157" i="6"/>
  <c r="N2158" i="6"/>
  <c r="N2159" i="6"/>
  <c r="N2160" i="6"/>
  <c r="N2161" i="6"/>
  <c r="N2162" i="6"/>
  <c r="N2163" i="6"/>
  <c r="N2164" i="6"/>
  <c r="N2165" i="6"/>
  <c r="N2166" i="6"/>
  <c r="N2167" i="6"/>
  <c r="N2168" i="6"/>
  <c r="N2169" i="6"/>
  <c r="N2170" i="6"/>
  <c r="N2" i="6"/>
  <c r="M2" i="6"/>
  <c r="L2" i="6"/>
  <c r="I2" i="6"/>
  <c r="J2" i="6"/>
  <c r="K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I37" i="6"/>
  <c r="I38" i="6"/>
  <c r="I39" i="6"/>
  <c r="I40" i="6"/>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I127" i="6"/>
  <c r="I128" i="6"/>
  <c r="I129" i="6"/>
  <c r="I130" i="6"/>
  <c r="I131" i="6"/>
  <c r="I132" i="6"/>
  <c r="I133" i="6"/>
  <c r="I134" i="6"/>
  <c r="I135" i="6"/>
  <c r="I136" i="6"/>
  <c r="I137" i="6"/>
  <c r="I138" i="6"/>
  <c r="I139" i="6"/>
  <c r="I140" i="6"/>
  <c r="I141" i="6"/>
  <c r="I142" i="6"/>
  <c r="I143" i="6"/>
  <c r="I144" i="6"/>
  <c r="I145" i="6"/>
  <c r="I146" i="6"/>
  <c r="I147" i="6"/>
  <c r="I148" i="6"/>
  <c r="I149" i="6"/>
  <c r="I150" i="6"/>
  <c r="I151" i="6"/>
  <c r="I152" i="6"/>
  <c r="I153" i="6"/>
  <c r="I154" i="6"/>
  <c r="I155" i="6"/>
  <c r="I156" i="6"/>
  <c r="I157" i="6"/>
  <c r="I158" i="6"/>
  <c r="I159" i="6"/>
  <c r="I160" i="6"/>
  <c r="I161" i="6"/>
  <c r="I162" i="6"/>
  <c r="I163" i="6"/>
  <c r="I164" i="6"/>
  <c r="I165" i="6"/>
  <c r="I166" i="6"/>
  <c r="I167" i="6"/>
  <c r="I168" i="6"/>
  <c r="I169" i="6"/>
  <c r="I170" i="6"/>
  <c r="I171" i="6"/>
  <c r="I172" i="6"/>
  <c r="I173" i="6"/>
  <c r="I174" i="6"/>
  <c r="I175" i="6"/>
  <c r="I176" i="6"/>
  <c r="I177" i="6"/>
  <c r="I178" i="6"/>
  <c r="I179" i="6"/>
  <c r="I180" i="6"/>
  <c r="I181" i="6"/>
  <c r="I182" i="6"/>
  <c r="I183" i="6"/>
  <c r="I184" i="6"/>
  <c r="I185" i="6"/>
  <c r="I186" i="6"/>
  <c r="I187" i="6"/>
  <c r="I188" i="6"/>
  <c r="I189" i="6"/>
  <c r="I190" i="6"/>
  <c r="I191" i="6"/>
  <c r="I192" i="6"/>
  <c r="I193" i="6"/>
  <c r="I194" i="6"/>
  <c r="I195" i="6"/>
  <c r="I196" i="6"/>
  <c r="I197" i="6"/>
  <c r="I198" i="6"/>
  <c r="I199" i="6"/>
  <c r="I200" i="6"/>
  <c r="I201" i="6"/>
  <c r="I202" i="6"/>
  <c r="I203" i="6"/>
  <c r="I204" i="6"/>
  <c r="I205" i="6"/>
  <c r="I206" i="6"/>
  <c r="I207" i="6"/>
  <c r="I208" i="6"/>
  <c r="I209" i="6"/>
  <c r="I210" i="6"/>
  <c r="I211" i="6"/>
  <c r="I212" i="6"/>
  <c r="I213" i="6"/>
  <c r="I214" i="6"/>
  <c r="I215" i="6"/>
  <c r="I216" i="6"/>
  <c r="I217" i="6"/>
  <c r="I218" i="6"/>
  <c r="I219" i="6"/>
  <c r="I220" i="6"/>
  <c r="I221" i="6"/>
  <c r="I222" i="6"/>
  <c r="I223" i="6"/>
  <c r="I224" i="6"/>
  <c r="I225" i="6"/>
  <c r="I226" i="6"/>
  <c r="I227" i="6"/>
  <c r="I228" i="6"/>
  <c r="I229" i="6"/>
  <c r="I230" i="6"/>
  <c r="I231" i="6"/>
  <c r="I232" i="6"/>
  <c r="I233" i="6"/>
  <c r="I234" i="6"/>
  <c r="I235" i="6"/>
  <c r="I236" i="6"/>
  <c r="I237" i="6"/>
  <c r="I238" i="6"/>
  <c r="I239" i="6"/>
  <c r="I240" i="6"/>
  <c r="I241" i="6"/>
  <c r="I242" i="6"/>
  <c r="I243" i="6"/>
  <c r="I244" i="6"/>
  <c r="I245" i="6"/>
  <c r="I246" i="6"/>
  <c r="I247" i="6"/>
  <c r="I248" i="6"/>
  <c r="I249" i="6"/>
  <c r="I250" i="6"/>
  <c r="I251" i="6"/>
  <c r="I252" i="6"/>
  <c r="I253" i="6"/>
  <c r="I254" i="6"/>
  <c r="I255" i="6"/>
  <c r="I256" i="6"/>
  <c r="I257" i="6"/>
  <c r="I258" i="6"/>
  <c r="I259" i="6"/>
  <c r="I260" i="6"/>
  <c r="I261" i="6"/>
  <c r="I262" i="6"/>
  <c r="I263" i="6"/>
  <c r="I264" i="6"/>
  <c r="I265" i="6"/>
  <c r="I266" i="6"/>
  <c r="I267" i="6"/>
  <c r="I268" i="6"/>
  <c r="I269" i="6"/>
  <c r="I270" i="6"/>
  <c r="I271" i="6"/>
  <c r="I272" i="6"/>
  <c r="I273" i="6"/>
  <c r="I274" i="6"/>
  <c r="I275" i="6"/>
  <c r="I276" i="6"/>
  <c r="I277" i="6"/>
  <c r="I278" i="6"/>
  <c r="I279" i="6"/>
  <c r="I280" i="6"/>
  <c r="I281" i="6"/>
  <c r="I282" i="6"/>
  <c r="I283" i="6"/>
  <c r="I284" i="6"/>
  <c r="I285" i="6"/>
  <c r="I286" i="6"/>
  <c r="I287" i="6"/>
  <c r="I288" i="6"/>
  <c r="I289" i="6"/>
  <c r="I290" i="6"/>
  <c r="I291" i="6"/>
  <c r="I292" i="6"/>
  <c r="I293" i="6"/>
  <c r="I294" i="6"/>
  <c r="I295" i="6"/>
  <c r="I296" i="6"/>
  <c r="I297" i="6"/>
  <c r="I298" i="6"/>
  <c r="I299" i="6"/>
  <c r="I300" i="6"/>
  <c r="I301" i="6"/>
  <c r="I302" i="6"/>
  <c r="I303" i="6"/>
  <c r="I304" i="6"/>
  <c r="I305" i="6"/>
  <c r="I306" i="6"/>
  <c r="I307" i="6"/>
  <c r="I308" i="6"/>
  <c r="I309" i="6"/>
  <c r="I310" i="6"/>
  <c r="I311" i="6"/>
  <c r="I312" i="6"/>
  <c r="I313" i="6"/>
  <c r="I314" i="6"/>
  <c r="I315" i="6"/>
  <c r="I316" i="6"/>
  <c r="I317" i="6"/>
  <c r="I318" i="6"/>
  <c r="I319" i="6"/>
  <c r="I320" i="6"/>
  <c r="I321" i="6"/>
  <c r="I322" i="6"/>
  <c r="I323" i="6"/>
  <c r="I324" i="6"/>
  <c r="I325" i="6"/>
  <c r="I326" i="6"/>
  <c r="I327" i="6"/>
  <c r="I328" i="6"/>
  <c r="I329" i="6"/>
  <c r="I330" i="6"/>
  <c r="I331" i="6"/>
  <c r="I332" i="6"/>
  <c r="I333" i="6"/>
  <c r="I334" i="6"/>
  <c r="I335" i="6"/>
  <c r="I336" i="6"/>
  <c r="I337" i="6"/>
  <c r="I338" i="6"/>
  <c r="I339" i="6"/>
  <c r="I340" i="6"/>
  <c r="I341" i="6"/>
  <c r="I342" i="6"/>
  <c r="I343" i="6"/>
  <c r="I344" i="6"/>
  <c r="I345" i="6"/>
  <c r="I346" i="6"/>
  <c r="I347" i="6"/>
  <c r="I348" i="6"/>
  <c r="I349" i="6"/>
  <c r="I350" i="6"/>
  <c r="I351" i="6"/>
  <c r="I352" i="6"/>
  <c r="I353" i="6"/>
  <c r="I354" i="6"/>
  <c r="I355" i="6"/>
  <c r="I356" i="6"/>
  <c r="I357" i="6"/>
  <c r="I358" i="6"/>
  <c r="I359" i="6"/>
  <c r="I360" i="6"/>
  <c r="I361" i="6"/>
  <c r="I362" i="6"/>
  <c r="I363" i="6"/>
  <c r="I364" i="6"/>
  <c r="I365" i="6"/>
  <c r="I366" i="6"/>
  <c r="I367" i="6"/>
  <c r="I368" i="6"/>
  <c r="I369" i="6"/>
  <c r="I370" i="6"/>
  <c r="I371" i="6"/>
  <c r="I372" i="6"/>
  <c r="I373" i="6"/>
  <c r="I374" i="6"/>
  <c r="I375" i="6"/>
  <c r="I376" i="6"/>
  <c r="I377" i="6"/>
  <c r="I378" i="6"/>
  <c r="I379" i="6"/>
  <c r="I380" i="6"/>
  <c r="I381" i="6"/>
  <c r="I382" i="6"/>
  <c r="I383" i="6"/>
  <c r="I384" i="6"/>
  <c r="I385" i="6"/>
  <c r="I386" i="6"/>
  <c r="I387" i="6"/>
  <c r="I388" i="6"/>
  <c r="I389" i="6"/>
  <c r="I390" i="6"/>
  <c r="I391" i="6"/>
  <c r="I392" i="6"/>
  <c r="I393" i="6"/>
  <c r="I394" i="6"/>
  <c r="I395" i="6"/>
  <c r="I396" i="6"/>
  <c r="I397" i="6"/>
  <c r="I398" i="6"/>
  <c r="I399" i="6"/>
  <c r="I400" i="6"/>
  <c r="I401" i="6"/>
  <c r="I402" i="6"/>
  <c r="I403" i="6"/>
  <c r="I404" i="6"/>
  <c r="I405" i="6"/>
  <c r="I406" i="6"/>
  <c r="I407" i="6"/>
  <c r="I408" i="6"/>
  <c r="I409" i="6"/>
  <c r="I410" i="6"/>
  <c r="I411" i="6"/>
  <c r="I412" i="6"/>
  <c r="I413" i="6"/>
  <c r="I414" i="6"/>
  <c r="I415" i="6"/>
  <c r="I416" i="6"/>
  <c r="I417" i="6"/>
  <c r="I418" i="6"/>
  <c r="I419" i="6"/>
  <c r="I420" i="6"/>
  <c r="I421" i="6"/>
  <c r="I422" i="6"/>
  <c r="I423" i="6"/>
  <c r="I424" i="6"/>
  <c r="I425" i="6"/>
  <c r="I426" i="6"/>
  <c r="I427" i="6"/>
  <c r="I428" i="6"/>
  <c r="I429" i="6"/>
  <c r="I430" i="6"/>
  <c r="I431" i="6"/>
  <c r="I432" i="6"/>
  <c r="I433" i="6"/>
  <c r="I434" i="6"/>
  <c r="I435" i="6"/>
  <c r="I436" i="6"/>
  <c r="I437" i="6"/>
  <c r="I438" i="6"/>
  <c r="I439" i="6"/>
  <c r="I440" i="6"/>
  <c r="I441" i="6"/>
  <c r="I442" i="6"/>
  <c r="I443" i="6"/>
  <c r="I444" i="6"/>
  <c r="I445" i="6"/>
  <c r="I446" i="6"/>
  <c r="I447" i="6"/>
  <c r="I448" i="6"/>
  <c r="I449" i="6"/>
  <c r="I450" i="6"/>
  <c r="I451" i="6"/>
  <c r="I452" i="6"/>
  <c r="I453" i="6"/>
  <c r="I454" i="6"/>
  <c r="I455" i="6"/>
  <c r="I456" i="6"/>
  <c r="I457" i="6"/>
  <c r="I458" i="6"/>
  <c r="I459" i="6"/>
  <c r="I460" i="6"/>
  <c r="I461" i="6"/>
  <c r="I462" i="6"/>
  <c r="I463" i="6"/>
  <c r="I464" i="6"/>
  <c r="I465" i="6"/>
  <c r="I466" i="6"/>
  <c r="I467" i="6"/>
  <c r="I468" i="6"/>
  <c r="I469" i="6"/>
  <c r="I470" i="6"/>
  <c r="I471" i="6"/>
  <c r="I472" i="6"/>
  <c r="I473" i="6"/>
  <c r="I474" i="6"/>
  <c r="I475" i="6"/>
  <c r="I476" i="6"/>
  <c r="I477" i="6"/>
  <c r="I478" i="6"/>
  <c r="I479" i="6"/>
  <c r="I480" i="6"/>
  <c r="I481" i="6"/>
  <c r="I482" i="6"/>
  <c r="I483" i="6"/>
  <c r="I484" i="6"/>
  <c r="I485" i="6"/>
  <c r="I486" i="6"/>
  <c r="I487" i="6"/>
  <c r="I488" i="6"/>
  <c r="I489" i="6"/>
  <c r="I490" i="6"/>
  <c r="I491" i="6"/>
  <c r="I492" i="6"/>
  <c r="I493" i="6"/>
  <c r="I494" i="6"/>
  <c r="I495" i="6"/>
  <c r="I496" i="6"/>
  <c r="I497" i="6"/>
  <c r="I498" i="6"/>
  <c r="I499" i="6"/>
  <c r="I500" i="6"/>
  <c r="I501" i="6"/>
  <c r="I502" i="6"/>
  <c r="I503" i="6"/>
  <c r="I504" i="6"/>
  <c r="I505" i="6"/>
  <c r="I506" i="6"/>
  <c r="I507" i="6"/>
  <c r="I508" i="6"/>
  <c r="I509" i="6"/>
  <c r="I510" i="6"/>
  <c r="I511" i="6"/>
  <c r="I512" i="6"/>
  <c r="I513" i="6"/>
  <c r="I514" i="6"/>
  <c r="I515" i="6"/>
  <c r="I516" i="6"/>
  <c r="I517" i="6"/>
  <c r="I518" i="6"/>
  <c r="I519" i="6"/>
  <c r="I520" i="6"/>
  <c r="I521" i="6"/>
  <c r="I522" i="6"/>
  <c r="I523" i="6"/>
  <c r="I524" i="6"/>
  <c r="I525" i="6"/>
  <c r="I526" i="6"/>
  <c r="I527" i="6"/>
  <c r="I528" i="6"/>
  <c r="I529" i="6"/>
  <c r="I530" i="6"/>
  <c r="I531" i="6"/>
  <c r="I532" i="6"/>
  <c r="I533" i="6"/>
  <c r="I534" i="6"/>
  <c r="I535" i="6"/>
  <c r="I536" i="6"/>
  <c r="I537" i="6"/>
  <c r="I538" i="6"/>
  <c r="I539" i="6"/>
  <c r="I540" i="6"/>
  <c r="I541" i="6"/>
  <c r="I542" i="6"/>
  <c r="I543" i="6"/>
  <c r="I544" i="6"/>
  <c r="I545" i="6"/>
  <c r="I546" i="6"/>
  <c r="I547" i="6"/>
  <c r="I548" i="6"/>
  <c r="I549" i="6"/>
  <c r="I550" i="6"/>
  <c r="I551" i="6"/>
  <c r="I552" i="6"/>
  <c r="I553" i="6"/>
  <c r="I554" i="6"/>
  <c r="I555" i="6"/>
  <c r="I556" i="6"/>
  <c r="I557" i="6"/>
  <c r="I558" i="6"/>
  <c r="I559" i="6"/>
  <c r="I560" i="6"/>
  <c r="I561" i="6"/>
  <c r="I562" i="6"/>
  <c r="I563" i="6"/>
  <c r="I564" i="6"/>
  <c r="I565" i="6"/>
  <c r="I566" i="6"/>
  <c r="I567" i="6"/>
  <c r="I568" i="6"/>
  <c r="I569" i="6"/>
  <c r="I570" i="6"/>
  <c r="I571" i="6"/>
  <c r="I572" i="6"/>
  <c r="I573" i="6"/>
  <c r="I574" i="6"/>
  <c r="I575" i="6"/>
  <c r="I576" i="6"/>
  <c r="I577" i="6"/>
  <c r="I578" i="6"/>
  <c r="I579" i="6"/>
  <c r="I580" i="6"/>
  <c r="I581" i="6"/>
  <c r="I582" i="6"/>
  <c r="I583" i="6"/>
  <c r="I584" i="6"/>
  <c r="I585" i="6"/>
  <c r="I586" i="6"/>
  <c r="I587" i="6"/>
  <c r="I588" i="6"/>
  <c r="I589" i="6"/>
  <c r="I590" i="6"/>
  <c r="I591" i="6"/>
  <c r="I592" i="6"/>
  <c r="I593" i="6"/>
  <c r="I594" i="6"/>
  <c r="I595" i="6"/>
  <c r="I596" i="6"/>
  <c r="I597" i="6"/>
  <c r="I598" i="6"/>
  <c r="I599" i="6"/>
  <c r="I600" i="6"/>
  <c r="I601" i="6"/>
  <c r="I602" i="6"/>
  <c r="I603" i="6"/>
  <c r="I604" i="6"/>
  <c r="I605" i="6"/>
  <c r="I606" i="6"/>
  <c r="I607" i="6"/>
  <c r="I608" i="6"/>
  <c r="I609" i="6"/>
  <c r="I610" i="6"/>
  <c r="I611" i="6"/>
  <c r="I612" i="6"/>
  <c r="I613" i="6"/>
  <c r="I614" i="6"/>
  <c r="I615" i="6"/>
  <c r="I616" i="6"/>
  <c r="I617" i="6"/>
  <c r="I618" i="6"/>
  <c r="I619" i="6"/>
  <c r="I620" i="6"/>
  <c r="I621" i="6"/>
  <c r="I622" i="6"/>
  <c r="I623" i="6"/>
  <c r="I624" i="6"/>
  <c r="I625" i="6"/>
  <c r="I626" i="6"/>
  <c r="I627" i="6"/>
  <c r="I628" i="6"/>
  <c r="I629" i="6"/>
  <c r="I630" i="6"/>
  <c r="I631" i="6"/>
  <c r="I632" i="6"/>
  <c r="I633" i="6"/>
  <c r="I634" i="6"/>
  <c r="I635" i="6"/>
  <c r="I636" i="6"/>
  <c r="I637" i="6"/>
  <c r="I638" i="6"/>
  <c r="I639" i="6"/>
  <c r="I640" i="6"/>
  <c r="I641" i="6"/>
  <c r="I642" i="6"/>
  <c r="I643" i="6"/>
  <c r="I644" i="6"/>
  <c r="I645" i="6"/>
  <c r="I646" i="6"/>
  <c r="I647" i="6"/>
  <c r="I648" i="6"/>
  <c r="I649" i="6"/>
  <c r="I650" i="6"/>
  <c r="I651" i="6"/>
  <c r="I652" i="6"/>
  <c r="I653" i="6"/>
  <c r="I654" i="6"/>
  <c r="I655" i="6"/>
  <c r="I656" i="6"/>
  <c r="I657" i="6"/>
  <c r="I658" i="6"/>
  <c r="I659" i="6"/>
  <c r="I660" i="6"/>
  <c r="I661" i="6"/>
  <c r="I662" i="6"/>
  <c r="I663" i="6"/>
  <c r="I664" i="6"/>
  <c r="I665" i="6"/>
  <c r="I666" i="6"/>
  <c r="I667" i="6"/>
  <c r="I668" i="6"/>
  <c r="I669" i="6"/>
  <c r="I670" i="6"/>
  <c r="I671" i="6"/>
  <c r="I672" i="6"/>
  <c r="I673" i="6"/>
  <c r="I674" i="6"/>
  <c r="I675" i="6"/>
  <c r="I676" i="6"/>
  <c r="I677" i="6"/>
  <c r="I678" i="6"/>
  <c r="I679" i="6"/>
  <c r="I680" i="6"/>
  <c r="I681" i="6"/>
  <c r="I682" i="6"/>
  <c r="I683" i="6"/>
  <c r="I684" i="6"/>
  <c r="I685" i="6"/>
  <c r="I686" i="6"/>
  <c r="I687" i="6"/>
  <c r="I688" i="6"/>
  <c r="I689" i="6"/>
  <c r="I690" i="6"/>
  <c r="I691" i="6"/>
  <c r="I692" i="6"/>
  <c r="I693" i="6"/>
  <c r="I694" i="6"/>
  <c r="I695" i="6"/>
  <c r="I696" i="6"/>
  <c r="I697" i="6"/>
  <c r="I698" i="6"/>
  <c r="I699" i="6"/>
  <c r="I700" i="6"/>
  <c r="I701" i="6"/>
  <c r="I702" i="6"/>
  <c r="I703" i="6"/>
  <c r="I704" i="6"/>
  <c r="I705" i="6"/>
  <c r="I706" i="6"/>
  <c r="I707" i="6"/>
  <c r="I708" i="6"/>
  <c r="I709" i="6"/>
  <c r="I710" i="6"/>
  <c r="I711" i="6"/>
  <c r="I712" i="6"/>
  <c r="I713" i="6"/>
  <c r="I714" i="6"/>
  <c r="I715" i="6"/>
  <c r="I716" i="6"/>
  <c r="I717" i="6"/>
  <c r="I718" i="6"/>
  <c r="I719" i="6"/>
  <c r="I720" i="6"/>
  <c r="I721" i="6"/>
  <c r="I722" i="6"/>
  <c r="I723" i="6"/>
  <c r="I724" i="6"/>
  <c r="I725" i="6"/>
  <c r="I726" i="6"/>
  <c r="I727" i="6"/>
  <c r="I728" i="6"/>
  <c r="I729" i="6"/>
  <c r="I730" i="6"/>
  <c r="I731" i="6"/>
  <c r="I732" i="6"/>
  <c r="I733" i="6"/>
  <c r="I734" i="6"/>
  <c r="I735" i="6"/>
  <c r="I736" i="6"/>
  <c r="I737" i="6"/>
  <c r="I738" i="6"/>
  <c r="I739" i="6"/>
  <c r="I740" i="6"/>
  <c r="I741" i="6"/>
  <c r="I742" i="6"/>
  <c r="I743" i="6"/>
  <c r="I744" i="6"/>
  <c r="I745" i="6"/>
  <c r="I746" i="6"/>
  <c r="I747" i="6"/>
  <c r="I748" i="6"/>
  <c r="I749" i="6"/>
  <c r="I750" i="6"/>
  <c r="I751" i="6"/>
  <c r="I752" i="6"/>
  <c r="I753" i="6"/>
  <c r="I754" i="6"/>
  <c r="I755" i="6"/>
  <c r="I756" i="6"/>
  <c r="I757" i="6"/>
  <c r="I758" i="6"/>
  <c r="I759" i="6"/>
  <c r="I760" i="6"/>
  <c r="I761" i="6"/>
  <c r="I762" i="6"/>
  <c r="I763" i="6"/>
  <c r="I764" i="6"/>
  <c r="I765" i="6"/>
  <c r="I766" i="6"/>
  <c r="I767" i="6"/>
  <c r="I768" i="6"/>
  <c r="I769" i="6"/>
  <c r="I770" i="6"/>
  <c r="I771" i="6"/>
  <c r="I772" i="6"/>
  <c r="I773" i="6"/>
  <c r="I774" i="6"/>
  <c r="I775" i="6"/>
  <c r="I776" i="6"/>
  <c r="I777" i="6"/>
  <c r="I778" i="6"/>
  <c r="I779" i="6"/>
  <c r="I780" i="6"/>
  <c r="I781" i="6"/>
  <c r="I782" i="6"/>
  <c r="I783" i="6"/>
  <c r="I784" i="6"/>
  <c r="I785" i="6"/>
  <c r="I786" i="6"/>
  <c r="I787" i="6"/>
  <c r="I788" i="6"/>
  <c r="I789" i="6"/>
  <c r="I790" i="6"/>
  <c r="I791" i="6"/>
  <c r="I792" i="6"/>
  <c r="I793" i="6"/>
  <c r="I794" i="6"/>
  <c r="I795" i="6"/>
  <c r="I796" i="6"/>
  <c r="I797" i="6"/>
  <c r="I798" i="6"/>
  <c r="I799" i="6"/>
  <c r="I800" i="6"/>
  <c r="I801" i="6"/>
  <c r="I802" i="6"/>
  <c r="I803" i="6"/>
  <c r="I804" i="6"/>
  <c r="I805" i="6"/>
  <c r="I806" i="6"/>
  <c r="I807" i="6"/>
  <c r="I808" i="6"/>
  <c r="I809" i="6"/>
  <c r="I810" i="6"/>
  <c r="I811" i="6"/>
  <c r="I812" i="6"/>
  <c r="I813" i="6"/>
  <c r="I814" i="6"/>
  <c r="I815" i="6"/>
  <c r="I816" i="6"/>
  <c r="I817" i="6"/>
  <c r="I818" i="6"/>
  <c r="I819" i="6"/>
  <c r="I820" i="6"/>
  <c r="I821" i="6"/>
  <c r="I822" i="6"/>
  <c r="I823" i="6"/>
  <c r="I824" i="6"/>
  <c r="I825" i="6"/>
  <c r="I826" i="6"/>
  <c r="I827" i="6"/>
  <c r="I828" i="6"/>
  <c r="I829" i="6"/>
  <c r="I830" i="6"/>
  <c r="I831" i="6"/>
  <c r="I832" i="6"/>
  <c r="I833" i="6"/>
  <c r="I834" i="6"/>
  <c r="I835" i="6"/>
  <c r="I836" i="6"/>
  <c r="I837" i="6"/>
  <c r="I838" i="6"/>
  <c r="I839" i="6"/>
  <c r="I840" i="6"/>
  <c r="I841" i="6"/>
  <c r="I842" i="6"/>
  <c r="I843" i="6"/>
  <c r="I844" i="6"/>
  <c r="I845" i="6"/>
  <c r="I846" i="6"/>
  <c r="I847" i="6"/>
  <c r="I848" i="6"/>
  <c r="I849" i="6"/>
  <c r="I850" i="6"/>
  <c r="I851" i="6"/>
  <c r="I852" i="6"/>
  <c r="I853" i="6"/>
  <c r="I854" i="6"/>
  <c r="I855" i="6"/>
  <c r="I856" i="6"/>
  <c r="I857" i="6"/>
  <c r="I858" i="6"/>
  <c r="I859" i="6"/>
  <c r="I860" i="6"/>
  <c r="I861" i="6"/>
  <c r="I862" i="6"/>
  <c r="I863" i="6"/>
  <c r="I864" i="6"/>
  <c r="I865" i="6"/>
  <c r="I866" i="6"/>
  <c r="I867" i="6"/>
  <c r="I868" i="6"/>
  <c r="I869" i="6"/>
  <c r="I870" i="6"/>
  <c r="I871" i="6"/>
  <c r="I872" i="6"/>
  <c r="I873" i="6"/>
  <c r="I874" i="6"/>
  <c r="I875" i="6"/>
  <c r="I876" i="6"/>
  <c r="I877" i="6"/>
  <c r="I878" i="6"/>
  <c r="I879" i="6"/>
  <c r="I880" i="6"/>
  <c r="I881" i="6"/>
  <c r="I882" i="6"/>
  <c r="I883" i="6"/>
  <c r="I884" i="6"/>
  <c r="I885" i="6"/>
  <c r="I886" i="6"/>
  <c r="I887" i="6"/>
  <c r="I888" i="6"/>
  <c r="I889" i="6"/>
  <c r="I890" i="6"/>
  <c r="I891" i="6"/>
  <c r="I892" i="6"/>
  <c r="I893" i="6"/>
  <c r="I894" i="6"/>
  <c r="I895" i="6"/>
  <c r="I896" i="6"/>
  <c r="I897" i="6"/>
  <c r="I898" i="6"/>
  <c r="I899" i="6"/>
  <c r="I900" i="6"/>
  <c r="I901" i="6"/>
  <c r="I902" i="6"/>
  <c r="I903" i="6"/>
  <c r="I904" i="6"/>
  <c r="I905" i="6"/>
  <c r="I906" i="6"/>
  <c r="I907" i="6"/>
  <c r="I908" i="6"/>
  <c r="I909" i="6"/>
  <c r="I910" i="6"/>
  <c r="I911" i="6"/>
  <c r="I912" i="6"/>
  <c r="I913" i="6"/>
  <c r="I914" i="6"/>
  <c r="I915" i="6"/>
  <c r="I916" i="6"/>
  <c r="I917" i="6"/>
  <c r="I918" i="6"/>
  <c r="I919" i="6"/>
  <c r="I920" i="6"/>
  <c r="I921" i="6"/>
  <c r="I922" i="6"/>
  <c r="I923" i="6"/>
  <c r="I924" i="6"/>
  <c r="I925" i="6"/>
  <c r="I926" i="6"/>
  <c r="I927" i="6"/>
  <c r="I928" i="6"/>
  <c r="I929" i="6"/>
  <c r="I930" i="6"/>
  <c r="I931" i="6"/>
  <c r="I932" i="6"/>
  <c r="I933" i="6"/>
  <c r="I934" i="6"/>
  <c r="I935" i="6"/>
  <c r="I936" i="6"/>
  <c r="I937" i="6"/>
  <c r="I938" i="6"/>
  <c r="I939" i="6"/>
  <c r="I940" i="6"/>
  <c r="I941" i="6"/>
  <c r="I942" i="6"/>
  <c r="I943" i="6"/>
  <c r="I944" i="6"/>
  <c r="I945" i="6"/>
  <c r="I946" i="6"/>
  <c r="I947" i="6"/>
  <c r="I948" i="6"/>
  <c r="I949" i="6"/>
  <c r="I950" i="6"/>
  <c r="I951" i="6"/>
  <c r="I952" i="6"/>
  <c r="I953" i="6"/>
  <c r="I954" i="6"/>
  <c r="I955" i="6"/>
  <c r="I956" i="6"/>
  <c r="I957" i="6"/>
  <c r="I958" i="6"/>
  <c r="I959" i="6"/>
  <c r="I960" i="6"/>
  <c r="I961" i="6"/>
  <c r="I962" i="6"/>
  <c r="I963" i="6"/>
  <c r="I964" i="6"/>
  <c r="I965" i="6"/>
  <c r="I966" i="6"/>
  <c r="I967" i="6"/>
  <c r="I968" i="6"/>
  <c r="I969" i="6"/>
  <c r="I970" i="6"/>
  <c r="I971" i="6"/>
  <c r="I972" i="6"/>
  <c r="I973" i="6"/>
  <c r="I974" i="6"/>
  <c r="I975" i="6"/>
  <c r="I976" i="6"/>
  <c r="I977" i="6"/>
  <c r="I978" i="6"/>
  <c r="I979" i="6"/>
  <c r="I980" i="6"/>
  <c r="I981" i="6"/>
  <c r="I982" i="6"/>
  <c r="I983" i="6"/>
  <c r="I984" i="6"/>
  <c r="I985" i="6"/>
  <c r="I986" i="6"/>
  <c r="I987" i="6"/>
  <c r="I988" i="6"/>
  <c r="I989" i="6"/>
  <c r="I990" i="6"/>
  <c r="I991" i="6"/>
  <c r="I992" i="6"/>
  <c r="I993" i="6"/>
  <c r="I994" i="6"/>
  <c r="I995" i="6"/>
  <c r="I996" i="6"/>
  <c r="I997" i="6"/>
  <c r="I998" i="6"/>
  <c r="I999" i="6"/>
  <c r="I1000" i="6"/>
  <c r="I1001" i="6"/>
  <c r="I1002" i="6"/>
  <c r="I1003" i="6"/>
  <c r="I1004" i="6"/>
  <c r="I1005" i="6"/>
  <c r="I1006" i="6"/>
  <c r="I1007" i="6"/>
  <c r="I1008" i="6"/>
  <c r="I1009" i="6"/>
  <c r="I1010" i="6"/>
  <c r="I1011" i="6"/>
  <c r="I1012" i="6"/>
  <c r="I1013" i="6"/>
  <c r="I1014" i="6"/>
  <c r="I1015" i="6"/>
  <c r="I1016" i="6"/>
  <c r="I1017" i="6"/>
  <c r="I1018" i="6"/>
  <c r="I1019" i="6"/>
  <c r="I1020" i="6"/>
  <c r="I1021" i="6"/>
  <c r="I1022" i="6"/>
  <c r="I1023" i="6"/>
  <c r="I1024" i="6"/>
  <c r="I1025" i="6"/>
  <c r="I1026" i="6"/>
  <c r="I1027" i="6"/>
  <c r="I1028" i="6"/>
  <c r="I1029" i="6"/>
  <c r="I1030" i="6"/>
  <c r="I1031" i="6"/>
  <c r="I1032" i="6"/>
  <c r="I1033" i="6"/>
  <c r="I1034" i="6"/>
  <c r="I1035" i="6"/>
  <c r="I1036" i="6"/>
  <c r="I1037" i="6"/>
  <c r="I1038" i="6"/>
  <c r="I1039" i="6"/>
  <c r="I1040" i="6"/>
  <c r="I1041" i="6"/>
  <c r="I1042" i="6"/>
  <c r="I1043" i="6"/>
  <c r="I1044" i="6"/>
  <c r="I1045" i="6"/>
  <c r="I1046" i="6"/>
  <c r="I1047" i="6"/>
  <c r="I1048" i="6"/>
  <c r="I1049" i="6"/>
  <c r="I1050" i="6"/>
  <c r="I1051" i="6"/>
  <c r="I1052" i="6"/>
  <c r="I1053" i="6"/>
  <c r="I1054" i="6"/>
  <c r="I1055" i="6"/>
  <c r="I1056" i="6"/>
  <c r="I1057" i="6"/>
  <c r="I1058" i="6"/>
  <c r="I1059" i="6"/>
  <c r="I1060" i="6"/>
  <c r="I1061" i="6"/>
  <c r="I1062" i="6"/>
  <c r="I1063" i="6"/>
  <c r="I1064" i="6"/>
  <c r="I1065" i="6"/>
  <c r="I1066" i="6"/>
  <c r="I1067" i="6"/>
  <c r="I1068" i="6"/>
  <c r="I1069" i="6"/>
  <c r="I1070" i="6"/>
  <c r="I1071" i="6"/>
  <c r="I1072" i="6"/>
  <c r="I1073" i="6"/>
  <c r="I1074" i="6"/>
  <c r="I1075" i="6"/>
  <c r="I1076" i="6"/>
  <c r="I1077" i="6"/>
  <c r="I1078" i="6"/>
  <c r="I1079" i="6"/>
  <c r="I1080" i="6"/>
  <c r="I1081" i="6"/>
  <c r="I1082" i="6"/>
  <c r="I1083" i="6"/>
  <c r="I1084" i="6"/>
  <c r="I1085" i="6"/>
  <c r="I1086" i="6"/>
  <c r="I1087" i="6"/>
  <c r="I1088" i="6"/>
  <c r="I1089" i="6"/>
  <c r="I1090" i="6"/>
  <c r="I1091" i="6"/>
  <c r="I1092" i="6"/>
  <c r="I1093" i="6"/>
  <c r="I1094" i="6"/>
  <c r="I1095" i="6"/>
  <c r="I1096" i="6"/>
  <c r="I1097" i="6"/>
  <c r="I1098" i="6"/>
  <c r="I1099" i="6"/>
  <c r="I1100" i="6"/>
  <c r="I1101" i="6"/>
  <c r="I1102" i="6"/>
  <c r="I1103" i="6"/>
  <c r="I1104" i="6"/>
  <c r="I1105" i="6"/>
  <c r="I1106" i="6"/>
  <c r="I1107" i="6"/>
  <c r="I1108" i="6"/>
  <c r="I1109" i="6"/>
  <c r="I1110" i="6"/>
  <c r="I1111" i="6"/>
  <c r="I1112" i="6"/>
  <c r="I1113" i="6"/>
  <c r="I1114" i="6"/>
  <c r="I1115" i="6"/>
  <c r="I1116" i="6"/>
  <c r="I1117" i="6"/>
  <c r="I1118" i="6"/>
  <c r="I1119" i="6"/>
  <c r="I1120" i="6"/>
  <c r="I1121" i="6"/>
  <c r="I1122" i="6"/>
  <c r="I1123" i="6"/>
  <c r="I1124" i="6"/>
  <c r="I1125" i="6"/>
  <c r="I1126" i="6"/>
  <c r="I1127" i="6"/>
  <c r="I1128" i="6"/>
  <c r="I1129" i="6"/>
  <c r="I1130" i="6"/>
  <c r="I1131" i="6"/>
  <c r="I1132" i="6"/>
  <c r="I1133" i="6"/>
  <c r="I1134" i="6"/>
  <c r="I1135" i="6"/>
  <c r="I1136" i="6"/>
  <c r="I1137" i="6"/>
  <c r="I1138" i="6"/>
  <c r="I1139" i="6"/>
  <c r="I1140" i="6"/>
  <c r="I1141" i="6"/>
  <c r="I1142" i="6"/>
  <c r="I1143" i="6"/>
  <c r="I1144" i="6"/>
  <c r="I1145" i="6"/>
  <c r="I1146" i="6"/>
  <c r="I1147" i="6"/>
  <c r="I1148" i="6"/>
  <c r="I1149" i="6"/>
  <c r="I1150" i="6"/>
  <c r="I1151" i="6"/>
  <c r="I1152" i="6"/>
  <c r="I1153" i="6"/>
  <c r="I1154" i="6"/>
  <c r="I1155" i="6"/>
  <c r="I1156" i="6"/>
  <c r="I1157" i="6"/>
  <c r="I1158" i="6"/>
  <c r="I1159" i="6"/>
  <c r="I1160" i="6"/>
  <c r="I1161" i="6"/>
  <c r="I1162" i="6"/>
  <c r="I1163" i="6"/>
  <c r="I1164" i="6"/>
  <c r="I1165" i="6"/>
  <c r="I1166" i="6"/>
  <c r="I1167" i="6"/>
  <c r="I1168" i="6"/>
  <c r="I1169" i="6"/>
  <c r="I1170" i="6"/>
  <c r="I1171" i="6"/>
  <c r="I1172" i="6"/>
  <c r="I1173" i="6"/>
  <c r="I1174" i="6"/>
  <c r="I1175" i="6"/>
  <c r="I1176" i="6"/>
  <c r="I1177" i="6"/>
  <c r="I1178" i="6"/>
  <c r="I1179" i="6"/>
  <c r="I1180" i="6"/>
  <c r="I1181" i="6"/>
  <c r="I1182" i="6"/>
  <c r="I1183" i="6"/>
  <c r="I1184" i="6"/>
  <c r="I1185" i="6"/>
  <c r="I1186" i="6"/>
  <c r="I1187" i="6"/>
  <c r="I1188" i="6"/>
  <c r="I1189" i="6"/>
  <c r="I1190" i="6"/>
  <c r="I1191" i="6"/>
  <c r="I1192" i="6"/>
  <c r="I1193" i="6"/>
  <c r="I1194" i="6"/>
  <c r="I1195" i="6"/>
  <c r="I1196" i="6"/>
  <c r="I1197" i="6"/>
  <c r="I1198" i="6"/>
  <c r="I1199" i="6"/>
  <c r="I1200" i="6"/>
  <c r="I1201" i="6"/>
  <c r="I1202" i="6"/>
  <c r="I1203" i="6"/>
  <c r="I1204" i="6"/>
  <c r="I1205" i="6"/>
  <c r="I1206" i="6"/>
  <c r="I1207" i="6"/>
  <c r="I1208" i="6"/>
  <c r="I1209" i="6"/>
  <c r="I1210" i="6"/>
  <c r="I1211" i="6"/>
  <c r="I1212" i="6"/>
  <c r="I1213" i="6"/>
  <c r="I1214" i="6"/>
  <c r="I1215" i="6"/>
  <c r="I1216" i="6"/>
  <c r="I1217" i="6"/>
  <c r="I1218" i="6"/>
  <c r="I1219" i="6"/>
  <c r="I1220" i="6"/>
  <c r="I1221" i="6"/>
  <c r="I1222" i="6"/>
  <c r="I1223" i="6"/>
  <c r="I1224" i="6"/>
  <c r="I1225" i="6"/>
  <c r="I1226" i="6"/>
  <c r="I1227" i="6"/>
  <c r="I1228" i="6"/>
  <c r="I1229" i="6"/>
  <c r="I1230" i="6"/>
  <c r="I1231" i="6"/>
  <c r="I1232" i="6"/>
  <c r="I1233" i="6"/>
  <c r="I1234" i="6"/>
  <c r="I1235" i="6"/>
  <c r="I1236" i="6"/>
  <c r="I1237" i="6"/>
  <c r="I1238" i="6"/>
  <c r="I1239" i="6"/>
  <c r="I1240" i="6"/>
  <c r="I1241" i="6"/>
  <c r="I1242" i="6"/>
  <c r="I1243" i="6"/>
  <c r="I1244" i="6"/>
  <c r="I1245" i="6"/>
  <c r="I1246" i="6"/>
  <c r="I1247" i="6"/>
  <c r="I1248" i="6"/>
  <c r="I1249" i="6"/>
  <c r="I1250" i="6"/>
  <c r="I1251" i="6"/>
  <c r="I1252" i="6"/>
  <c r="I1253" i="6"/>
  <c r="I1254" i="6"/>
  <c r="I1255" i="6"/>
  <c r="I1256" i="6"/>
  <c r="I1257" i="6"/>
  <c r="I1258" i="6"/>
  <c r="I1259" i="6"/>
  <c r="I1260" i="6"/>
  <c r="I1261" i="6"/>
  <c r="I1262" i="6"/>
  <c r="I1263" i="6"/>
  <c r="I1264" i="6"/>
  <c r="I1265" i="6"/>
  <c r="I1266" i="6"/>
  <c r="I1267" i="6"/>
  <c r="I1268" i="6"/>
  <c r="I1269" i="6"/>
  <c r="I1270" i="6"/>
  <c r="I1271" i="6"/>
  <c r="I1272" i="6"/>
  <c r="I1273" i="6"/>
  <c r="I1274" i="6"/>
  <c r="I1275" i="6"/>
  <c r="I1276" i="6"/>
  <c r="I1277" i="6"/>
  <c r="I1278" i="6"/>
  <c r="I1279" i="6"/>
  <c r="I1280" i="6"/>
  <c r="I1281" i="6"/>
  <c r="I1282" i="6"/>
  <c r="I1283" i="6"/>
  <c r="I1284" i="6"/>
  <c r="I1285" i="6"/>
  <c r="I1286" i="6"/>
  <c r="I1287" i="6"/>
  <c r="I1288" i="6"/>
  <c r="I1289" i="6"/>
  <c r="I1290" i="6"/>
  <c r="I1291" i="6"/>
  <c r="I1292" i="6"/>
  <c r="I1293" i="6"/>
  <c r="I1294" i="6"/>
  <c r="I1295" i="6"/>
  <c r="I1296" i="6"/>
  <c r="I1297" i="6"/>
  <c r="I1298" i="6"/>
  <c r="I1299" i="6"/>
  <c r="I1300" i="6"/>
  <c r="I1301" i="6"/>
  <c r="I1302" i="6"/>
  <c r="I1303" i="6"/>
  <c r="I1304" i="6"/>
  <c r="I1305" i="6"/>
  <c r="I1306" i="6"/>
  <c r="I1307" i="6"/>
  <c r="I1308" i="6"/>
  <c r="I1309" i="6"/>
  <c r="I1310" i="6"/>
  <c r="I1311" i="6"/>
  <c r="I1312" i="6"/>
  <c r="I1313" i="6"/>
  <c r="I1314" i="6"/>
  <c r="I1315" i="6"/>
  <c r="I1316" i="6"/>
  <c r="I1317" i="6"/>
  <c r="I1318" i="6"/>
  <c r="I1319" i="6"/>
  <c r="I1320" i="6"/>
  <c r="I1321" i="6"/>
  <c r="I1322" i="6"/>
  <c r="I1323" i="6"/>
  <c r="I1324" i="6"/>
  <c r="I1325" i="6"/>
  <c r="I1326" i="6"/>
  <c r="I1327" i="6"/>
  <c r="I1328" i="6"/>
  <c r="I1329" i="6"/>
  <c r="I1330" i="6"/>
  <c r="I1331" i="6"/>
  <c r="I1332" i="6"/>
  <c r="I1333" i="6"/>
  <c r="I1334" i="6"/>
  <c r="I1335" i="6"/>
  <c r="I1336" i="6"/>
  <c r="I1337" i="6"/>
  <c r="I1338" i="6"/>
  <c r="I1339" i="6"/>
  <c r="I1340" i="6"/>
  <c r="I1341" i="6"/>
  <c r="I1342" i="6"/>
  <c r="I1343" i="6"/>
  <c r="I1344" i="6"/>
  <c r="I1345" i="6"/>
  <c r="I1346" i="6"/>
  <c r="I1347" i="6"/>
  <c r="I1348" i="6"/>
  <c r="I1349" i="6"/>
  <c r="I1350" i="6"/>
  <c r="I1351" i="6"/>
  <c r="I1352" i="6"/>
  <c r="I1353" i="6"/>
  <c r="I1354" i="6"/>
  <c r="I1355" i="6"/>
  <c r="I1356" i="6"/>
  <c r="I1357" i="6"/>
  <c r="I1358" i="6"/>
  <c r="I1359" i="6"/>
  <c r="I1360" i="6"/>
  <c r="I1361" i="6"/>
  <c r="I1362" i="6"/>
  <c r="I1363" i="6"/>
  <c r="I1364" i="6"/>
  <c r="I1365" i="6"/>
  <c r="I1366" i="6"/>
  <c r="I1367" i="6"/>
  <c r="I1368" i="6"/>
  <c r="I1369" i="6"/>
  <c r="I1370" i="6"/>
  <c r="I1371" i="6"/>
  <c r="I1372" i="6"/>
  <c r="I1373" i="6"/>
  <c r="I1374" i="6"/>
  <c r="I1375" i="6"/>
  <c r="I1376" i="6"/>
  <c r="I1377" i="6"/>
  <c r="I1378" i="6"/>
  <c r="I1379" i="6"/>
  <c r="I1380" i="6"/>
  <c r="I1381" i="6"/>
  <c r="I1382" i="6"/>
  <c r="I1383" i="6"/>
  <c r="I1384" i="6"/>
  <c r="I1385" i="6"/>
  <c r="I1386" i="6"/>
  <c r="I1387" i="6"/>
  <c r="I1388" i="6"/>
  <c r="I1389" i="6"/>
  <c r="I1390" i="6"/>
  <c r="I1391" i="6"/>
  <c r="I1392" i="6"/>
  <c r="I1393" i="6"/>
  <c r="I1394" i="6"/>
  <c r="I1395" i="6"/>
  <c r="I1396" i="6"/>
  <c r="I1397" i="6"/>
  <c r="I1398" i="6"/>
  <c r="I1399" i="6"/>
  <c r="I1400" i="6"/>
  <c r="I1401" i="6"/>
  <c r="I1402" i="6"/>
  <c r="I1403" i="6"/>
  <c r="I1404" i="6"/>
  <c r="I1405" i="6"/>
  <c r="I1406" i="6"/>
  <c r="I1407" i="6"/>
  <c r="I1408" i="6"/>
  <c r="I1409" i="6"/>
  <c r="I1410" i="6"/>
  <c r="I1411" i="6"/>
  <c r="I1412" i="6"/>
  <c r="I1413" i="6"/>
  <c r="I1414" i="6"/>
  <c r="I1415" i="6"/>
  <c r="I1416" i="6"/>
  <c r="I1417" i="6"/>
  <c r="I1418" i="6"/>
  <c r="I1419" i="6"/>
  <c r="I1420" i="6"/>
  <c r="I1421" i="6"/>
  <c r="I1422" i="6"/>
  <c r="I1423" i="6"/>
  <c r="I1424" i="6"/>
  <c r="I1425" i="6"/>
  <c r="I1426" i="6"/>
  <c r="I1427" i="6"/>
  <c r="I1428" i="6"/>
  <c r="I1429" i="6"/>
  <c r="I1430" i="6"/>
  <c r="I1431" i="6"/>
  <c r="I1432" i="6"/>
  <c r="I1433" i="6"/>
  <c r="I1434" i="6"/>
  <c r="I1435" i="6"/>
  <c r="I1436" i="6"/>
  <c r="I1437" i="6"/>
  <c r="I1438" i="6"/>
  <c r="I1439" i="6"/>
  <c r="I1440" i="6"/>
  <c r="I1441" i="6"/>
  <c r="I1442" i="6"/>
  <c r="I1443" i="6"/>
  <c r="I1444" i="6"/>
  <c r="I1445" i="6"/>
  <c r="I1446" i="6"/>
  <c r="I1447" i="6"/>
  <c r="I1448" i="6"/>
  <c r="I1449" i="6"/>
  <c r="I1450" i="6"/>
  <c r="I1451" i="6"/>
  <c r="I1452" i="6"/>
  <c r="I1453" i="6"/>
  <c r="I1454" i="6"/>
  <c r="I1455" i="6"/>
  <c r="I1456" i="6"/>
  <c r="I1457" i="6"/>
  <c r="I1458" i="6"/>
  <c r="I1459" i="6"/>
  <c r="I1460" i="6"/>
  <c r="I1461" i="6"/>
  <c r="I1462" i="6"/>
  <c r="I1463" i="6"/>
  <c r="I1464" i="6"/>
  <c r="I1465" i="6"/>
  <c r="I1466" i="6"/>
  <c r="I1467" i="6"/>
  <c r="I1468" i="6"/>
  <c r="I1469" i="6"/>
  <c r="I1470" i="6"/>
  <c r="I1471" i="6"/>
  <c r="I1472" i="6"/>
  <c r="I1473" i="6"/>
  <c r="I1474" i="6"/>
  <c r="I1475" i="6"/>
  <c r="I1476" i="6"/>
  <c r="I1477" i="6"/>
  <c r="I1478" i="6"/>
  <c r="I1479" i="6"/>
  <c r="I1480" i="6"/>
  <c r="I1481" i="6"/>
  <c r="I1482" i="6"/>
  <c r="I1483" i="6"/>
  <c r="I1484" i="6"/>
  <c r="I1485" i="6"/>
  <c r="I1486" i="6"/>
  <c r="I1487" i="6"/>
  <c r="I1488" i="6"/>
  <c r="I1489" i="6"/>
  <c r="I1490" i="6"/>
  <c r="I1491" i="6"/>
  <c r="I1492" i="6"/>
  <c r="I1493" i="6"/>
  <c r="I1494" i="6"/>
  <c r="I1495" i="6"/>
  <c r="I1496" i="6"/>
  <c r="I1497" i="6"/>
  <c r="I1498" i="6"/>
  <c r="I1499" i="6"/>
  <c r="I1500" i="6"/>
  <c r="I1501" i="6"/>
  <c r="I1502" i="6"/>
  <c r="I1503" i="6"/>
  <c r="I1504" i="6"/>
  <c r="I1505" i="6"/>
  <c r="I1506" i="6"/>
  <c r="I1507" i="6"/>
  <c r="I1508" i="6"/>
  <c r="I1509" i="6"/>
  <c r="I1510" i="6"/>
  <c r="I1511" i="6"/>
  <c r="I1512" i="6"/>
  <c r="I1513" i="6"/>
  <c r="I1514" i="6"/>
  <c r="I1515" i="6"/>
  <c r="I1516" i="6"/>
  <c r="I1517" i="6"/>
  <c r="I1518" i="6"/>
  <c r="I1519" i="6"/>
  <c r="I1520" i="6"/>
  <c r="I1521" i="6"/>
  <c r="I1522" i="6"/>
  <c r="I1523" i="6"/>
  <c r="I1524" i="6"/>
  <c r="I1525" i="6"/>
  <c r="I1526" i="6"/>
  <c r="I1527" i="6"/>
  <c r="I1528" i="6"/>
  <c r="I1529" i="6"/>
  <c r="I1530" i="6"/>
  <c r="I1531" i="6"/>
  <c r="I1532" i="6"/>
  <c r="I1533" i="6"/>
  <c r="I1534" i="6"/>
  <c r="I1535" i="6"/>
  <c r="I1536" i="6"/>
  <c r="I1537" i="6"/>
  <c r="I1538" i="6"/>
  <c r="I1539" i="6"/>
  <c r="I1540" i="6"/>
  <c r="I1541" i="6"/>
  <c r="I1542" i="6"/>
  <c r="I1543" i="6"/>
  <c r="I1544" i="6"/>
  <c r="I1545" i="6"/>
  <c r="I1546" i="6"/>
  <c r="I1547" i="6"/>
  <c r="I1548" i="6"/>
  <c r="I1549" i="6"/>
  <c r="I1550" i="6"/>
  <c r="I1551" i="6"/>
  <c r="I1552" i="6"/>
  <c r="I1553" i="6"/>
  <c r="I1554" i="6"/>
  <c r="I1555" i="6"/>
  <c r="I1556" i="6"/>
  <c r="I1557" i="6"/>
  <c r="I1558" i="6"/>
  <c r="I1559" i="6"/>
  <c r="I1560" i="6"/>
  <c r="I1561" i="6"/>
  <c r="I1562" i="6"/>
  <c r="I1563" i="6"/>
  <c r="I1564" i="6"/>
  <c r="I1565" i="6"/>
  <c r="I1566" i="6"/>
  <c r="I1567" i="6"/>
  <c r="I1568" i="6"/>
  <c r="I1569" i="6"/>
  <c r="I1570" i="6"/>
  <c r="I1571" i="6"/>
  <c r="I1572" i="6"/>
  <c r="I1573" i="6"/>
  <c r="I1574" i="6"/>
  <c r="I1575" i="6"/>
  <c r="I1576" i="6"/>
  <c r="I1577" i="6"/>
  <c r="I1578" i="6"/>
  <c r="I1579" i="6"/>
  <c r="I1580" i="6"/>
  <c r="I1581" i="6"/>
  <c r="I1582" i="6"/>
  <c r="I1583" i="6"/>
  <c r="I1584" i="6"/>
  <c r="I1585" i="6"/>
  <c r="I1586" i="6"/>
  <c r="I1587" i="6"/>
  <c r="I1588" i="6"/>
  <c r="I1589" i="6"/>
  <c r="I1590" i="6"/>
  <c r="I1591" i="6"/>
  <c r="I1592" i="6"/>
  <c r="I1593" i="6"/>
  <c r="I1594" i="6"/>
  <c r="I1595" i="6"/>
  <c r="I1596" i="6"/>
  <c r="I1597" i="6"/>
  <c r="I1598" i="6"/>
  <c r="I1599" i="6"/>
  <c r="I1600" i="6"/>
  <c r="I1601" i="6"/>
  <c r="I1602" i="6"/>
  <c r="I1603" i="6"/>
  <c r="I1604" i="6"/>
  <c r="I1605" i="6"/>
  <c r="I1606" i="6"/>
  <c r="I1607" i="6"/>
  <c r="I1608" i="6"/>
  <c r="I1609" i="6"/>
  <c r="I1610" i="6"/>
  <c r="I1611" i="6"/>
  <c r="I1612" i="6"/>
  <c r="I1613" i="6"/>
  <c r="I1614" i="6"/>
  <c r="I1615" i="6"/>
  <c r="I1616" i="6"/>
  <c r="I1617" i="6"/>
  <c r="I1618" i="6"/>
  <c r="I1619" i="6"/>
  <c r="I1620" i="6"/>
  <c r="I1621" i="6"/>
  <c r="I1622" i="6"/>
  <c r="I1623" i="6"/>
  <c r="I1624" i="6"/>
  <c r="I1625" i="6"/>
  <c r="I1626" i="6"/>
  <c r="I1627" i="6"/>
  <c r="I1628" i="6"/>
  <c r="I1629" i="6"/>
  <c r="I1630" i="6"/>
  <c r="I1631" i="6"/>
  <c r="I1632" i="6"/>
  <c r="I1633" i="6"/>
  <c r="I1634" i="6"/>
  <c r="I1635" i="6"/>
  <c r="I1636" i="6"/>
  <c r="I1637" i="6"/>
  <c r="I1638" i="6"/>
  <c r="I1639" i="6"/>
  <c r="I1640" i="6"/>
  <c r="I1641" i="6"/>
  <c r="I1642" i="6"/>
  <c r="I1643" i="6"/>
  <c r="I1644" i="6"/>
  <c r="I1645" i="6"/>
  <c r="I1646" i="6"/>
  <c r="I1647" i="6"/>
  <c r="I1648" i="6"/>
  <c r="I1649" i="6"/>
  <c r="I1650" i="6"/>
  <c r="I1651" i="6"/>
  <c r="I1652" i="6"/>
  <c r="I1653" i="6"/>
  <c r="I1654" i="6"/>
  <c r="I1655" i="6"/>
  <c r="I1656" i="6"/>
  <c r="I1657" i="6"/>
  <c r="I1658" i="6"/>
  <c r="I1659" i="6"/>
  <c r="I1660" i="6"/>
  <c r="I1661" i="6"/>
  <c r="I1662" i="6"/>
  <c r="I1663" i="6"/>
  <c r="I1664" i="6"/>
  <c r="I1665" i="6"/>
  <c r="I1666" i="6"/>
  <c r="I1667" i="6"/>
  <c r="I1668" i="6"/>
  <c r="I1669" i="6"/>
  <c r="I1670" i="6"/>
  <c r="I1671" i="6"/>
  <c r="I1672" i="6"/>
  <c r="I1673" i="6"/>
  <c r="I1674" i="6"/>
  <c r="I1675" i="6"/>
  <c r="I1676" i="6"/>
  <c r="I1677" i="6"/>
  <c r="I1678" i="6"/>
  <c r="I1679" i="6"/>
  <c r="I1680" i="6"/>
  <c r="I1681" i="6"/>
  <c r="I1682" i="6"/>
  <c r="I1683" i="6"/>
  <c r="I1684" i="6"/>
  <c r="I1685" i="6"/>
  <c r="I1686" i="6"/>
  <c r="I1687" i="6"/>
  <c r="I1688" i="6"/>
  <c r="I1689" i="6"/>
  <c r="I1690" i="6"/>
  <c r="I1691" i="6"/>
  <c r="I1692" i="6"/>
  <c r="I1693" i="6"/>
  <c r="I1694" i="6"/>
  <c r="I1695" i="6"/>
  <c r="I1696" i="6"/>
  <c r="I1697" i="6"/>
  <c r="I1698" i="6"/>
  <c r="I1699" i="6"/>
  <c r="I1700" i="6"/>
  <c r="I1701" i="6"/>
  <c r="I1702" i="6"/>
  <c r="I1703" i="6"/>
  <c r="I1704" i="6"/>
  <c r="I1705" i="6"/>
  <c r="I1706" i="6"/>
  <c r="I1707" i="6"/>
  <c r="I1708" i="6"/>
  <c r="I1709" i="6"/>
  <c r="I1710" i="6"/>
  <c r="I1711" i="6"/>
  <c r="I1712" i="6"/>
  <c r="I1713" i="6"/>
  <c r="I1714" i="6"/>
  <c r="I1715" i="6"/>
  <c r="I1716" i="6"/>
  <c r="I1717" i="6"/>
  <c r="I1718" i="6"/>
  <c r="I1719" i="6"/>
  <c r="I1720" i="6"/>
  <c r="I1721" i="6"/>
  <c r="I1722" i="6"/>
  <c r="I1723" i="6"/>
  <c r="I1724" i="6"/>
  <c r="I1725" i="6"/>
  <c r="I1726" i="6"/>
  <c r="I1727" i="6"/>
  <c r="I1728" i="6"/>
  <c r="I1729" i="6"/>
  <c r="I1730" i="6"/>
  <c r="I1731" i="6"/>
  <c r="I1732" i="6"/>
  <c r="I1733" i="6"/>
  <c r="I1734" i="6"/>
  <c r="I1735" i="6"/>
  <c r="I1736" i="6"/>
  <c r="I1737" i="6"/>
  <c r="I1738" i="6"/>
  <c r="I1739" i="6"/>
  <c r="I1740" i="6"/>
  <c r="I1741" i="6"/>
  <c r="I1742" i="6"/>
  <c r="I1743" i="6"/>
  <c r="I1744" i="6"/>
  <c r="I1745" i="6"/>
  <c r="I1746" i="6"/>
  <c r="I1747" i="6"/>
  <c r="I1748" i="6"/>
  <c r="I1749" i="6"/>
  <c r="I1750" i="6"/>
  <c r="I1751" i="6"/>
  <c r="I1752" i="6"/>
  <c r="I1753" i="6"/>
  <c r="I1754" i="6"/>
  <c r="I1755" i="6"/>
  <c r="I1756" i="6"/>
  <c r="I1757" i="6"/>
  <c r="I1758" i="6"/>
  <c r="I1759" i="6"/>
  <c r="I1760" i="6"/>
  <c r="I1761" i="6"/>
  <c r="I1762" i="6"/>
  <c r="I1763" i="6"/>
  <c r="I1764" i="6"/>
  <c r="I1765" i="6"/>
  <c r="I1766" i="6"/>
  <c r="I1767" i="6"/>
  <c r="I1768" i="6"/>
  <c r="I1769" i="6"/>
  <c r="I1770" i="6"/>
  <c r="I1771" i="6"/>
  <c r="I1772" i="6"/>
  <c r="I1773" i="6"/>
  <c r="I1774" i="6"/>
  <c r="I1775" i="6"/>
  <c r="I1776" i="6"/>
  <c r="I1777" i="6"/>
  <c r="I1778" i="6"/>
  <c r="I1779" i="6"/>
  <c r="I1780" i="6"/>
  <c r="I1781" i="6"/>
  <c r="I1782" i="6"/>
  <c r="I1783" i="6"/>
  <c r="I1784" i="6"/>
  <c r="I1785" i="6"/>
  <c r="I1786" i="6"/>
  <c r="I1787" i="6"/>
  <c r="I1788" i="6"/>
  <c r="I1789" i="6"/>
  <c r="I1790" i="6"/>
  <c r="I1791" i="6"/>
  <c r="I1792" i="6"/>
  <c r="I1793" i="6"/>
  <c r="I1794" i="6"/>
  <c r="I1795" i="6"/>
  <c r="I1796" i="6"/>
  <c r="I1797" i="6"/>
  <c r="I1798" i="6"/>
  <c r="I1799" i="6"/>
  <c r="I1800" i="6"/>
  <c r="I1801" i="6"/>
  <c r="I1802" i="6"/>
  <c r="I1803" i="6"/>
  <c r="I1804" i="6"/>
  <c r="I1805" i="6"/>
  <c r="I1806" i="6"/>
  <c r="I1807" i="6"/>
  <c r="I1808" i="6"/>
  <c r="I1809" i="6"/>
  <c r="I1810" i="6"/>
  <c r="I1811" i="6"/>
  <c r="I1812" i="6"/>
  <c r="I1813" i="6"/>
  <c r="I1814" i="6"/>
  <c r="I1815" i="6"/>
  <c r="I1816" i="6"/>
  <c r="I1817" i="6"/>
  <c r="I1818" i="6"/>
  <c r="I1819" i="6"/>
  <c r="I1820" i="6"/>
  <c r="I1821" i="6"/>
  <c r="I1822" i="6"/>
  <c r="I1823" i="6"/>
  <c r="I1824" i="6"/>
  <c r="I1825" i="6"/>
  <c r="I1826" i="6"/>
  <c r="I1827" i="6"/>
  <c r="I1828" i="6"/>
  <c r="I1829" i="6"/>
  <c r="I1830" i="6"/>
  <c r="I1831" i="6"/>
  <c r="I1832" i="6"/>
  <c r="I1833" i="6"/>
  <c r="I1834" i="6"/>
  <c r="I1835" i="6"/>
  <c r="I1836" i="6"/>
  <c r="I1837" i="6"/>
  <c r="I1838" i="6"/>
  <c r="I1839" i="6"/>
  <c r="I1840" i="6"/>
  <c r="I1841" i="6"/>
  <c r="I1842" i="6"/>
  <c r="I1843" i="6"/>
  <c r="I1844" i="6"/>
  <c r="I1845" i="6"/>
  <c r="I1846" i="6"/>
  <c r="I1847" i="6"/>
  <c r="I1848" i="6"/>
  <c r="I1849" i="6"/>
  <c r="I1850" i="6"/>
  <c r="I1851" i="6"/>
  <c r="I1852" i="6"/>
  <c r="I1853" i="6"/>
  <c r="I1854" i="6"/>
  <c r="I1855" i="6"/>
  <c r="I1856" i="6"/>
  <c r="I1857" i="6"/>
  <c r="I1858" i="6"/>
  <c r="I1859" i="6"/>
  <c r="I1860" i="6"/>
  <c r="I1861" i="6"/>
  <c r="I1862" i="6"/>
  <c r="I1863" i="6"/>
  <c r="I1864" i="6"/>
  <c r="I1865" i="6"/>
  <c r="I1866" i="6"/>
  <c r="I1867" i="6"/>
  <c r="I1868" i="6"/>
  <c r="I1869" i="6"/>
  <c r="I1870" i="6"/>
  <c r="I1871" i="6"/>
  <c r="I1872" i="6"/>
  <c r="I1873" i="6"/>
  <c r="I1874" i="6"/>
  <c r="I1875" i="6"/>
  <c r="I1876" i="6"/>
  <c r="I1877" i="6"/>
  <c r="I1878" i="6"/>
  <c r="I1879" i="6"/>
  <c r="I1880" i="6"/>
  <c r="I1881" i="6"/>
  <c r="I1882" i="6"/>
  <c r="I1883" i="6"/>
  <c r="I1884" i="6"/>
  <c r="I1885" i="6"/>
  <c r="I1886" i="6"/>
  <c r="I1887" i="6"/>
  <c r="I1888" i="6"/>
  <c r="I1889" i="6"/>
  <c r="I1890" i="6"/>
  <c r="I1891" i="6"/>
  <c r="I1892" i="6"/>
  <c r="I1893" i="6"/>
  <c r="I1894" i="6"/>
  <c r="I1895" i="6"/>
  <c r="I1896" i="6"/>
  <c r="I1897" i="6"/>
  <c r="I1898" i="6"/>
  <c r="I1899" i="6"/>
  <c r="I1900" i="6"/>
  <c r="I1901" i="6"/>
  <c r="I1902" i="6"/>
  <c r="I1903" i="6"/>
  <c r="I1904" i="6"/>
  <c r="I1905" i="6"/>
  <c r="I1906" i="6"/>
  <c r="I1907" i="6"/>
  <c r="I1908" i="6"/>
  <c r="I1909" i="6"/>
  <c r="I1910" i="6"/>
  <c r="I1911" i="6"/>
  <c r="I1912" i="6"/>
  <c r="I1913" i="6"/>
  <c r="I1914" i="6"/>
  <c r="I1915" i="6"/>
  <c r="I1916" i="6"/>
  <c r="I1917" i="6"/>
  <c r="I1918" i="6"/>
  <c r="I1919" i="6"/>
  <c r="I1920" i="6"/>
  <c r="I1921" i="6"/>
  <c r="I1922" i="6"/>
  <c r="I1923" i="6"/>
  <c r="I1924" i="6"/>
  <c r="I1925" i="6"/>
  <c r="I1926" i="6"/>
  <c r="I1927" i="6"/>
  <c r="I1928" i="6"/>
  <c r="I1929" i="6"/>
  <c r="I1930" i="6"/>
  <c r="I1931" i="6"/>
  <c r="I1932" i="6"/>
  <c r="I1933" i="6"/>
  <c r="I1934" i="6"/>
  <c r="I1935" i="6"/>
  <c r="I1936" i="6"/>
  <c r="I1937" i="6"/>
  <c r="I1938" i="6"/>
  <c r="I1939" i="6"/>
  <c r="I1940" i="6"/>
  <c r="I1941" i="6"/>
  <c r="I1942" i="6"/>
  <c r="I1943" i="6"/>
  <c r="I1944" i="6"/>
  <c r="I1945" i="6"/>
  <c r="I1946" i="6"/>
  <c r="I1947" i="6"/>
  <c r="I1948" i="6"/>
  <c r="I1949" i="6"/>
  <c r="I1950" i="6"/>
  <c r="I1951" i="6"/>
  <c r="I1952" i="6"/>
  <c r="I1953" i="6"/>
  <c r="I1954" i="6"/>
  <c r="I1955" i="6"/>
  <c r="I1956" i="6"/>
  <c r="I1957" i="6"/>
  <c r="I1958" i="6"/>
  <c r="I1959" i="6"/>
  <c r="I1960" i="6"/>
  <c r="I1961" i="6"/>
  <c r="I1962" i="6"/>
  <c r="I1963" i="6"/>
  <c r="I1964" i="6"/>
  <c r="I1965" i="6"/>
  <c r="I1966" i="6"/>
  <c r="I1967" i="6"/>
  <c r="I1968" i="6"/>
  <c r="I1969" i="6"/>
  <c r="I1970" i="6"/>
  <c r="I1971" i="6"/>
  <c r="I1972" i="6"/>
  <c r="I1973" i="6"/>
  <c r="I1974" i="6"/>
  <c r="I1975" i="6"/>
  <c r="I1976" i="6"/>
  <c r="I1977" i="6"/>
  <c r="I1978" i="6"/>
  <c r="I1979" i="6"/>
  <c r="I1980" i="6"/>
  <c r="I1981" i="6"/>
  <c r="I1982" i="6"/>
  <c r="I1983" i="6"/>
  <c r="I1984" i="6"/>
  <c r="I1985" i="6"/>
  <c r="I1986" i="6"/>
  <c r="I1987" i="6"/>
  <c r="I1988" i="6"/>
  <c r="I1989" i="6"/>
  <c r="I1990" i="6"/>
  <c r="I1991" i="6"/>
  <c r="I1992" i="6"/>
  <c r="I1993" i="6"/>
  <c r="I1994" i="6"/>
  <c r="I1995" i="6"/>
  <c r="I1996" i="6"/>
  <c r="I1997" i="6"/>
  <c r="I1998" i="6"/>
  <c r="I1999" i="6"/>
  <c r="I2000" i="6"/>
  <c r="I2001" i="6"/>
  <c r="I2002" i="6"/>
  <c r="I2003" i="6"/>
  <c r="I2004" i="6"/>
  <c r="I2005" i="6"/>
  <c r="I2006" i="6"/>
  <c r="I2007" i="6"/>
  <c r="I2008" i="6"/>
  <c r="I2009" i="6"/>
  <c r="I2010" i="6"/>
  <c r="I2011" i="6"/>
  <c r="I2012" i="6"/>
  <c r="I2013" i="6"/>
  <c r="I2014" i="6"/>
  <c r="I2015" i="6"/>
  <c r="I2016" i="6"/>
  <c r="I2017" i="6"/>
  <c r="I2018" i="6"/>
  <c r="I2019" i="6"/>
  <c r="I2020" i="6"/>
  <c r="I2021" i="6"/>
  <c r="I2022" i="6"/>
  <c r="I2023" i="6"/>
  <c r="I2024" i="6"/>
  <c r="I2025" i="6"/>
  <c r="I2026" i="6"/>
  <c r="I2027" i="6"/>
  <c r="I2028" i="6"/>
  <c r="I2029" i="6"/>
  <c r="I2030" i="6"/>
  <c r="I2031" i="6"/>
  <c r="I2032" i="6"/>
  <c r="I2033" i="6"/>
  <c r="I2034" i="6"/>
  <c r="I2035" i="6"/>
  <c r="I2036" i="6"/>
  <c r="I2037" i="6"/>
  <c r="I2038" i="6"/>
  <c r="I2039" i="6"/>
  <c r="I2040" i="6"/>
  <c r="I2041" i="6"/>
  <c r="I2042" i="6"/>
  <c r="I2043" i="6"/>
  <c r="I2044" i="6"/>
  <c r="I2045" i="6"/>
  <c r="I2046" i="6"/>
  <c r="I2047" i="6"/>
  <c r="I2048" i="6"/>
  <c r="I2049" i="6"/>
  <c r="I2050" i="6"/>
  <c r="I2051" i="6"/>
  <c r="I2052" i="6"/>
  <c r="I2053" i="6"/>
  <c r="I2054" i="6"/>
  <c r="I2055" i="6"/>
  <c r="I2056" i="6"/>
  <c r="I2057" i="6"/>
  <c r="I2058" i="6"/>
  <c r="I2059" i="6"/>
  <c r="I2060" i="6"/>
  <c r="I2061" i="6"/>
  <c r="I2062" i="6"/>
  <c r="I2063" i="6"/>
  <c r="I2064" i="6"/>
  <c r="I2065" i="6"/>
  <c r="I2066" i="6"/>
  <c r="I2067" i="6"/>
  <c r="I2068" i="6"/>
  <c r="I2069" i="6"/>
  <c r="I2070" i="6"/>
  <c r="I2071" i="6"/>
  <c r="I2072" i="6"/>
  <c r="I2073" i="6"/>
  <c r="I2074" i="6"/>
  <c r="I2075" i="6"/>
  <c r="I2076" i="6"/>
  <c r="I2077" i="6"/>
  <c r="I2078" i="6"/>
  <c r="I2079" i="6"/>
  <c r="I2080" i="6"/>
  <c r="I2081" i="6"/>
  <c r="I2082" i="6"/>
  <c r="I2083" i="6"/>
  <c r="I2084" i="6"/>
  <c r="I2085" i="6"/>
  <c r="I2086" i="6"/>
  <c r="I2087" i="6"/>
  <c r="I2088" i="6"/>
  <c r="I2089" i="6"/>
  <c r="I2090" i="6"/>
  <c r="I2091" i="6"/>
  <c r="I2092" i="6"/>
  <c r="I2093" i="6"/>
  <c r="I2094" i="6"/>
  <c r="I2095" i="6"/>
  <c r="I2096" i="6"/>
  <c r="I2097" i="6"/>
  <c r="I2098" i="6"/>
  <c r="I2099" i="6"/>
  <c r="I2100" i="6"/>
  <c r="I2101" i="6"/>
  <c r="I2102" i="6"/>
  <c r="I2103" i="6"/>
  <c r="I2104" i="6"/>
  <c r="I2105" i="6"/>
  <c r="I2106" i="6"/>
  <c r="I2107" i="6"/>
  <c r="I2108" i="6"/>
  <c r="I2109" i="6"/>
  <c r="I2110" i="6"/>
  <c r="I2111" i="6"/>
  <c r="I2112" i="6"/>
  <c r="I2113" i="6"/>
  <c r="I2114" i="6"/>
  <c r="I2115" i="6"/>
  <c r="I2116" i="6"/>
  <c r="I2117" i="6"/>
  <c r="I2118" i="6"/>
  <c r="I2119" i="6"/>
  <c r="I2120" i="6"/>
  <c r="I2121" i="6"/>
  <c r="I2122" i="6"/>
  <c r="I2123" i="6"/>
  <c r="I2124" i="6"/>
  <c r="I2125" i="6"/>
  <c r="I2126" i="6"/>
  <c r="I2127" i="6"/>
  <c r="I2128" i="6"/>
  <c r="I2129" i="6"/>
  <c r="I2130" i="6"/>
  <c r="I2131" i="6"/>
  <c r="I2132" i="6"/>
  <c r="I2133" i="6"/>
  <c r="I2134" i="6"/>
  <c r="I2135" i="6"/>
  <c r="I2136" i="6"/>
  <c r="I2137" i="6"/>
  <c r="I2138" i="6"/>
  <c r="I2139" i="6"/>
  <c r="I2140" i="6"/>
  <c r="I2141" i="6"/>
  <c r="I2142" i="6"/>
  <c r="I2143" i="6"/>
  <c r="I2144" i="6"/>
  <c r="I2145" i="6"/>
  <c r="I2146" i="6"/>
  <c r="I2147" i="6"/>
  <c r="I2148" i="6"/>
  <c r="I2149" i="6"/>
  <c r="I2150" i="6"/>
  <c r="I2151" i="6"/>
  <c r="I2152" i="6"/>
  <c r="I2153" i="6"/>
  <c r="I2154" i="6"/>
  <c r="I2155" i="6"/>
  <c r="I2156" i="6"/>
  <c r="I2157" i="6"/>
  <c r="I2158" i="6"/>
  <c r="I2159" i="6"/>
  <c r="I2160" i="6"/>
  <c r="I2161" i="6"/>
  <c r="I2162" i="6"/>
  <c r="I2163" i="6"/>
  <c r="I2164" i="6"/>
  <c r="I2165" i="6"/>
  <c r="I2166" i="6"/>
  <c r="I2167" i="6"/>
  <c r="I2168" i="6"/>
  <c r="I2169" i="6"/>
  <c r="I2170" i="6"/>
  <c r="H2" i="1" a="1"/>
  <c r="H2" i="1" s="1"/>
  <c r="H3" i="1" a="1"/>
  <c r="H3" i="1"/>
  <c r="H4" i="1" a="1"/>
  <c r="H4" i="1" s="1"/>
  <c r="H5" i="1" a="1"/>
  <c r="H5" i="1"/>
  <c r="H6" i="1" a="1"/>
  <c r="H6" i="1"/>
  <c r="H7" i="1" a="1"/>
  <c r="H7" i="1"/>
  <c r="H8" i="1" a="1"/>
  <c r="H8" i="1"/>
  <c r="H9" i="1" a="1"/>
  <c r="H9" i="1"/>
  <c r="H10" i="1" a="1"/>
  <c r="H10" i="1"/>
  <c r="H11" i="1" a="1"/>
  <c r="H11" i="1"/>
  <c r="H12" i="1" a="1"/>
  <c r="H12" i="1"/>
  <c r="H13" i="1" a="1"/>
  <c r="H13" i="1"/>
  <c r="H14" i="1" a="1"/>
  <c r="H14" i="1"/>
  <c r="H15" i="1" a="1"/>
  <c r="H15" i="1" s="1"/>
  <c r="H16" i="1" a="1"/>
  <c r="H16" i="1"/>
  <c r="H17" i="1" a="1"/>
  <c r="H17" i="1"/>
  <c r="H18" i="1" a="1"/>
  <c r="H18" i="1"/>
  <c r="H19" i="1" a="1"/>
  <c r="H19" i="1"/>
  <c r="H20" i="1" a="1"/>
  <c r="H20" i="1"/>
  <c r="H21" i="1" a="1"/>
  <c r="H21" i="1"/>
  <c r="H22" i="1" a="1"/>
  <c r="H22" i="1"/>
  <c r="H23" i="1" a="1"/>
  <c r="H23" i="1"/>
  <c r="H24" i="1" a="1"/>
  <c r="H24" i="1"/>
  <c r="H25" i="1" a="1"/>
  <c r="H25" i="1"/>
  <c r="H26" i="1" a="1"/>
  <c r="H26" i="1" s="1"/>
  <c r="H27" i="1" a="1"/>
  <c r="H27" i="1"/>
  <c r="H28" i="1" a="1"/>
  <c r="H28" i="1"/>
  <c r="H29" i="1" a="1"/>
  <c r="H29" i="1"/>
  <c r="H30" i="1" a="1"/>
  <c r="H30" i="1"/>
  <c r="H31" i="1" a="1"/>
  <c r="H31" i="1"/>
  <c r="H32" i="1" a="1"/>
  <c r="H32" i="1"/>
  <c r="H33" i="1" a="1"/>
  <c r="H33" i="1"/>
  <c r="H34" i="1" a="1"/>
  <c r="H34" i="1"/>
  <c r="H35" i="1" a="1"/>
  <c r="H35" i="1"/>
  <c r="H36" i="1" a="1"/>
  <c r="H36" i="1"/>
  <c r="H37" i="1" a="1"/>
  <c r="H37" i="1" s="1"/>
  <c r="H38" i="1" a="1"/>
  <c r="H38" i="1"/>
  <c r="H39" i="1" a="1"/>
  <c r="H39" i="1"/>
  <c r="H40" i="1" a="1"/>
  <c r="H40" i="1"/>
  <c r="H41" i="1" a="1"/>
  <c r="H41" i="1"/>
  <c r="H42" i="1" a="1"/>
  <c r="H42" i="1"/>
  <c r="H43" i="1" a="1"/>
  <c r="H43" i="1"/>
  <c r="H44" i="1" a="1"/>
  <c r="H44" i="1"/>
  <c r="H45" i="1" a="1"/>
  <c r="H45" i="1"/>
  <c r="H46" i="1" a="1"/>
  <c r="H46" i="1"/>
  <c r="H47" i="1" a="1"/>
  <c r="H47" i="1"/>
  <c r="H48" i="1" a="1"/>
  <c r="H48" i="1" s="1"/>
  <c r="H49" i="1" a="1"/>
  <c r="H49" i="1"/>
  <c r="H50" i="1" a="1"/>
  <c r="H50" i="1"/>
  <c r="H51" i="1" a="1"/>
  <c r="H51" i="1"/>
  <c r="H52" i="1" a="1"/>
  <c r="H52" i="1"/>
  <c r="H53" i="1" a="1"/>
  <c r="H53" i="1"/>
  <c r="H54" i="1" a="1"/>
  <c r="H54" i="1"/>
  <c r="H55" i="1" a="1"/>
  <c r="H55" i="1"/>
  <c r="H56" i="1" a="1"/>
  <c r="H56" i="1"/>
  <c r="H57" i="1" a="1"/>
  <c r="H57" i="1"/>
  <c r="H58" i="1" a="1"/>
  <c r="H58" i="1"/>
  <c r="H59" i="1" a="1"/>
  <c r="H59" i="1" s="1"/>
  <c r="H60" i="1" a="1"/>
  <c r="H60" i="1"/>
  <c r="H61" i="1" a="1"/>
  <c r="H61" i="1"/>
  <c r="H62" i="1" a="1"/>
  <c r="H62" i="1"/>
  <c r="H63" i="1" a="1"/>
  <c r="H63" i="1"/>
  <c r="H64" i="1" a="1"/>
  <c r="H64" i="1"/>
  <c r="H65" i="1" a="1"/>
  <c r="H65" i="1"/>
  <c r="H66" i="1" a="1"/>
  <c r="H66" i="1"/>
  <c r="H67" i="1" a="1"/>
  <c r="H67" i="1"/>
  <c r="H68" i="1" a="1"/>
  <c r="H68" i="1"/>
  <c r="H69" i="1" a="1"/>
  <c r="H69" i="1"/>
  <c r="H70" i="1" a="1"/>
  <c r="H70" i="1" s="1"/>
  <c r="H71" i="1" a="1"/>
  <c r="H71" i="1"/>
  <c r="H72" i="1" a="1"/>
  <c r="H72" i="1"/>
  <c r="H73" i="1" a="1"/>
  <c r="H73" i="1"/>
  <c r="H74" i="1" a="1"/>
  <c r="H74" i="1"/>
  <c r="H75" i="1" a="1"/>
  <c r="H75" i="1"/>
  <c r="H76" i="1" a="1"/>
  <c r="H76" i="1"/>
  <c r="H77" i="1" a="1"/>
  <c r="H77" i="1"/>
  <c r="H78" i="1" a="1"/>
  <c r="H78" i="1"/>
  <c r="H79" i="1" a="1"/>
  <c r="H79" i="1"/>
  <c r="H80" i="1" a="1"/>
  <c r="H80" i="1"/>
  <c r="H81" i="1" a="1"/>
  <c r="H81" i="1" s="1"/>
  <c r="H82" i="1" a="1"/>
  <c r="H82" i="1"/>
  <c r="H83" i="1" a="1"/>
  <c r="H83" i="1"/>
  <c r="H84" i="1" a="1"/>
  <c r="H84" i="1"/>
  <c r="H85" i="1" a="1"/>
  <c r="H85" i="1"/>
  <c r="H86" i="1" a="1"/>
  <c r="H86" i="1"/>
  <c r="H87" i="1" a="1"/>
  <c r="H87" i="1"/>
  <c r="H88" i="1" a="1"/>
  <c r="H88" i="1"/>
  <c r="H89" i="1" a="1"/>
  <c r="H89" i="1"/>
  <c r="H90" i="1" a="1"/>
  <c r="H90" i="1"/>
  <c r="H91" i="1" a="1"/>
  <c r="H91" i="1"/>
  <c r="H92" i="1" a="1"/>
  <c r="H92" i="1" s="1"/>
  <c r="H93" i="1" a="1"/>
  <c r="H93" i="1"/>
  <c r="H94" i="1" a="1"/>
  <c r="H94" i="1"/>
  <c r="H95" i="1" a="1"/>
  <c r="H95" i="1"/>
  <c r="H96" i="1" a="1"/>
  <c r="H96" i="1"/>
  <c r="H97" i="1" a="1"/>
  <c r="H97" i="1"/>
  <c r="H98" i="1" a="1"/>
  <c r="H98" i="1"/>
  <c r="H99" i="1" a="1"/>
  <c r="H99" i="1"/>
  <c r="H100" i="1" a="1"/>
  <c r="H100" i="1"/>
  <c r="H101" i="1" a="1"/>
  <c r="H101" i="1"/>
  <c r="H102" i="1" a="1"/>
  <c r="H102" i="1"/>
  <c r="H103" i="1" a="1"/>
  <c r="H103" i="1" s="1"/>
  <c r="H104" i="1" a="1"/>
  <c r="H104" i="1"/>
  <c r="H105" i="1" a="1"/>
  <c r="H105" i="1"/>
  <c r="H106" i="1" a="1"/>
  <c r="H106" i="1"/>
  <c r="H107" i="1" a="1"/>
  <c r="H107" i="1"/>
  <c r="H108" i="1" a="1"/>
  <c r="H108" i="1"/>
  <c r="H109" i="1" a="1"/>
  <c r="H109" i="1"/>
  <c r="H110" i="1" a="1"/>
  <c r="H110" i="1"/>
  <c r="H111" i="1" a="1"/>
  <c r="H111" i="1"/>
  <c r="H112" i="1" a="1"/>
  <c r="H112" i="1"/>
  <c r="H113" i="1" a="1"/>
  <c r="H113" i="1"/>
  <c r="H114" i="1" a="1"/>
  <c r="H114" i="1" s="1"/>
  <c r="H115" i="1" a="1"/>
  <c r="H115" i="1"/>
  <c r="H116" i="1" a="1"/>
  <c r="H116" i="1"/>
  <c r="H117" i="1" a="1"/>
  <c r="H117" i="1"/>
  <c r="H118" i="1" a="1"/>
  <c r="H118" i="1"/>
  <c r="H119" i="1" a="1"/>
  <c r="H119" i="1"/>
  <c r="H120" i="1" a="1"/>
  <c r="H120" i="1"/>
  <c r="H121" i="1" a="1"/>
  <c r="H121" i="1"/>
  <c r="H122" i="1" a="1"/>
  <c r="H122" i="1"/>
  <c r="H123" i="1" a="1"/>
  <c r="H123" i="1"/>
  <c r="H124" i="1" a="1"/>
  <c r="H124" i="1"/>
  <c r="H125" i="1" a="1"/>
  <c r="H125" i="1" s="1"/>
  <c r="H126" i="1" a="1"/>
  <c r="H126" i="1"/>
  <c r="H127" i="1" a="1"/>
  <c r="H127" i="1"/>
  <c r="H128" i="1" a="1"/>
  <c r="H128" i="1"/>
  <c r="H129" i="1" a="1"/>
  <c r="H129" i="1"/>
  <c r="H130" i="1" a="1"/>
  <c r="H130" i="1"/>
  <c r="H131" i="1" a="1"/>
  <c r="H131" i="1"/>
  <c r="H132" i="1" a="1"/>
  <c r="H132" i="1"/>
  <c r="H133" i="1" a="1"/>
  <c r="H133" i="1"/>
  <c r="H134" i="1" a="1"/>
  <c r="H134" i="1"/>
  <c r="H135" i="1" a="1"/>
  <c r="H135" i="1"/>
  <c r="H136" i="1" a="1"/>
  <c r="H136" i="1" s="1"/>
  <c r="H137" i="1" a="1"/>
  <c r="H137" i="1"/>
  <c r="H138" i="1" a="1"/>
  <c r="H138" i="1"/>
  <c r="H139" i="1" a="1"/>
  <c r="H139" i="1"/>
  <c r="H140" i="1" a="1"/>
  <c r="H140" i="1"/>
  <c r="H141" i="1" a="1"/>
  <c r="H141" i="1"/>
  <c r="H142" i="1" a="1"/>
  <c r="H142" i="1"/>
  <c r="H143" i="1" a="1"/>
  <c r="H143" i="1"/>
  <c r="H144" i="1" a="1"/>
  <c r="H144" i="1"/>
  <c r="H145" i="1" a="1"/>
  <c r="H145" i="1"/>
  <c r="H146" i="1" a="1"/>
  <c r="H146" i="1"/>
  <c r="H147" i="1" a="1"/>
  <c r="H147" i="1" s="1"/>
  <c r="H148" i="1" a="1"/>
  <c r="H148" i="1"/>
  <c r="H149" i="1" a="1"/>
  <c r="H149" i="1"/>
  <c r="H150" i="1" a="1"/>
  <c r="H150" i="1"/>
  <c r="H151" i="1" a="1"/>
  <c r="H151" i="1"/>
  <c r="H152" i="1" a="1"/>
  <c r="H152" i="1"/>
  <c r="H153" i="1" a="1"/>
  <c r="H153" i="1"/>
  <c r="H154" i="1" a="1"/>
  <c r="H154" i="1"/>
  <c r="H155" i="1" a="1"/>
  <c r="H155" i="1"/>
  <c r="H156" i="1" a="1"/>
  <c r="H156" i="1"/>
  <c r="H157" i="1" a="1"/>
  <c r="H157" i="1"/>
  <c r="H158" i="1" a="1"/>
  <c r="H158" i="1" s="1"/>
  <c r="H159" i="1" a="1"/>
  <c r="H159" i="1"/>
  <c r="H160" i="1" a="1"/>
  <c r="H160" i="1"/>
  <c r="H161" i="1" a="1"/>
  <c r="H161" i="1"/>
  <c r="H162" i="1" a="1"/>
  <c r="H162" i="1"/>
  <c r="H163" i="1" a="1"/>
  <c r="H163" i="1"/>
  <c r="H164" i="1" a="1"/>
  <c r="H164" i="1"/>
  <c r="H165" i="1" a="1"/>
  <c r="H165" i="1"/>
  <c r="H166" i="1" a="1"/>
  <c r="H166" i="1"/>
  <c r="H167" i="1" a="1"/>
  <c r="H167" i="1"/>
  <c r="H168" i="1" a="1"/>
  <c r="H168" i="1"/>
  <c r="H169" i="1" a="1"/>
  <c r="H169" i="1" s="1"/>
  <c r="H170" i="1" a="1"/>
  <c r="H170" i="1"/>
  <c r="H171" i="1" a="1"/>
  <c r="H171" i="1"/>
  <c r="H172" i="1" a="1"/>
  <c r="H172" i="1"/>
  <c r="H173" i="1" a="1"/>
  <c r="H173" i="1"/>
  <c r="H174" i="1" a="1"/>
  <c r="H174" i="1"/>
  <c r="H175" i="1" a="1"/>
  <c r="H175" i="1"/>
  <c r="H176" i="1" a="1"/>
  <c r="H176" i="1"/>
  <c r="H177" i="1" a="1"/>
  <c r="H177" i="1"/>
  <c r="H178" i="1" a="1"/>
  <c r="H178" i="1"/>
  <c r="H179" i="1" a="1"/>
  <c r="H179" i="1"/>
  <c r="H180" i="1" a="1"/>
  <c r="H180" i="1" s="1"/>
  <c r="H181" i="1" a="1"/>
  <c r="H181" i="1"/>
  <c r="H182" i="1" a="1"/>
  <c r="H182" i="1"/>
  <c r="H183" i="1" a="1"/>
  <c r="H183" i="1"/>
  <c r="H184" i="1" a="1"/>
  <c r="H184" i="1"/>
  <c r="H185" i="1" a="1"/>
  <c r="H185" i="1"/>
  <c r="H186" i="1" a="1"/>
  <c r="H186" i="1"/>
  <c r="H187" i="1" a="1"/>
  <c r="H187" i="1"/>
  <c r="H188" i="1" a="1"/>
  <c r="H188" i="1"/>
  <c r="H189" i="1" a="1"/>
  <c r="H189" i="1"/>
  <c r="H190" i="1" a="1"/>
  <c r="H190" i="1"/>
  <c r="H191" i="1" a="1"/>
  <c r="H191" i="1" s="1"/>
  <c r="H192" i="1" a="1"/>
  <c r="H192" i="1"/>
  <c r="H193" i="1" a="1"/>
  <c r="H193" i="1"/>
  <c r="H194" i="1" a="1"/>
  <c r="H194" i="1"/>
  <c r="H195" i="1" a="1"/>
  <c r="H195" i="1"/>
  <c r="H196" i="1" a="1"/>
  <c r="H196" i="1"/>
  <c r="H197" i="1" a="1"/>
  <c r="H197" i="1"/>
  <c r="H198" i="1" a="1"/>
  <c r="H198" i="1"/>
  <c r="H199" i="1" a="1"/>
  <c r="H199" i="1"/>
  <c r="H200" i="1" a="1"/>
  <c r="H200" i="1"/>
  <c r="H201" i="1" a="1"/>
  <c r="H201" i="1"/>
  <c r="H202" i="1" a="1"/>
  <c r="H202" i="1" s="1"/>
  <c r="H203" i="1" a="1"/>
  <c r="H203" i="1"/>
  <c r="H204" i="1" a="1"/>
  <c r="H204" i="1"/>
  <c r="H205" i="1" a="1"/>
  <c r="H205" i="1"/>
  <c r="H206" i="1" a="1"/>
  <c r="H206" i="1"/>
  <c r="H207" i="1" a="1"/>
  <c r="H207" i="1"/>
  <c r="H208" i="1" a="1"/>
  <c r="H208" i="1"/>
  <c r="H209" i="1" a="1"/>
  <c r="H209" i="1"/>
  <c r="H210" i="1" a="1"/>
  <c r="H210" i="1"/>
  <c r="H211" i="1" a="1"/>
  <c r="H211" i="1"/>
  <c r="H212" i="1" a="1"/>
  <c r="H212" i="1"/>
  <c r="H213" i="1" a="1"/>
  <c r="H213" i="1" s="1"/>
  <c r="H214" i="1" a="1"/>
  <c r="H214" i="1"/>
  <c r="H215" i="1" a="1"/>
  <c r="H215" i="1"/>
  <c r="H216" i="1" a="1"/>
  <c r="H216" i="1"/>
  <c r="H217" i="1" a="1"/>
  <c r="H217" i="1"/>
  <c r="H218" i="1" a="1"/>
  <c r="H218" i="1"/>
  <c r="H219" i="1" a="1"/>
  <c r="H219" i="1"/>
  <c r="H220" i="1" a="1"/>
  <c r="H220" i="1"/>
  <c r="H221" i="1" a="1"/>
  <c r="H221" i="1"/>
  <c r="H222" i="1" a="1"/>
  <c r="H222" i="1"/>
  <c r="H223" i="1" a="1"/>
  <c r="H223" i="1"/>
  <c r="H224" i="1" a="1"/>
  <c r="H224" i="1" s="1"/>
  <c r="H225" i="1" a="1"/>
  <c r="H225" i="1"/>
  <c r="H226" i="1" a="1"/>
  <c r="H226" i="1"/>
  <c r="H227" i="1" a="1"/>
  <c r="H227" i="1"/>
  <c r="H228" i="1" a="1"/>
  <c r="H228" i="1"/>
  <c r="H229" i="1" a="1"/>
  <c r="H229" i="1"/>
  <c r="H230" i="1" a="1"/>
  <c r="H230" i="1"/>
  <c r="H231" i="1" a="1"/>
  <c r="H231" i="1"/>
  <c r="H232" i="1" a="1"/>
  <c r="H232" i="1"/>
  <c r="H233" i="1" a="1"/>
  <c r="H233" i="1"/>
  <c r="H234" i="1" a="1"/>
  <c r="H234" i="1"/>
  <c r="H235" i="1" a="1"/>
  <c r="H235" i="1" s="1"/>
  <c r="H236" i="1" a="1"/>
  <c r="H236" i="1"/>
  <c r="H237" i="1" a="1"/>
  <c r="H237" i="1"/>
  <c r="H238" i="1" a="1"/>
  <c r="H238" i="1"/>
  <c r="H239" i="1" a="1"/>
  <c r="H239" i="1"/>
  <c r="H240" i="1" a="1"/>
  <c r="H240" i="1"/>
  <c r="H241" i="1" a="1"/>
  <c r="H241" i="1"/>
  <c r="H242" i="1" a="1"/>
  <c r="H242" i="1"/>
  <c r="H243" i="1" a="1"/>
  <c r="H243" i="1"/>
  <c r="H244" i="1" a="1"/>
  <c r="H244" i="1"/>
  <c r="H245" i="1" a="1"/>
  <c r="H245" i="1"/>
  <c r="H246" i="1" a="1"/>
  <c r="H246" i="1" s="1"/>
  <c r="H247" i="1" a="1"/>
  <c r="H247" i="1"/>
  <c r="H248" i="1" a="1"/>
  <c r="H248" i="1"/>
  <c r="H249" i="1" a="1"/>
  <c r="H249" i="1"/>
  <c r="H250" i="1" a="1"/>
  <c r="H250" i="1"/>
  <c r="H251" i="1" a="1"/>
  <c r="H251" i="1"/>
  <c r="H252" i="1" a="1"/>
  <c r="H252" i="1"/>
  <c r="H253" i="1" a="1"/>
  <c r="H253" i="1"/>
  <c r="H254" i="1" a="1"/>
  <c r="H254" i="1"/>
  <c r="H255" i="1" a="1"/>
  <c r="H255" i="1"/>
  <c r="H256" i="1" a="1"/>
  <c r="H256" i="1"/>
  <c r="H257" i="1" a="1"/>
  <c r="H257" i="1" s="1"/>
  <c r="H258" i="1" a="1"/>
  <c r="H258" i="1"/>
  <c r="H259" i="1" a="1"/>
  <c r="H259" i="1"/>
  <c r="H260" i="1" a="1"/>
  <c r="H260" i="1"/>
  <c r="H261" i="1" a="1"/>
  <c r="H261" i="1"/>
  <c r="H262" i="1" a="1"/>
  <c r="H262" i="1"/>
  <c r="H263" i="1" a="1"/>
  <c r="H263" i="1"/>
  <c r="H264" i="1" a="1"/>
  <c r="H264" i="1"/>
  <c r="H265" i="1" a="1"/>
  <c r="H265" i="1"/>
  <c r="H266" i="1" a="1"/>
  <c r="H266" i="1"/>
  <c r="H267" i="1" a="1"/>
  <c r="H267" i="1"/>
  <c r="H268" i="1" a="1"/>
  <c r="H268" i="1" s="1"/>
  <c r="H269" i="1" a="1"/>
  <c r="H269" i="1"/>
  <c r="H270" i="1" a="1"/>
  <c r="H270" i="1"/>
  <c r="H271" i="1" a="1"/>
  <c r="H271" i="1"/>
  <c r="H272" i="1" a="1"/>
  <c r="H272" i="1"/>
  <c r="H273" i="1" a="1"/>
  <c r="H273" i="1"/>
  <c r="H274" i="1" a="1"/>
  <c r="H274" i="1"/>
  <c r="H275" i="1" a="1"/>
  <c r="H275" i="1"/>
  <c r="H276" i="1" a="1"/>
  <c r="H276" i="1"/>
  <c r="H277" i="1" a="1"/>
  <c r="H277" i="1"/>
  <c r="H278" i="1" a="1"/>
  <c r="H278" i="1"/>
  <c r="H279" i="1" a="1"/>
  <c r="H279" i="1" s="1"/>
  <c r="H280" i="1" a="1"/>
  <c r="H280" i="1"/>
  <c r="H281" i="1" a="1"/>
  <c r="H281" i="1"/>
  <c r="H282" i="1" a="1"/>
  <c r="H282" i="1"/>
  <c r="H283" i="1" a="1"/>
  <c r="H283" i="1"/>
  <c r="H284" i="1" a="1"/>
  <c r="H284" i="1"/>
  <c r="H285" i="1" a="1"/>
  <c r="H285" i="1"/>
  <c r="H286" i="1" a="1"/>
  <c r="H286" i="1"/>
  <c r="H287" i="1" a="1"/>
  <c r="H287" i="1"/>
  <c r="H288" i="1" a="1"/>
  <c r="H288" i="1"/>
  <c r="H289" i="1" a="1"/>
  <c r="H289" i="1"/>
  <c r="H290" i="1" a="1"/>
  <c r="H290" i="1" s="1"/>
  <c r="H291" i="1" a="1"/>
  <c r="H291" i="1"/>
  <c r="H292" i="1" a="1"/>
  <c r="H292" i="1"/>
  <c r="H293" i="1" a="1"/>
  <c r="H293" i="1"/>
  <c r="H294" i="1" a="1"/>
  <c r="H294" i="1"/>
  <c r="H295" i="1" a="1"/>
  <c r="H295" i="1"/>
  <c r="H296" i="1" a="1"/>
  <c r="H296" i="1"/>
  <c r="H297" i="1" a="1"/>
  <c r="H297" i="1"/>
  <c r="H298" i="1" a="1"/>
  <c r="H298" i="1"/>
  <c r="H299" i="1" a="1"/>
  <c r="H299" i="1"/>
  <c r="H300" i="1" a="1"/>
  <c r="H300" i="1"/>
  <c r="H301" i="1" a="1"/>
  <c r="H301" i="1" s="1"/>
  <c r="H302" i="1" a="1"/>
  <c r="H302" i="1"/>
  <c r="H303" i="1" a="1"/>
  <c r="H303" i="1"/>
  <c r="H304" i="1" a="1"/>
  <c r="H304" i="1"/>
  <c r="H305" i="1" a="1"/>
  <c r="H305" i="1"/>
  <c r="H306" i="1" a="1"/>
  <c r="H306" i="1"/>
  <c r="H307" i="1" a="1"/>
  <c r="H307" i="1"/>
  <c r="H308" i="1" a="1"/>
  <c r="H308" i="1"/>
  <c r="H309" i="1" a="1"/>
  <c r="H309" i="1"/>
  <c r="H310" i="1" a="1"/>
  <c r="H310" i="1"/>
  <c r="H311" i="1" a="1"/>
  <c r="H311" i="1"/>
  <c r="H312" i="1" a="1"/>
  <c r="H312" i="1" s="1"/>
  <c r="H313" i="1" a="1"/>
  <c r="H313" i="1"/>
  <c r="H314" i="1" a="1"/>
  <c r="H314" i="1"/>
  <c r="H315" i="1" a="1"/>
  <c r="H315" i="1"/>
  <c r="H316" i="1" a="1"/>
  <c r="H316" i="1"/>
  <c r="H317" i="1" a="1"/>
  <c r="H317" i="1"/>
  <c r="H318" i="1" a="1"/>
  <c r="H318" i="1"/>
  <c r="H319" i="1" a="1"/>
  <c r="H319" i="1"/>
  <c r="H320" i="1" a="1"/>
  <c r="H320" i="1"/>
  <c r="H321" i="1" a="1"/>
  <c r="H321" i="1"/>
  <c r="H322" i="1" a="1"/>
  <c r="H322" i="1"/>
  <c r="H323" i="1" a="1"/>
  <c r="H323" i="1" s="1"/>
  <c r="H324" i="1" a="1"/>
  <c r="H324" i="1"/>
  <c r="H325" i="1" a="1"/>
  <c r="H325" i="1"/>
  <c r="H326" i="1" a="1"/>
  <c r="H326" i="1"/>
  <c r="H327" i="1" a="1"/>
  <c r="H327" i="1"/>
  <c r="H328" i="1" a="1"/>
  <c r="H328" i="1"/>
  <c r="H329" i="1" a="1"/>
  <c r="H329" i="1"/>
  <c r="H330" i="1" a="1"/>
  <c r="H330" i="1"/>
  <c r="H331" i="1" a="1"/>
  <c r="H331" i="1"/>
  <c r="H332" i="1" a="1"/>
  <c r="H332" i="1"/>
  <c r="H333" i="1" a="1"/>
  <c r="H333" i="1"/>
  <c r="H334" i="1" a="1"/>
  <c r="H334" i="1" s="1"/>
  <c r="H335" i="1" a="1"/>
  <c r="H335" i="1"/>
  <c r="H336" i="1" a="1"/>
  <c r="H336" i="1"/>
  <c r="H337" i="1" a="1"/>
  <c r="H337" i="1"/>
  <c r="H338" i="1" a="1"/>
  <c r="H338" i="1"/>
  <c r="H339" i="1" a="1"/>
  <c r="H339" i="1"/>
  <c r="H340" i="1" a="1"/>
  <c r="H340" i="1"/>
  <c r="H341" i="1" a="1"/>
  <c r="H341" i="1"/>
  <c r="H342" i="1" a="1"/>
  <c r="H342" i="1"/>
  <c r="H343" i="1" a="1"/>
  <c r="H343" i="1"/>
  <c r="H344" i="1" a="1"/>
  <c r="H344" i="1"/>
  <c r="H345" i="1" a="1"/>
  <c r="H345" i="1" s="1"/>
  <c r="H346" i="1" a="1"/>
  <c r="H346" i="1"/>
  <c r="H347" i="1" a="1"/>
  <c r="H347" i="1"/>
  <c r="H348" i="1" a="1"/>
  <c r="H348" i="1"/>
  <c r="H349" i="1" a="1"/>
  <c r="H349" i="1"/>
  <c r="H350" i="1" a="1"/>
  <c r="H350" i="1"/>
  <c r="H351" i="1" a="1"/>
  <c r="H351" i="1"/>
  <c r="H352" i="1" a="1"/>
  <c r="H352" i="1"/>
  <c r="H353" i="1" a="1"/>
  <c r="H353" i="1"/>
  <c r="H354" i="1" a="1"/>
  <c r="H354" i="1"/>
  <c r="H355" i="1" a="1"/>
  <c r="H355" i="1"/>
  <c r="H356" i="1" a="1"/>
  <c r="H356" i="1" s="1"/>
  <c r="H357" i="1" a="1"/>
  <c r="H357" i="1"/>
  <c r="H358" i="1" a="1"/>
  <c r="H358" i="1"/>
  <c r="H359" i="1" a="1"/>
  <c r="H359" i="1"/>
  <c r="H360" i="1" a="1"/>
  <c r="H360" i="1"/>
  <c r="H361" i="1" a="1"/>
  <c r="H361" i="1"/>
  <c r="H362" i="1" a="1"/>
  <c r="H362" i="1"/>
  <c r="H363" i="1" a="1"/>
  <c r="H363" i="1"/>
  <c r="H364" i="1" a="1"/>
  <c r="H364" i="1"/>
  <c r="H365" i="1" a="1"/>
  <c r="H365" i="1"/>
  <c r="H366" i="1" a="1"/>
  <c r="H366" i="1"/>
  <c r="H367" i="1" a="1"/>
  <c r="H367" i="1" s="1"/>
  <c r="H368" i="1" a="1"/>
  <c r="H368" i="1"/>
  <c r="H369" i="1" a="1"/>
  <c r="H369" i="1"/>
  <c r="H370" i="1" a="1"/>
  <c r="H370" i="1"/>
  <c r="H371" i="1" a="1"/>
  <c r="H371" i="1"/>
  <c r="H372" i="1" a="1"/>
  <c r="H372" i="1"/>
  <c r="H373" i="1" a="1"/>
  <c r="H373" i="1"/>
  <c r="H374" i="1" a="1"/>
  <c r="H374" i="1"/>
  <c r="H375" i="1" a="1"/>
  <c r="H375" i="1"/>
  <c r="H376" i="1" a="1"/>
  <c r="H376" i="1"/>
  <c r="H377" i="1" a="1"/>
  <c r="H377" i="1"/>
  <c r="H378" i="1" a="1"/>
  <c r="H378" i="1" s="1"/>
  <c r="H379" i="1" a="1"/>
  <c r="H379" i="1"/>
  <c r="H380" i="1" a="1"/>
  <c r="H380" i="1"/>
  <c r="H381" i="1" a="1"/>
  <c r="H381" i="1"/>
  <c r="H382" i="1" a="1"/>
  <c r="H382" i="1"/>
  <c r="H383" i="1" a="1"/>
  <c r="H383" i="1"/>
  <c r="H384" i="1" a="1"/>
  <c r="H384" i="1"/>
  <c r="H385" i="1" a="1"/>
  <c r="H385" i="1"/>
  <c r="H386" i="1" a="1"/>
  <c r="H386" i="1"/>
  <c r="H387" i="1" a="1"/>
  <c r="H387" i="1"/>
  <c r="H388" i="1" a="1"/>
  <c r="H388" i="1"/>
  <c r="H389" i="1" a="1"/>
  <c r="H389" i="1" s="1"/>
  <c r="H390" i="1" a="1"/>
  <c r="H390" i="1"/>
  <c r="H391" i="1" a="1"/>
  <c r="H391" i="1"/>
  <c r="H392" i="1" a="1"/>
  <c r="H392" i="1"/>
  <c r="H393" i="1" a="1"/>
  <c r="H393" i="1"/>
  <c r="H394" i="1" a="1"/>
  <c r="H394" i="1"/>
  <c r="H395" i="1" a="1"/>
  <c r="H395" i="1"/>
  <c r="H396" i="1" a="1"/>
  <c r="H396" i="1"/>
  <c r="H397" i="1" a="1"/>
  <c r="H397" i="1"/>
  <c r="H398" i="1" a="1"/>
  <c r="H398" i="1"/>
  <c r="H399" i="1" a="1"/>
  <c r="H399" i="1"/>
  <c r="H400" i="1" a="1"/>
  <c r="H400" i="1" s="1"/>
  <c r="H401" i="1" a="1"/>
  <c r="H401" i="1"/>
  <c r="H402" i="1" a="1"/>
  <c r="H402" i="1"/>
  <c r="H403" i="1" a="1"/>
  <c r="H403" i="1"/>
  <c r="H404" i="1" a="1"/>
  <c r="H404" i="1"/>
  <c r="H405" i="1" a="1"/>
  <c r="H405" i="1"/>
  <c r="H406" i="1" a="1"/>
  <c r="H406" i="1"/>
  <c r="H407" i="1" a="1"/>
  <c r="H407" i="1"/>
  <c r="H408" i="1" a="1"/>
  <c r="H408" i="1"/>
  <c r="H409" i="1" a="1"/>
  <c r="H409" i="1"/>
  <c r="H410" i="1" a="1"/>
  <c r="H410" i="1"/>
  <c r="H411" i="1" a="1"/>
  <c r="H411" i="1" s="1"/>
  <c r="H412" i="1" a="1"/>
  <c r="H412" i="1"/>
  <c r="H413" i="1" a="1"/>
  <c r="H413" i="1"/>
  <c r="H414" i="1" a="1"/>
  <c r="H414" i="1"/>
  <c r="H415" i="1" a="1"/>
  <c r="H415" i="1"/>
  <c r="H416" i="1" a="1"/>
  <c r="H416" i="1"/>
  <c r="H417" i="1" a="1"/>
  <c r="H417" i="1"/>
  <c r="H418" i="1" a="1"/>
  <c r="H418" i="1"/>
  <c r="H419" i="1" a="1"/>
  <c r="H419" i="1"/>
  <c r="H420" i="1" a="1"/>
  <c r="H420" i="1"/>
  <c r="H421" i="1" a="1"/>
  <c r="H421" i="1"/>
  <c r="H422" i="1" a="1"/>
  <c r="H422" i="1" s="1"/>
  <c r="H423" i="1" a="1"/>
  <c r="H423" i="1"/>
  <c r="H424" i="1" a="1"/>
  <c r="H424" i="1"/>
  <c r="H425" i="1" a="1"/>
  <c r="H425" i="1"/>
  <c r="H426" i="1" a="1"/>
  <c r="H426" i="1"/>
  <c r="H427" i="1" a="1"/>
  <c r="H427" i="1"/>
  <c r="H428" i="1" a="1"/>
  <c r="H428" i="1"/>
  <c r="H429" i="1" a="1"/>
  <c r="H429" i="1"/>
  <c r="H430" i="1" a="1"/>
  <c r="H430" i="1"/>
  <c r="H431" i="1" a="1"/>
  <c r="H431" i="1"/>
  <c r="H432" i="1" a="1"/>
  <c r="H432" i="1"/>
  <c r="H433" i="1" a="1"/>
  <c r="H433" i="1" s="1"/>
  <c r="H434" i="1" a="1"/>
  <c r="H434" i="1"/>
  <c r="H435" i="1" a="1"/>
  <c r="H435" i="1"/>
  <c r="H436" i="1" a="1"/>
  <c r="H436" i="1"/>
  <c r="H437" i="1" a="1"/>
  <c r="H437" i="1"/>
  <c r="H438" i="1" a="1"/>
  <c r="H438" i="1"/>
  <c r="H439" i="1" a="1"/>
  <c r="H439" i="1"/>
  <c r="H440" i="1" a="1"/>
  <c r="H440" i="1"/>
  <c r="H441" i="1" a="1"/>
  <c r="H441" i="1"/>
  <c r="H442" i="1" a="1"/>
  <c r="H442" i="1"/>
  <c r="H443" i="1" a="1"/>
  <c r="H443" i="1"/>
  <c r="H444" i="1" a="1"/>
  <c r="H444" i="1" s="1"/>
  <c r="H445" i="1" a="1"/>
  <c r="H445" i="1"/>
  <c r="H446" i="1" a="1"/>
  <c r="H446" i="1"/>
  <c r="H447" i="1" a="1"/>
  <c r="H447" i="1"/>
  <c r="H448" i="1" a="1"/>
  <c r="H448" i="1"/>
  <c r="H449" i="1" a="1"/>
  <c r="H449" i="1"/>
  <c r="H450" i="1" a="1"/>
  <c r="H450" i="1"/>
  <c r="H451" i="1" a="1"/>
  <c r="H451" i="1"/>
  <c r="H452" i="1" a="1"/>
  <c r="H452" i="1"/>
  <c r="H453" i="1" a="1"/>
  <c r="H453" i="1"/>
  <c r="H454" i="1" a="1"/>
  <c r="H454" i="1"/>
  <c r="H455" i="1" a="1"/>
  <c r="H455" i="1" s="1"/>
  <c r="H456" i="1" a="1"/>
  <c r="H456" i="1"/>
  <c r="H457" i="1" a="1"/>
  <c r="H457" i="1"/>
  <c r="H458" i="1" a="1"/>
  <c r="H458" i="1"/>
  <c r="H459" i="1" a="1"/>
  <c r="H459" i="1"/>
  <c r="H460" i="1" a="1"/>
  <c r="H460" i="1"/>
  <c r="H461" i="1" a="1"/>
  <c r="H461" i="1"/>
  <c r="H462" i="1" a="1"/>
  <c r="H462" i="1"/>
  <c r="H463" i="1" a="1"/>
  <c r="H463" i="1"/>
  <c r="H464" i="1" a="1"/>
  <c r="H464" i="1"/>
  <c r="H465" i="1" a="1"/>
  <c r="H465" i="1"/>
  <c r="H466" i="1" a="1"/>
  <c r="H466" i="1" s="1"/>
  <c r="H467" i="1" a="1"/>
  <c r="H467" i="1"/>
  <c r="H468" i="1" a="1"/>
  <c r="H468" i="1"/>
  <c r="H469" i="1" a="1"/>
  <c r="H469" i="1"/>
  <c r="H470" i="1" a="1"/>
  <c r="H470" i="1"/>
  <c r="H471" i="1" a="1"/>
  <c r="H471" i="1"/>
  <c r="H472" i="1" a="1"/>
  <c r="H472" i="1"/>
  <c r="H473" i="1" a="1"/>
  <c r="H473" i="1"/>
  <c r="H474" i="1" a="1"/>
  <c r="H474" i="1"/>
  <c r="H475" i="1" a="1"/>
  <c r="H475" i="1"/>
  <c r="H476" i="1" a="1"/>
  <c r="H476" i="1"/>
  <c r="H477" i="1" a="1"/>
  <c r="H477" i="1" s="1"/>
  <c r="H478" i="1" a="1"/>
  <c r="H478" i="1"/>
  <c r="H479" i="1" a="1"/>
  <c r="H479" i="1"/>
  <c r="H480" i="1" a="1"/>
  <c r="H480" i="1"/>
  <c r="H481" i="1" a="1"/>
  <c r="H481" i="1"/>
  <c r="H482" i="1" a="1"/>
  <c r="H482" i="1"/>
  <c r="H483" i="1" a="1"/>
  <c r="H483" i="1"/>
  <c r="H484" i="1" a="1"/>
  <c r="H484" i="1"/>
  <c r="H485" i="1" a="1"/>
  <c r="H485" i="1"/>
  <c r="H486" i="1" a="1"/>
  <c r="H486" i="1"/>
  <c r="H487" i="1" a="1"/>
  <c r="H487" i="1"/>
  <c r="H488" i="1" a="1"/>
  <c r="H488" i="1" s="1"/>
  <c r="H489" i="1" a="1"/>
  <c r="H489" i="1"/>
  <c r="H490" i="1" a="1"/>
  <c r="H490" i="1"/>
  <c r="H491" i="1" a="1"/>
  <c r="H491" i="1"/>
  <c r="H492" i="1" a="1"/>
  <c r="H492" i="1"/>
  <c r="H493" i="1" a="1"/>
  <c r="H493" i="1"/>
  <c r="H494" i="1" a="1"/>
  <c r="H494" i="1"/>
  <c r="H495" i="1" a="1"/>
  <c r="H495" i="1"/>
  <c r="H496" i="1" a="1"/>
  <c r="H496" i="1"/>
  <c r="H497" i="1" a="1"/>
  <c r="H497" i="1"/>
  <c r="H498" i="1" a="1"/>
  <c r="H498" i="1"/>
  <c r="H499" i="1" a="1"/>
  <c r="H499" i="1" s="1"/>
  <c r="H500" i="1" a="1"/>
  <c r="H500" i="1"/>
  <c r="H501" i="1" a="1"/>
  <c r="H501" i="1"/>
  <c r="H502" i="1" a="1"/>
  <c r="H502" i="1"/>
  <c r="H503" i="1" a="1"/>
  <c r="H503" i="1"/>
  <c r="H504" i="1" a="1"/>
  <c r="H504" i="1"/>
  <c r="H505" i="1" a="1"/>
  <c r="H505" i="1"/>
  <c r="H506" i="1" a="1"/>
  <c r="H506" i="1"/>
  <c r="H507" i="1" a="1"/>
  <c r="H507" i="1"/>
  <c r="H508" i="1" a="1"/>
  <c r="H508" i="1"/>
  <c r="H509" i="1" a="1"/>
  <c r="H509" i="1"/>
  <c r="H510" i="1" a="1"/>
  <c r="H510" i="1" s="1"/>
  <c r="H511" i="1" a="1"/>
  <c r="H511" i="1"/>
  <c r="H512" i="1" a="1"/>
  <c r="H512" i="1"/>
  <c r="H513" i="1" a="1"/>
  <c r="H513" i="1"/>
  <c r="H514" i="1" a="1"/>
  <c r="H514" i="1"/>
  <c r="H515" i="1" a="1"/>
  <c r="H515" i="1"/>
  <c r="H516" i="1" a="1"/>
  <c r="H516" i="1"/>
  <c r="H517" i="1" a="1"/>
  <c r="H517" i="1"/>
  <c r="H518" i="1" a="1"/>
  <c r="H518" i="1"/>
  <c r="H519" i="1" a="1"/>
  <c r="H519" i="1"/>
  <c r="H520" i="1" a="1"/>
  <c r="H520" i="1"/>
  <c r="H521" i="1" a="1"/>
  <c r="H521" i="1" s="1"/>
  <c r="H522" i="1" a="1"/>
  <c r="H522" i="1"/>
  <c r="H523" i="1" a="1"/>
  <c r="H523" i="1"/>
  <c r="H524" i="1" a="1"/>
  <c r="H524" i="1"/>
  <c r="H525" i="1" a="1"/>
  <c r="H525" i="1"/>
  <c r="H526" i="1" a="1"/>
  <c r="H526" i="1"/>
  <c r="H527" i="1" a="1"/>
  <c r="H527" i="1"/>
  <c r="H528" i="1" a="1"/>
  <c r="H528" i="1"/>
  <c r="H529" i="1" a="1"/>
  <c r="H529" i="1"/>
  <c r="H530" i="1" a="1"/>
  <c r="H530" i="1"/>
  <c r="H531" i="1" a="1"/>
  <c r="H531" i="1"/>
  <c r="H532" i="1" a="1"/>
  <c r="H532" i="1" s="1"/>
  <c r="H533" i="1" a="1"/>
  <c r="H533" i="1"/>
  <c r="H534" i="1" a="1"/>
  <c r="H534" i="1"/>
  <c r="H535" i="1" a="1"/>
  <c r="H535" i="1"/>
  <c r="H536" i="1" a="1"/>
  <c r="H536" i="1"/>
  <c r="H537" i="1" a="1"/>
  <c r="H537" i="1"/>
  <c r="H538" i="1" a="1"/>
  <c r="H538" i="1"/>
  <c r="H539" i="1" a="1"/>
  <c r="H539" i="1"/>
  <c r="H540" i="1" a="1"/>
  <c r="H540" i="1"/>
  <c r="H541" i="1" a="1"/>
  <c r="H541" i="1"/>
  <c r="H542" i="1" a="1"/>
  <c r="H542" i="1"/>
  <c r="H543" i="1" a="1"/>
  <c r="H543" i="1" s="1"/>
  <c r="H544" i="1" a="1"/>
  <c r="H544" i="1"/>
  <c r="H545" i="1" a="1"/>
  <c r="H545" i="1"/>
  <c r="H546" i="1" a="1"/>
  <c r="H546" i="1"/>
  <c r="H547" i="1" a="1"/>
  <c r="H547" i="1"/>
  <c r="H548" i="1" a="1"/>
  <c r="H548" i="1"/>
  <c r="H549" i="1" a="1"/>
  <c r="H549" i="1"/>
  <c r="H550" i="1" a="1"/>
  <c r="H550" i="1"/>
  <c r="H551" i="1" a="1"/>
  <c r="H551" i="1"/>
  <c r="H552" i="1" a="1"/>
  <c r="H552" i="1"/>
  <c r="H553" i="1" a="1"/>
  <c r="H553" i="1"/>
  <c r="H554" i="1" a="1"/>
  <c r="H554" i="1" s="1"/>
  <c r="H555" i="1" a="1"/>
  <c r="H555" i="1"/>
  <c r="H556" i="1" a="1"/>
  <c r="H556" i="1"/>
  <c r="H557" i="1" a="1"/>
  <c r="H557" i="1"/>
  <c r="H558" i="1" a="1"/>
  <c r="H558" i="1"/>
  <c r="H559" i="1" a="1"/>
  <c r="H559" i="1"/>
  <c r="H560" i="1" a="1"/>
  <c r="H560" i="1"/>
  <c r="H561" i="1" a="1"/>
  <c r="H561" i="1"/>
  <c r="H562" i="1" a="1"/>
  <c r="H562" i="1"/>
  <c r="H563" i="1" a="1"/>
  <c r="H563" i="1"/>
  <c r="H564" i="1" a="1"/>
  <c r="H564" i="1"/>
  <c r="H565" i="1" a="1"/>
  <c r="H565" i="1" s="1"/>
  <c r="H566" i="1" a="1"/>
  <c r="H566" i="1"/>
  <c r="H567" i="1" a="1"/>
  <c r="H567" i="1"/>
  <c r="H568" i="1" a="1"/>
  <c r="H568" i="1"/>
  <c r="H569" i="1" a="1"/>
  <c r="H569" i="1"/>
  <c r="H570" i="1" a="1"/>
  <c r="H570" i="1"/>
  <c r="H571" i="1" a="1"/>
  <c r="H571" i="1"/>
  <c r="H572" i="1" a="1"/>
  <c r="H572" i="1"/>
  <c r="H573" i="1" a="1"/>
  <c r="H573" i="1"/>
  <c r="H574" i="1" a="1"/>
  <c r="H574" i="1"/>
  <c r="H575" i="1" a="1"/>
  <c r="H575" i="1"/>
  <c r="H576" i="1" a="1"/>
  <c r="H576" i="1" s="1"/>
  <c r="H577" i="1" a="1"/>
  <c r="H577" i="1"/>
  <c r="H578" i="1" a="1"/>
  <c r="H578" i="1"/>
  <c r="H579" i="1" a="1"/>
  <c r="H579" i="1"/>
  <c r="H580" i="1" a="1"/>
  <c r="H580" i="1"/>
  <c r="H581" i="1" a="1"/>
  <c r="H581" i="1"/>
  <c r="H582" i="1" a="1"/>
  <c r="H582" i="1"/>
  <c r="H583" i="1" a="1"/>
  <c r="H583" i="1"/>
  <c r="H584" i="1" a="1"/>
  <c r="H584" i="1"/>
  <c r="H585" i="1" a="1"/>
  <c r="H585" i="1"/>
  <c r="H586" i="1" a="1"/>
  <c r="H586" i="1"/>
  <c r="H587" i="1" a="1"/>
  <c r="H587" i="1" s="1"/>
  <c r="H588" i="1" a="1"/>
  <c r="H588" i="1"/>
  <c r="H589" i="1" a="1"/>
  <c r="H589" i="1"/>
  <c r="H590" i="1" a="1"/>
  <c r="H590" i="1"/>
  <c r="H591" i="1" a="1"/>
  <c r="H591" i="1"/>
  <c r="H592" i="1" a="1"/>
  <c r="H592" i="1"/>
  <c r="H593" i="1" a="1"/>
  <c r="H593" i="1"/>
  <c r="H594" i="1" a="1"/>
  <c r="H594" i="1"/>
  <c r="H595" i="1" a="1"/>
  <c r="H595" i="1"/>
  <c r="H596" i="1" a="1"/>
  <c r="H596" i="1"/>
  <c r="H597" i="1" a="1"/>
  <c r="H597" i="1"/>
  <c r="H598" i="1" a="1"/>
  <c r="H598" i="1" s="1"/>
  <c r="H599" i="1" a="1"/>
  <c r="H599" i="1"/>
  <c r="H600" i="1" a="1"/>
  <c r="H600" i="1"/>
  <c r="H601" i="1" a="1"/>
  <c r="H601" i="1"/>
  <c r="H602" i="1" a="1"/>
  <c r="H602" i="1"/>
  <c r="H603" i="1" a="1"/>
  <c r="H603" i="1"/>
  <c r="H604" i="1" a="1"/>
  <c r="H604" i="1"/>
  <c r="H605" i="1" a="1"/>
  <c r="H605" i="1"/>
  <c r="H606" i="1" a="1"/>
  <c r="H606" i="1"/>
  <c r="H607" i="1" a="1"/>
  <c r="H607" i="1"/>
  <c r="H608" i="1" a="1"/>
  <c r="H608" i="1"/>
  <c r="H609" i="1" a="1"/>
  <c r="H609" i="1" s="1"/>
  <c r="H610" i="1" a="1"/>
  <c r="H610" i="1"/>
  <c r="H611" i="1" a="1"/>
  <c r="H611" i="1"/>
  <c r="H612" i="1" a="1"/>
  <c r="H612" i="1"/>
  <c r="H613" i="1" a="1"/>
  <c r="H613" i="1"/>
  <c r="H614" i="1" a="1"/>
  <c r="H614" i="1"/>
  <c r="H615" i="1" a="1"/>
  <c r="H615" i="1"/>
  <c r="H616" i="1" a="1"/>
  <c r="H616" i="1"/>
  <c r="H617" i="1" a="1"/>
  <c r="H617" i="1"/>
  <c r="H618" i="1" a="1"/>
  <c r="H618" i="1"/>
  <c r="H619" i="1" a="1"/>
  <c r="H619" i="1"/>
  <c r="H620" i="1" a="1"/>
  <c r="H620" i="1" s="1"/>
  <c r="H621" i="1" a="1"/>
  <c r="H621" i="1"/>
  <c r="H622" i="1" a="1"/>
  <c r="H622" i="1"/>
  <c r="H623" i="1" a="1"/>
  <c r="H623" i="1"/>
  <c r="H624" i="1" a="1"/>
  <c r="H624" i="1"/>
  <c r="H625" i="1" a="1"/>
  <c r="H625" i="1"/>
  <c r="H626" i="1" a="1"/>
  <c r="H626" i="1"/>
  <c r="H627" i="1" a="1"/>
  <c r="H627" i="1"/>
  <c r="H628" i="1" a="1"/>
  <c r="H628" i="1"/>
  <c r="H629" i="1" a="1"/>
  <c r="H629" i="1"/>
  <c r="H630" i="1" a="1"/>
  <c r="H630" i="1"/>
  <c r="H631" i="1" a="1"/>
  <c r="H631" i="1" s="1"/>
  <c r="H632" i="1" a="1"/>
  <c r="H632" i="1"/>
  <c r="H633" i="1" a="1"/>
  <c r="H633" i="1"/>
  <c r="H634" i="1" a="1"/>
  <c r="H634" i="1"/>
  <c r="H635" i="1" a="1"/>
  <c r="H635" i="1"/>
  <c r="H636" i="1" a="1"/>
  <c r="H636" i="1"/>
  <c r="H637" i="1" a="1"/>
  <c r="H637" i="1"/>
  <c r="H638" i="1" a="1"/>
  <c r="H638" i="1"/>
  <c r="H639" i="1" a="1"/>
  <c r="H639" i="1"/>
  <c r="H640" i="1" a="1"/>
  <c r="H640" i="1"/>
  <c r="H641" i="1" a="1"/>
  <c r="H641" i="1"/>
  <c r="H642" i="1" a="1"/>
  <c r="H642" i="1" s="1"/>
  <c r="H643" i="1" a="1"/>
  <c r="H643" i="1"/>
  <c r="H644" i="1" a="1"/>
  <c r="H644" i="1"/>
  <c r="H645" i="1" a="1"/>
  <c r="H645" i="1"/>
  <c r="H646" i="1" a="1"/>
  <c r="H646" i="1"/>
  <c r="H647" i="1" a="1"/>
  <c r="H647" i="1"/>
  <c r="H648" i="1" a="1"/>
  <c r="H648" i="1"/>
  <c r="H649" i="1" a="1"/>
  <c r="H649" i="1"/>
  <c r="H650" i="1" a="1"/>
  <c r="H650" i="1"/>
  <c r="H651" i="1" a="1"/>
  <c r="H651" i="1"/>
  <c r="H652" i="1" a="1"/>
  <c r="H652" i="1"/>
  <c r="H653" i="1" a="1"/>
  <c r="H653" i="1" s="1"/>
  <c r="H654" i="1" a="1"/>
  <c r="H654" i="1"/>
  <c r="H655" i="1" a="1"/>
  <c r="H655" i="1"/>
  <c r="H656" i="1" a="1"/>
  <c r="H656" i="1"/>
  <c r="H657" i="1" a="1"/>
  <c r="H657" i="1"/>
  <c r="H658" i="1" a="1"/>
  <c r="H658" i="1"/>
  <c r="H659" i="1" a="1"/>
  <c r="H659" i="1"/>
  <c r="H660" i="1" a="1"/>
  <c r="H660" i="1"/>
  <c r="H661" i="1" a="1"/>
  <c r="H661" i="1"/>
  <c r="H662" i="1" a="1"/>
  <c r="H662" i="1"/>
  <c r="H663" i="1" a="1"/>
  <c r="H663" i="1"/>
  <c r="H664" i="1" a="1"/>
  <c r="H664" i="1" s="1"/>
  <c r="H665" i="1" a="1"/>
  <c r="H665" i="1"/>
  <c r="H666" i="1" a="1"/>
  <c r="H666" i="1"/>
  <c r="H667" i="1" a="1"/>
  <c r="H667" i="1"/>
  <c r="H668" i="1" a="1"/>
  <c r="H668" i="1"/>
  <c r="H669" i="1" a="1"/>
  <c r="H669" i="1"/>
  <c r="H670" i="1" a="1"/>
  <c r="H670" i="1"/>
  <c r="H671" i="1" a="1"/>
  <c r="H671" i="1"/>
  <c r="H672" i="1" a="1"/>
  <c r="H672" i="1"/>
  <c r="H673" i="1" a="1"/>
  <c r="H673" i="1"/>
  <c r="H674" i="1" a="1"/>
  <c r="H674" i="1"/>
  <c r="H675" i="1" a="1"/>
  <c r="H675" i="1" s="1"/>
  <c r="H676" i="1" a="1"/>
  <c r="H676" i="1"/>
  <c r="H677" i="1" a="1"/>
  <c r="H677" i="1"/>
  <c r="H678" i="1" a="1"/>
  <c r="H678" i="1"/>
  <c r="H679" i="1" a="1"/>
  <c r="H679" i="1"/>
  <c r="H680" i="1" a="1"/>
  <c r="H680" i="1"/>
  <c r="H681" i="1" a="1"/>
  <c r="H681" i="1"/>
  <c r="H682" i="1" a="1"/>
  <c r="H682" i="1"/>
  <c r="H683" i="1" a="1"/>
  <c r="H683" i="1"/>
  <c r="H684" i="1" a="1"/>
  <c r="H684" i="1"/>
  <c r="H685" i="1" a="1"/>
  <c r="H685" i="1"/>
  <c r="H686" i="1" a="1"/>
  <c r="H686" i="1" s="1"/>
  <c r="H687" i="1" a="1"/>
  <c r="H687" i="1"/>
  <c r="H688" i="1" a="1"/>
  <c r="H688" i="1"/>
  <c r="H689" i="1" a="1"/>
  <c r="H689" i="1"/>
  <c r="H690" i="1" a="1"/>
  <c r="H690" i="1"/>
  <c r="H691" i="1" a="1"/>
  <c r="H691" i="1"/>
  <c r="H692" i="1" a="1"/>
  <c r="H692" i="1"/>
  <c r="H693" i="1" a="1"/>
  <c r="H693" i="1"/>
  <c r="H694" i="1" a="1"/>
  <c r="H694" i="1"/>
  <c r="H695" i="1" a="1"/>
  <c r="H695" i="1"/>
  <c r="H696" i="1" a="1"/>
  <c r="H696" i="1"/>
  <c r="H697" i="1" a="1"/>
  <c r="H697" i="1" s="1"/>
  <c r="H698" i="1" a="1"/>
  <c r="H698" i="1"/>
  <c r="H699" i="1" a="1"/>
  <c r="H699" i="1"/>
  <c r="H700" i="1" a="1"/>
  <c r="H700" i="1"/>
  <c r="H701" i="1" a="1"/>
  <c r="H701" i="1"/>
  <c r="H702" i="1" a="1"/>
  <c r="H702" i="1"/>
  <c r="H703" i="1" a="1"/>
  <c r="H703" i="1"/>
  <c r="H704" i="1" a="1"/>
  <c r="H704" i="1"/>
  <c r="H705" i="1" a="1"/>
  <c r="H705" i="1"/>
  <c r="H706" i="1" a="1"/>
  <c r="H706" i="1"/>
  <c r="H707" i="1" a="1"/>
  <c r="H707" i="1"/>
  <c r="H708" i="1" a="1"/>
  <c r="H708" i="1" s="1"/>
  <c r="H709" i="1" a="1"/>
  <c r="H709" i="1"/>
  <c r="H710" i="1" a="1"/>
  <c r="H710" i="1"/>
  <c r="H711" i="1" a="1"/>
  <c r="H711" i="1"/>
  <c r="H712" i="1" a="1"/>
  <c r="H712" i="1"/>
  <c r="H713" i="1" a="1"/>
  <c r="H713" i="1"/>
  <c r="H714" i="1" a="1"/>
  <c r="H714" i="1"/>
  <c r="H715" i="1" a="1"/>
  <c r="H715" i="1"/>
  <c r="H716" i="1" a="1"/>
  <c r="H716" i="1"/>
  <c r="H717" i="1" a="1"/>
  <c r="H717" i="1"/>
  <c r="H718" i="1" a="1"/>
  <c r="H718" i="1"/>
  <c r="H719" i="1" a="1"/>
  <c r="H719" i="1" s="1"/>
  <c r="H720" i="1" a="1"/>
  <c r="H720" i="1"/>
  <c r="H721" i="1" a="1"/>
  <c r="H721" i="1"/>
  <c r="H722" i="1" a="1"/>
  <c r="H722" i="1"/>
  <c r="H723" i="1" a="1"/>
  <c r="H723" i="1"/>
  <c r="H724" i="1" a="1"/>
  <c r="H724" i="1"/>
  <c r="H725" i="1" a="1"/>
  <c r="H725" i="1"/>
  <c r="H726" i="1" a="1"/>
  <c r="H726" i="1"/>
  <c r="H727" i="1" a="1"/>
  <c r="H727" i="1"/>
  <c r="H728" i="1" a="1"/>
  <c r="H728" i="1"/>
  <c r="H729" i="1" a="1"/>
  <c r="H729" i="1"/>
  <c r="H730" i="1" a="1"/>
  <c r="H730" i="1" s="1"/>
  <c r="H731" i="1" a="1"/>
  <c r="H731" i="1"/>
  <c r="H732" i="1" a="1"/>
  <c r="H732" i="1"/>
  <c r="H733" i="1" a="1"/>
  <c r="H733" i="1"/>
  <c r="H734" i="1" a="1"/>
  <c r="H734" i="1"/>
  <c r="H735" i="1" a="1"/>
  <c r="H735" i="1"/>
  <c r="H736" i="1" a="1"/>
  <c r="H736" i="1"/>
  <c r="H737" i="1" a="1"/>
  <c r="H737" i="1"/>
  <c r="H738" i="1" a="1"/>
  <c r="H738" i="1"/>
  <c r="H739" i="1" a="1"/>
  <c r="H739" i="1"/>
  <c r="H740" i="1" a="1"/>
  <c r="H740" i="1"/>
  <c r="H741" i="1" a="1"/>
  <c r="H741" i="1" s="1"/>
  <c r="H742" i="1" a="1"/>
  <c r="H742" i="1"/>
  <c r="H743" i="1" a="1"/>
  <c r="H743" i="1"/>
  <c r="H744" i="1" a="1"/>
  <c r="H744" i="1"/>
  <c r="H745" i="1" a="1"/>
  <c r="H745" i="1"/>
  <c r="H746" i="1" a="1"/>
  <c r="H746" i="1"/>
  <c r="H747" i="1" a="1"/>
  <c r="H747" i="1"/>
  <c r="H748" i="1" a="1"/>
  <c r="H748" i="1"/>
  <c r="H749" i="1" a="1"/>
  <c r="H749" i="1"/>
  <c r="H750" i="1" a="1"/>
  <c r="H750" i="1"/>
  <c r="H751" i="1" a="1"/>
  <c r="H751" i="1"/>
  <c r="H752" i="1" a="1"/>
  <c r="H752" i="1" s="1"/>
  <c r="H753" i="1" a="1"/>
  <c r="H753" i="1"/>
  <c r="H754" i="1" a="1"/>
  <c r="H754" i="1"/>
  <c r="H755" i="1" a="1"/>
  <c r="H755" i="1"/>
  <c r="H756" i="1" a="1"/>
  <c r="H756" i="1"/>
  <c r="H757" i="1" a="1"/>
  <c r="H757" i="1"/>
  <c r="H758" i="1" a="1"/>
  <c r="H758" i="1"/>
  <c r="H759" i="1" a="1"/>
  <c r="H759" i="1"/>
  <c r="H760" i="1" a="1"/>
  <c r="H760" i="1"/>
  <c r="H761" i="1" a="1"/>
  <c r="H761" i="1"/>
  <c r="H762" i="1" a="1"/>
  <c r="H762" i="1"/>
  <c r="H763" i="1" a="1"/>
  <c r="H763" i="1" s="1"/>
  <c r="H764" i="1" a="1"/>
  <c r="H764" i="1"/>
  <c r="H765" i="1" a="1"/>
  <c r="H765" i="1"/>
  <c r="H766" i="1" a="1"/>
  <c r="H766" i="1"/>
  <c r="H767" i="1" a="1"/>
  <c r="H767" i="1"/>
  <c r="H768" i="1" a="1"/>
  <c r="H768" i="1"/>
  <c r="H769" i="1" a="1"/>
  <c r="H769" i="1"/>
  <c r="H770" i="1" a="1"/>
  <c r="H770" i="1"/>
  <c r="H771" i="1" a="1"/>
  <c r="H771" i="1"/>
  <c r="H772" i="1" a="1"/>
  <c r="H772" i="1"/>
  <c r="H773" i="1" a="1"/>
  <c r="H773" i="1"/>
  <c r="H774" i="1" a="1"/>
  <c r="H774" i="1" s="1"/>
  <c r="H775" i="1" a="1"/>
  <c r="H775" i="1"/>
  <c r="H776" i="1" a="1"/>
  <c r="H776" i="1"/>
  <c r="H777" i="1" a="1"/>
  <c r="H777" i="1"/>
  <c r="H778" i="1" a="1"/>
  <c r="H778" i="1"/>
  <c r="H779" i="1" a="1"/>
  <c r="H779" i="1"/>
  <c r="H780" i="1" a="1"/>
  <c r="H780" i="1"/>
  <c r="H781" i="1" a="1"/>
  <c r="H781" i="1"/>
  <c r="H782" i="1" a="1"/>
  <c r="H782" i="1"/>
  <c r="H783" i="1" a="1"/>
  <c r="H783" i="1"/>
  <c r="H784" i="1" a="1"/>
  <c r="H784" i="1"/>
  <c r="H785" i="1" a="1"/>
  <c r="H785" i="1" s="1"/>
  <c r="H786" i="1" a="1"/>
  <c r="H786" i="1"/>
  <c r="H787" i="1" a="1"/>
  <c r="H787" i="1"/>
  <c r="H788" i="1" a="1"/>
  <c r="H788" i="1"/>
  <c r="H789" i="1" a="1"/>
  <c r="H789" i="1"/>
  <c r="H790" i="1" a="1"/>
  <c r="H790" i="1"/>
  <c r="H791" i="1" a="1"/>
  <c r="H791" i="1"/>
  <c r="H792" i="1" a="1"/>
  <c r="H792" i="1"/>
  <c r="H793" i="1" a="1"/>
  <c r="H793" i="1"/>
  <c r="H794" i="1" a="1"/>
  <c r="H794" i="1"/>
  <c r="H795" i="1" a="1"/>
  <c r="H795" i="1"/>
  <c r="H796" i="1" a="1"/>
  <c r="H796" i="1" s="1"/>
  <c r="H797" i="1" a="1"/>
  <c r="H797" i="1"/>
  <c r="H798" i="1" a="1"/>
  <c r="H798" i="1"/>
  <c r="H799" i="1" a="1"/>
  <c r="H799" i="1"/>
  <c r="H800" i="1" a="1"/>
  <c r="H800" i="1"/>
  <c r="H801" i="1" a="1"/>
  <c r="H801" i="1"/>
  <c r="H802" i="1" a="1"/>
  <c r="H802" i="1"/>
  <c r="H803" i="1" a="1"/>
  <c r="H803" i="1"/>
  <c r="H804" i="1" a="1"/>
  <c r="H804" i="1"/>
  <c r="H805" i="1" a="1"/>
  <c r="H805" i="1"/>
  <c r="H806" i="1" a="1"/>
  <c r="H806" i="1"/>
  <c r="H807" i="1" a="1"/>
  <c r="H807" i="1" s="1"/>
  <c r="H808" i="1" a="1"/>
  <c r="H808" i="1"/>
  <c r="H809" i="1" a="1"/>
  <c r="H809" i="1"/>
  <c r="H810" i="1" a="1"/>
  <c r="H810" i="1"/>
  <c r="H811" i="1" a="1"/>
  <c r="H811" i="1"/>
  <c r="H812" i="1" a="1"/>
  <c r="H812" i="1"/>
  <c r="H813" i="1" a="1"/>
  <c r="H813" i="1"/>
  <c r="H814" i="1" a="1"/>
  <c r="H814" i="1"/>
  <c r="H815" i="1" a="1"/>
  <c r="H815" i="1"/>
  <c r="H816" i="1" a="1"/>
  <c r="H816" i="1"/>
  <c r="H817" i="1" a="1"/>
  <c r="H817" i="1"/>
  <c r="H818" i="1" a="1"/>
  <c r="H818" i="1" s="1"/>
  <c r="H819" i="1" a="1"/>
  <c r="H819" i="1"/>
  <c r="H820" i="1" a="1"/>
  <c r="H820" i="1"/>
  <c r="H821" i="1" a="1"/>
  <c r="H821" i="1"/>
  <c r="H822" i="1" a="1"/>
  <c r="H822" i="1"/>
  <c r="H823" i="1" a="1"/>
  <c r="H823" i="1"/>
  <c r="H824" i="1" a="1"/>
  <c r="H824" i="1"/>
  <c r="H825" i="1" a="1"/>
  <c r="H825" i="1"/>
  <c r="H826" i="1" a="1"/>
  <c r="H826" i="1"/>
  <c r="H827" i="1" a="1"/>
  <c r="H827" i="1"/>
  <c r="H828" i="1" a="1"/>
  <c r="H828" i="1"/>
  <c r="H829" i="1" a="1"/>
  <c r="H829" i="1" s="1"/>
  <c r="H830" i="1" a="1"/>
  <c r="H830" i="1"/>
  <c r="H831" i="1" a="1"/>
  <c r="H831" i="1"/>
  <c r="H832" i="1" a="1"/>
  <c r="H832" i="1"/>
  <c r="H833" i="1" a="1"/>
  <c r="H833" i="1"/>
  <c r="H834" i="1" a="1"/>
  <c r="H834" i="1"/>
  <c r="H835" i="1" a="1"/>
  <c r="H835" i="1"/>
  <c r="H836" i="1" a="1"/>
  <c r="H836" i="1"/>
  <c r="H837" i="1" a="1"/>
  <c r="H837" i="1"/>
  <c r="H838" i="1" a="1"/>
  <c r="H838" i="1"/>
  <c r="H839" i="1" a="1"/>
  <c r="H839" i="1"/>
  <c r="H840" i="1" a="1"/>
  <c r="H840" i="1" s="1"/>
  <c r="H841" i="1" a="1"/>
  <c r="H841" i="1"/>
  <c r="H842" i="1" a="1"/>
  <c r="H842" i="1"/>
  <c r="H843" i="1" a="1"/>
  <c r="H843" i="1"/>
  <c r="H844" i="1" a="1"/>
  <c r="H844" i="1"/>
  <c r="H845" i="1" a="1"/>
  <c r="H845" i="1"/>
  <c r="H846" i="1" a="1"/>
  <c r="H846" i="1"/>
  <c r="H847" i="1" a="1"/>
  <c r="H847" i="1"/>
  <c r="H848" i="1" a="1"/>
  <c r="H848" i="1"/>
  <c r="H849" i="1" a="1"/>
  <c r="H849" i="1"/>
  <c r="H850" i="1" a="1"/>
  <c r="H850" i="1"/>
  <c r="H851" i="1" a="1"/>
  <c r="H851" i="1" s="1"/>
  <c r="H852" i="1" a="1"/>
  <c r="H852" i="1"/>
  <c r="H853" i="1" a="1"/>
  <c r="H853" i="1"/>
  <c r="H854" i="1" a="1"/>
  <c r="H854" i="1"/>
  <c r="H855" i="1" a="1"/>
  <c r="H855" i="1"/>
  <c r="H856" i="1" a="1"/>
  <c r="H856" i="1"/>
  <c r="H857" i="1" a="1"/>
  <c r="H857" i="1"/>
  <c r="H858" i="1" a="1"/>
  <c r="H858" i="1"/>
  <c r="H859" i="1" a="1"/>
  <c r="H859" i="1"/>
  <c r="H860" i="1" a="1"/>
  <c r="H860" i="1"/>
  <c r="H861" i="1" a="1"/>
  <c r="H861" i="1"/>
  <c r="H862" i="1" a="1"/>
  <c r="H862" i="1" s="1"/>
  <c r="H863" i="1" a="1"/>
  <c r="H863" i="1"/>
  <c r="H864" i="1" a="1"/>
  <c r="H864" i="1"/>
  <c r="H865" i="1" a="1"/>
  <c r="H865" i="1"/>
  <c r="H866" i="1" a="1"/>
  <c r="H866" i="1"/>
  <c r="H867" i="1" a="1"/>
  <c r="H86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<sst xmlns="http://schemas.openxmlformats.org/spreadsheetml/2006/main" count="17986" uniqueCount="2809">
  <si>
    <t>Row Labels</t>
  </si>
  <si>
    <t>Sum of Tech Application</t>
  </si>
  <si>
    <t>Sum of Tech Infrastructure</t>
  </si>
  <si>
    <t>Sum of Legal View</t>
  </si>
  <si>
    <t>Sum of Organisational View</t>
  </si>
  <si>
    <t>Sum of Semantic View</t>
  </si>
  <si>
    <t>Specification</t>
  </si>
  <si>
    <t>Grand Total</t>
  </si>
  <si>
    <t>ApplicationProfile</t>
  </si>
  <si>
    <t>Family</t>
  </si>
  <si>
    <t>Standard</t>
  </si>
  <si>
    <t>Count of Title</t>
  </si>
  <si>
    <t>Count of Alternative</t>
  </si>
  <si>
    <t>Count of Acronym</t>
  </si>
  <si>
    <t>Count of CAMSSA Count</t>
  </si>
  <si>
    <t>Column Labels</t>
  </si>
  <si>
    <t>Tech Application, Legal View, Organisational View, Semantic View</t>
  </si>
  <si>
    <t>Tech Application, Legal View, Semantic View</t>
  </si>
  <si>
    <t>Tech Application, Legal View, Organisational View</t>
  </si>
  <si>
    <t>Legal View, Organisational View, Semantic View</t>
  </si>
  <si>
    <t>Legal View, Semantic View</t>
  </si>
  <si>
    <t>Tech Infrastructure, Tech Application, Organisational View</t>
  </si>
  <si>
    <t>Legal View, Organisational View</t>
  </si>
  <si>
    <t>Tech Infrastructure, Tech Application, Semantic View</t>
  </si>
  <si>
    <t>Tech Infrastructure, Semantic View</t>
  </si>
  <si>
    <t>Tech Infrastructure, Organisational View</t>
  </si>
  <si>
    <t>Tech Application, Organisational View, Semantic View</t>
  </si>
  <si>
    <t>Organisational View, Semantic View</t>
  </si>
  <si>
    <t>Tech Application, Organisational View</t>
  </si>
  <si>
    <t>Organisational View</t>
  </si>
  <si>
    <t>Legal View</t>
  </si>
  <si>
    <t>Tech Infrastructure, Tech Application</t>
  </si>
  <si>
    <t>Tech Application, Semantic View</t>
  </si>
  <si>
    <t>Tech Infrastructure</t>
  </si>
  <si>
    <t>Semantic View</t>
  </si>
  <si>
    <t>Tech Application</t>
  </si>
  <si>
    <t>Type</t>
  </si>
  <si>
    <t>Title</t>
  </si>
  <si>
    <t>Acronym</t>
  </si>
  <si>
    <t>Alternative</t>
  </si>
  <si>
    <t>Maintainer</t>
  </si>
  <si>
    <t>Version</t>
  </si>
  <si>
    <t>Previous Version</t>
  </si>
  <si>
    <t>View</t>
  </si>
  <si>
    <t>CAMSSA Count</t>
  </si>
  <si>
    <t>Schema.org v29.2.0</t>
  </si>
  <si>
    <t>Schema.org</t>
  </si>
  <si>
    <t>29.2.0</t>
  </si>
  <si>
    <t>A Framework for Multicast in Network Virtualization over Layer 3 RFC 8293</t>
  </si>
  <si>
    <t>RFC 8293</t>
  </si>
  <si>
    <t>IETF</t>
  </si>
  <si>
    <t>2.0.0</t>
  </si>
  <si>
    <t>The Atom Syndication Format (RFC 4287)</t>
  </si>
  <si>
    <t>Atom</t>
  </si>
  <si>
    <t>RFC 4287</t>
  </si>
  <si>
    <t>1.0.0</t>
  </si>
  <si>
    <t>Multi-access Edge Computing (MEC); IoT API (ETSI GS MEC 033)</t>
  </si>
  <si>
    <t>MEC IoT API</t>
  </si>
  <si>
    <t>ETSI GS MEC 033</t>
  </si>
  <si>
    <t>ETSI</t>
  </si>
  <si>
    <t>3.1.1</t>
  </si>
  <si>
    <t>EU Catalogue of Services</t>
  </si>
  <si>
    <t>EC</t>
  </si>
  <si>
    <t>Monitoring and Control MIB for Power and Energy (RFC 7460)</t>
  </si>
  <si>
    <t>RFC 7460</t>
  </si>
  <si>
    <t>COMMUNICATION FROM THE COMMISSION TO THE EUROPEAN PARLIAMENT, THE COUNCIL, THE EUROPEAN ECONOMIC AND SOCIAL COMMITTEE AND THE COMMITTEE OF THE REGIONS - European Interoperability Framework – Implementation Strategy</t>
  </si>
  <si>
    <t>OP</t>
  </si>
  <si>
    <t>ITU-T X.1603 Data security requirements for the monitoring service of cloud computing</t>
  </si>
  <si>
    <t>ITU-T X.1603</t>
  </si>
  <si>
    <t>ITU</t>
  </si>
  <si>
    <t>Smart Data Models (SDM)</t>
  </si>
  <si>
    <t>SDM</t>
  </si>
  <si>
    <t>Transport Layer Security 1.3 (TLS 1.3)</t>
  </si>
  <si>
    <t>TLS</t>
  </si>
  <si>
    <t>1.3.0</t>
  </si>
  <si>
    <t>CLARIN Concept Registry (CCR)</t>
  </si>
  <si>
    <t>CCR</t>
  </si>
  <si>
    <t>CLARIN</t>
  </si>
  <si>
    <t>Internet Calendaring and Scheduling Core Object Specification (iCalendar)</t>
  </si>
  <si>
    <t>iCalendar</t>
  </si>
  <si>
    <t>10.0.0</t>
  </si>
  <si>
    <t>Smart Applications Reference Ontology (SAREF) (ETSI TS 103 673)</t>
  </si>
  <si>
    <t>SAREF</t>
  </si>
  <si>
    <t>ETSI TS 103 673</t>
  </si>
  <si>
    <t>Security and Privacy Controls for Information Systems and Organizations (NIST SP 800-53)</t>
  </si>
  <si>
    <t>NIST SP 800-53</t>
  </si>
  <si>
    <t>NIST</t>
  </si>
  <si>
    <t>Q.5026 : Signalling requirements and protocol for providing network-oriented data integrity verification service based on blockchain in IMT-2020 networks</t>
  </si>
  <si>
    <t>ITU-T Q.5026</t>
  </si>
  <si>
    <t>OGC Catalogue Services</t>
  </si>
  <si>
    <t>OGC CSW</t>
  </si>
  <si>
    <t>OGC</t>
  </si>
  <si>
    <t>3.0.0</t>
  </si>
  <si>
    <t>GUIDELINES AND TEMPLATES FOR AGREEMENTS BETWEEN PUBLIC ADMINISTRATIONS</t>
  </si>
  <si>
    <t>Web Services Security (WSS, WS-Security)</t>
  </si>
  <si>
    <t>WSS</t>
  </si>
  <si>
    <t>OASIS</t>
  </si>
  <si>
    <t>1.1.0</t>
  </si>
  <si>
    <t>Peppol Directory</t>
  </si>
  <si>
    <t>PEPPOL</t>
  </si>
  <si>
    <t>1.1.1</t>
  </si>
  <si>
    <t>User-Managed Access 2.0 (UMA)</t>
  </si>
  <si>
    <t>UMA</t>
  </si>
  <si>
    <t>Kantara Initiative</t>
  </si>
  <si>
    <t>Directive 2014/55/EU of the European Parliament and of the Council of 16 April 2014 on electronic invoicing in public procurement Text with EEA relevance</t>
  </si>
  <si>
    <t>L 133/1</t>
  </si>
  <si>
    <t>Cyber Security (CYBER); A Verifiable Credentials extension using  Attribute-Based Encryption (ETSI TS 103 964)</t>
  </si>
  <si>
    <t>ETSI TS 103 964</t>
  </si>
  <si>
    <t>Fast Healthcare Interoperability Resources (FHIR)</t>
  </si>
  <si>
    <t>FHIR</t>
  </si>
  <si>
    <t>Health Level Seven International (HL7)</t>
  </si>
  <si>
    <t>5.0.0</t>
  </si>
  <si>
    <t>The EU cybersecurity certification framework</t>
  </si>
  <si>
    <t>eDelivery BDX Location profile (eDelivery BDXL)</t>
  </si>
  <si>
    <t>BDXL</t>
  </si>
  <si>
    <t>BDX Location</t>
  </si>
  <si>
    <t>1.6.0</t>
  </si>
  <si>
    <t>Protocol Buffers (Protobuf)</t>
  </si>
  <si>
    <t>Protobuf</t>
  </si>
  <si>
    <t>protobuf.dev</t>
  </si>
  <si>
    <t>XSLT</t>
  </si>
  <si>
    <t>W3C</t>
  </si>
  <si>
    <t>CX-0006 Registration and Initial Onboarding v2.0.1</t>
  </si>
  <si>
    <t>CX-0006</t>
  </si>
  <si>
    <t>CATENA-X</t>
  </si>
  <si>
    <t>2.0.1</t>
  </si>
  <si>
    <t>X.1148 : Framework of de-identification process for telecommunication service providers</t>
  </si>
  <si>
    <t>ITU-T X.1148</t>
  </si>
  <si>
    <t>Electronic Signatures and Infrastructures (ESI); CAdES digital signatures; Part 2: Extended CAdES signatures (ETSI EN 319 122-2)</t>
  </si>
  <si>
    <t>CAdES</t>
  </si>
  <si>
    <t>ETSI EN 319 122-2</t>
  </si>
  <si>
    <t>JavaScript Object Notation (JSON) (ECMA-404)</t>
  </si>
  <si>
    <t>JSON</t>
  </si>
  <si>
    <t>ECMA-404</t>
  </si>
  <si>
    <t>Ecma</t>
  </si>
  <si>
    <t>OAuth 2.0 Authorization Server Metadata</t>
  </si>
  <si>
    <t>OAuth</t>
  </si>
  <si>
    <t>Machine-to-Machine communications (M2M); Impact of Smart City Activity on IoT Environment (ETSI TR 103 290)</t>
  </si>
  <si>
    <t>ETSI TR 103 290</t>
  </si>
  <si>
    <t>Core Public Organisation Vocabulary (CPOV)</t>
  </si>
  <si>
    <t>CPOV</t>
  </si>
  <si>
    <t>Context Information Management (CIM); NGSI-LD API (ETSI GR CIM 018)</t>
  </si>
  <si>
    <t>NGSI-LD API</t>
  </si>
  <si>
    <t>ETSI GR CIM 018</t>
  </si>
  <si>
    <t>Universally Unique IDentifier (UUID) URN Namespace (RFC 4122)</t>
  </si>
  <si>
    <t>UUDI</t>
  </si>
  <si>
    <t>RFC 4122</t>
  </si>
  <si>
    <t>GAIA-X Policy Rules Conformity Document</t>
  </si>
  <si>
    <t>GAIA-X</t>
  </si>
  <si>
    <t>23.10.0</t>
  </si>
  <si>
    <t>eIDAS SAML message format</t>
  </si>
  <si>
    <t>SAML</t>
  </si>
  <si>
    <t>1.2.0</t>
  </si>
  <si>
    <t>MyData Service Linking Specification</t>
  </si>
  <si>
    <t>HIIT</t>
  </si>
  <si>
    <t>1.2.1</t>
  </si>
  <si>
    <t>DOLCE-Ultralite</t>
  </si>
  <si>
    <t>ODP</t>
  </si>
  <si>
    <t>3.34.0</t>
  </si>
  <si>
    <t>Application Security Verification Standard (ASVS)</t>
  </si>
  <si>
    <t>ASVS</t>
  </si>
  <si>
    <t>OWASP SAMM</t>
  </si>
  <si>
    <t>4.0.3</t>
  </si>
  <si>
    <t>2011/130/EU: Commission Decision of 25 February 2011 establishing minimum requirements for the cross-border processing of documents signed electronically by competent authorities under Directive 2006/123/EC of the European Parliament and of the Council on services in the internal market (notified under document C(2011) 1081)</t>
  </si>
  <si>
    <t>Decision 2011/130/EU</t>
  </si>
  <si>
    <t>L 53/66</t>
  </si>
  <si>
    <t>AS4 Interoperability Profile for Four-Corner Networks</t>
  </si>
  <si>
    <t>AS4</t>
  </si>
  <si>
    <t>FIREWARE Catalogue</t>
  </si>
  <si>
    <t>FIWARE</t>
  </si>
  <si>
    <t>8.4.0</t>
  </si>
  <si>
    <t>ETSI TS 103 523-2 CYBER; Middlebox Security Protocol; Part 2: Transport layer MSP, profile for fine grained access control</t>
  </si>
  <si>
    <t>CYBER</t>
  </si>
  <si>
    <t>ETSI TS 103 523-2 CYBER</t>
  </si>
  <si>
    <t>BIS eDocuments guide for pre-award</t>
  </si>
  <si>
    <t>ITU-T X.1606 Security requirements for communication as a service application environments</t>
  </si>
  <si>
    <t>ITU-T X.1606</t>
  </si>
  <si>
    <t>Business Partner Data Pool API (BPM - 003 Business Partner Data Pool API)</t>
  </si>
  <si>
    <t>BPDM API</t>
  </si>
  <si>
    <t>BPM - 003</t>
  </si>
  <si>
    <t>2.1.0</t>
  </si>
  <si>
    <t>oneM2M Functional Architecture</t>
  </si>
  <si>
    <t>oneM2M</t>
  </si>
  <si>
    <t>5.6.0</t>
  </si>
  <si>
    <t>Extensible Authentication Protocol (EAP) (RFC 3748)</t>
  </si>
  <si>
    <t>EAP</t>
  </si>
  <si>
    <t>RFC 3748</t>
  </si>
  <si>
    <t>ETSI TS 103 523-3 CYBER; Middlebox Security Protocol; Part 3: Profile for enterprise network and data centre access control</t>
  </si>
  <si>
    <t>ETSI TS 103 523-3 CYBER</t>
  </si>
  <si>
    <t>1.3.1</t>
  </si>
  <si>
    <t>Web Services Business Process Execution Language (WS-BPEL) v2.0</t>
  </si>
  <si>
    <t>WS-BPEL</t>
  </si>
  <si>
    <t>PROV Family</t>
  </si>
  <si>
    <t>PROV</t>
  </si>
  <si>
    <t>CACAO Security Playbooks Version 1.0</t>
  </si>
  <si>
    <t>CACAO</t>
  </si>
  <si>
    <t>The EU Cybersecurity Act</t>
  </si>
  <si>
    <t>Regulation 2019/881/EU</t>
  </si>
  <si>
    <t>L 151/15</t>
  </si>
  <si>
    <t>Common Procurement Vocabulary (CPV)</t>
  </si>
  <si>
    <t>CPV</t>
  </si>
  <si>
    <t>Better regulation "Toolbox"</t>
  </si>
  <si>
    <t>SWD(2021) 305 final</t>
  </si>
  <si>
    <t>Electronic Signatures and Infrastructures (ESI); Registered Electronic Mail (REM); Part 2: Data requirements, Formats and Signatures for REM (ETSI TS 102 640-2)</t>
  </si>
  <si>
    <t>REM</t>
  </si>
  <si>
    <t>ETSI TS 102 640-2</t>
  </si>
  <si>
    <t>2.2.1</t>
  </si>
  <si>
    <t>X.1058 : Information technology - Security techniques - Code of practice for personally identifiable information protection</t>
  </si>
  <si>
    <t>ITU-T X.1058</t>
  </si>
  <si>
    <t>EBSI Trust Model</t>
  </si>
  <si>
    <t>Core Location Vocabulary 2.0.0</t>
  </si>
  <si>
    <t>CLV</t>
  </si>
  <si>
    <t>SLA for Open API Initiative Specification (SLA4OAI)</t>
  </si>
  <si>
    <t>SLA4OAI</t>
  </si>
  <si>
    <t>ISA Group</t>
  </si>
  <si>
    <t>0.10.0</t>
  </si>
  <si>
    <t>REGULATION OF THE EUROPEAN PARLIAMENT AND OF THE COUNCIL laying down measures for a high level of public sector interoperability across the Union (Interoperable Europe Act)</t>
  </si>
  <si>
    <t>IEA</t>
  </si>
  <si>
    <t>Interoperable Europe Act</t>
  </si>
  <si>
    <t>JSON Schema</t>
  </si>
  <si>
    <t>JSON SCHEMA</t>
  </si>
  <si>
    <t>IEC-CEN ELEC Frankfurt Agreement</t>
  </si>
  <si>
    <t>CEN-CENELEC</t>
  </si>
  <si>
    <t>Extensible Access Control Markup Language (XACML)</t>
  </si>
  <si>
    <t>XACML</t>
  </si>
  <si>
    <t>ITU-T X.1605 Security requirements of public infrastructure as a service (IaaS) in cloud computing</t>
  </si>
  <si>
    <t>ITU-T X.1605</t>
  </si>
  <si>
    <t>ISO/IEC 18384-2:2016 Information technology — Reference Architecture for Service Oriented Architecture (SOA RA) — Part 2: Reference Architecture for SOA Solutions</t>
  </si>
  <si>
    <t>SOA RA</t>
  </si>
  <si>
    <t>ISO/IEC 18384-2</t>
  </si>
  <si>
    <t>ISO</t>
  </si>
  <si>
    <t>3-Clause BSD License</t>
  </si>
  <si>
    <t>Open Source</t>
  </si>
  <si>
    <t>Security methodology for the use of identity-based cryptography in support of Internet of things (IoT) services over telecommunication networks (ITU-T X.1365)</t>
  </si>
  <si>
    <t>OpenPeppol eDEC Code Lists</t>
  </si>
  <si>
    <t>8.1.0</t>
  </si>
  <si>
    <t>Attribute-based Access Control (ABAC)</t>
  </si>
  <si>
    <t>ABAC</t>
  </si>
  <si>
    <t>ISO/IEC 38505-2: Information technology - Governance of IT - Part2: Implications of ISO/IEC38505-1 for Data Management</t>
  </si>
  <si>
    <t>ISO/IEC 38505-2</t>
  </si>
  <si>
    <t>Web Coverage Service (WCS)</t>
  </si>
  <si>
    <t>WCS</t>
  </si>
  <si>
    <t>International Standard on Assurance Engagements 3402 (ISAE 3402)</t>
  </si>
  <si>
    <t>ISAE 3402</t>
  </si>
  <si>
    <t>IAASB</t>
  </si>
  <si>
    <t>Web of Things (WoT)</t>
  </si>
  <si>
    <t>WoT</t>
  </si>
  <si>
    <t>Electronic Signatures and Trust Infrastructures (ESI); Policy and security requirements for Trust Service Providers issuing certificates; Part 1: General requirements (ETSI EN 319 411-1)</t>
  </si>
  <si>
    <t>ETSI EN 319 411-1</t>
  </si>
  <si>
    <t>1.5.1</t>
  </si>
  <si>
    <t>Markdown Syntax for Object Notation (MSON)</t>
  </si>
  <si>
    <t>MSON</t>
  </si>
  <si>
    <t>Apiary</t>
  </si>
  <si>
    <t>QUIC: A UDP-Based Multiplexed and Secure Transport</t>
  </si>
  <si>
    <t>QUIC</t>
  </si>
  <si>
    <t>34.0.0</t>
  </si>
  <si>
    <t>eID building block</t>
  </si>
  <si>
    <t>SmartM2M; SAREF: Ontology Support for  Urban Digital Twins and usage guidelines (ETSI TS 103 828)</t>
  </si>
  <si>
    <t>ETSI TS 103 828</t>
  </si>
  <si>
    <t>My Data Ontology (MDO)</t>
  </si>
  <si>
    <t>MDO</t>
  </si>
  <si>
    <t>CUBRC</t>
  </si>
  <si>
    <t>ETSI EN 319 412-3</t>
  </si>
  <si>
    <t>CYBER Middlebox Security Protocol Part 1: MSP Framework and Template Requirements</t>
  </si>
  <si>
    <t>ETSI TS 103 523-1</t>
  </si>
  <si>
    <t>Service Requirements for Layer 2 Provider-Provisioned Virtual Private Networks</t>
  </si>
  <si>
    <t>L2VPNs</t>
  </si>
  <si>
    <t>7.0.0</t>
  </si>
  <si>
    <t>Directive 2006/123/EC of the European Parliament and of the Council of 12 December 2006 on services in the internal market</t>
  </si>
  <si>
    <t>Directive 2006/123/EC</t>
  </si>
  <si>
    <t>L 376/36</t>
  </si>
  <si>
    <t>87/598/EEC: Commission Recommendation of 8 December 1987 on a European Code of Conduct relating to electronic payment (Relations between financial institutions, traders and service establishments, and consumers)</t>
  </si>
  <si>
    <t>Recommendation 87/598/EEC</t>
  </si>
  <si>
    <t>L 365</t>
  </si>
  <si>
    <t>Extensible Forms Description Language (XFDL)</t>
  </si>
  <si>
    <t>XFDL</t>
  </si>
  <si>
    <t>4.0.0</t>
  </si>
  <si>
    <t>Company Attribute Verification (IAM - 004 Company Attribute Verification)</t>
  </si>
  <si>
    <t>IAM - 004</t>
  </si>
  <si>
    <t>DCAT-AP High Value Datasets (HVD)</t>
  </si>
  <si>
    <t>HVD</t>
  </si>
  <si>
    <t>2.2.0</t>
  </si>
  <si>
    <t>AMQP Claims-based Security</t>
  </si>
  <si>
    <t>AMQP CBS</t>
  </si>
  <si>
    <t>Standard for Public Code</t>
  </si>
  <si>
    <t>0.2.2</t>
  </si>
  <si>
    <t>ISO/IEC/IEEE 24748-3:2020 Systems and software engineering — Life cycle management Part 3: Guidelines for the application of ISO/IEC/IEEE 12207 (software life cycle processes)</t>
  </si>
  <si>
    <t>ISO/IEC/IEEE 24748-3:2020</t>
  </si>
  <si>
    <t>Java Specification Requests (JSRs)</t>
  </si>
  <si>
    <t>JSRs</t>
  </si>
  <si>
    <t>JCP</t>
  </si>
  <si>
    <t>2.11.0</t>
  </si>
  <si>
    <t>Wheat Data Interoperability Guidelines</t>
  </si>
  <si>
    <t>RDA</t>
  </si>
  <si>
    <t>CX-0007 Minimal Data Provider Service Offering v1.1.1</t>
  </si>
  <si>
    <t>CX-0007</t>
  </si>
  <si>
    <t>Semantically Interlinked Online Communities</t>
  </si>
  <si>
    <t>SIOC</t>
  </si>
  <si>
    <t>eDelivery SMP - 2.0</t>
  </si>
  <si>
    <t>Application Performance Index</t>
  </si>
  <si>
    <t>APDEX</t>
  </si>
  <si>
    <t>APDEX Alliance</t>
  </si>
  <si>
    <t>Open Virtualization Format</t>
  </si>
  <si>
    <t>OVF</t>
  </si>
  <si>
    <t>DMTF</t>
  </si>
  <si>
    <t>2.1.1</t>
  </si>
  <si>
    <t>Task Execution Service (TES) API</t>
  </si>
  <si>
    <t>TES</t>
  </si>
  <si>
    <t>GA4GH</t>
  </si>
  <si>
    <t>Languages, Countries, and Codes (LCC)</t>
  </si>
  <si>
    <t>LCC</t>
  </si>
  <si>
    <t>OMG</t>
  </si>
  <si>
    <t>Portable Document Format v 1.7 (PDF 1.7)</t>
  </si>
  <si>
    <t>PDF</t>
  </si>
  <si>
    <t>1.7.0</t>
  </si>
  <si>
    <t>Information technology — Governance of IT for the organization (ISO/IEC 38500:2015)</t>
  </si>
  <si>
    <t>ISO/IEC 38500</t>
  </si>
  <si>
    <t>Transformational Government Framework Version 2.0</t>
  </si>
  <si>
    <t>TGF</t>
  </si>
  <si>
    <t>ISO/IEC 7498-1:1994 Information technology — Open Systems Interconnection</t>
  </si>
  <si>
    <t>OSI</t>
  </si>
  <si>
    <t>ISO/IEC 7498-1</t>
  </si>
  <si>
    <t>GITB Test Reporting Language (TRL)</t>
  </si>
  <si>
    <t>TRL</t>
  </si>
  <si>
    <t>1.17.0</t>
  </si>
  <si>
    <t>Framework for Layer 3 Provider-Provisioned Virtual Private Networks (PPVPNs)</t>
  </si>
  <si>
    <t>PPVPNs</t>
  </si>
  <si>
    <t>Performance-based Full Policy Cycle for the Digital Single Market</t>
  </si>
  <si>
    <t>OpenSource MANO</t>
  </si>
  <si>
    <t>OSM</t>
  </si>
  <si>
    <t>11.0.0</t>
  </si>
  <si>
    <t>Directive 2009/136/EC - EU Cookie Directive 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</si>
  <si>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Directive 2009/136/EC</t>
  </si>
  <si>
    <t>L 337/11</t>
  </si>
  <si>
    <t>IEEE/ISO/IEC 29119-2-2021 International Standard - Software and systems engineering - Software testing -- Part 2: Test processes</t>
  </si>
  <si>
    <t>IEEE/ISO/IEC 29119-2-2021</t>
  </si>
  <si>
    <t>IEEE</t>
  </si>
  <si>
    <t>Layer 2 Tunneling Protocol (L2TP)</t>
  </si>
  <si>
    <t>L2TP</t>
  </si>
  <si>
    <t>Portable Network Graphics (PNG)</t>
  </si>
  <si>
    <t>PNG</t>
  </si>
  <si>
    <t>OpenGIS Catalogue Services Specification 2.0.2 - ISO Metadata Application Profile</t>
  </si>
  <si>
    <t>1.0.2</t>
  </si>
  <si>
    <t>XA+ specification</t>
  </si>
  <si>
    <t>XA+</t>
  </si>
  <si>
    <t>Open Group</t>
  </si>
  <si>
    <t>Internet X.509 Public Key Infrastructure Certificate and Certificate Revocation List (CRL) Profile (RFC 5280)</t>
  </si>
  <si>
    <t>RFC 5280</t>
  </si>
  <si>
    <t>X.1403 : Security guidelines for using distributed ledger technology for decentralized identity management</t>
  </si>
  <si>
    <t>ITU-T X.1403</t>
  </si>
  <si>
    <t>GeoJSON Format (RFC 7946)</t>
  </si>
  <si>
    <t>GeoJSON</t>
  </si>
  <si>
    <t>RFC 7946</t>
  </si>
  <si>
    <t>ISO/IEC 11179-1:2023 Information technology Metadata registries (MDR) Part 1: Framework</t>
  </si>
  <si>
    <t>MDR</t>
  </si>
  <si>
    <t>ISO/IEC 11179-1</t>
  </si>
  <si>
    <t>EU Vocabularies Authority tables</t>
  </si>
  <si>
    <t>ITU-T X.1752: Security guidelines for big data infrastructure and platform</t>
  </si>
  <si>
    <t>ITU-T X.1752</t>
  </si>
  <si>
    <t>CloudEvents</t>
  </si>
  <si>
    <t>CNCF</t>
  </si>
  <si>
    <t>Risk Analysis and Assessment Modeling Language (RAAML)</t>
  </si>
  <si>
    <t>RAAML</t>
  </si>
  <si>
    <t>D&amp;S-001 EDC Discovery API</t>
  </si>
  <si>
    <t>eDelivery Access Point (AP) Domibus</t>
  </si>
  <si>
    <t>AP</t>
  </si>
  <si>
    <t>eDelivery AP Domibus</t>
  </si>
  <si>
    <t>4.2.7</t>
  </si>
  <si>
    <t>ISO/IEC 14662:2010 Information technology — Open-edi reference model</t>
  </si>
  <si>
    <t>Open-edi</t>
  </si>
  <si>
    <t>ISO/IEC 14662:2010</t>
  </si>
  <si>
    <t>Web Ontology Language (OWL2)</t>
  </si>
  <si>
    <t>OWL2</t>
  </si>
  <si>
    <t>ISO/IEC 19944-1:2020 - Cloud computing and distributed platforms ─ Data flow, data categories and data use — Part 1: Fundamentals</t>
  </si>
  <si>
    <t>ISO/IEC 19944-1:2020</t>
  </si>
  <si>
    <t>SmartM2M; Extension to SAREF;  Part 4: Smart Cities Domain (ETSI TS 103 410-4)</t>
  </si>
  <si>
    <t>ETSI TS 103 410-4</t>
  </si>
  <si>
    <t>X.509: Information technology - Open Systems Interconnection - The Directory: Public-key and attribute certificate frameworks</t>
  </si>
  <si>
    <t>Recommendation X.509 (10/19)</t>
  </si>
  <si>
    <t>eIDAS Interoperability Architecture</t>
  </si>
  <si>
    <t>Data Quality Vocabulary (DQV)</t>
  </si>
  <si>
    <t>DQV</t>
  </si>
  <si>
    <t>0.8.0</t>
  </si>
  <si>
    <t>Hypertext Transfer Protocol (HTTP) (RFCs 7230-7237)</t>
  </si>
  <si>
    <t>HTTP</t>
  </si>
  <si>
    <t>RFCs 7230-7237</t>
  </si>
  <si>
    <t>Identity of Member Companies (IAM - 001 Identity of Member Companies)</t>
  </si>
  <si>
    <t>Linked Data Platform (LDP)</t>
  </si>
  <si>
    <t>LDP</t>
  </si>
  <si>
    <t>ETSI TS 103 523-5 CYBER; Middlebox Security Protocol; Part 5: CYBER; Middlebox Security Protocol; Part 5: Enterprise Network Security</t>
  </si>
  <si>
    <t>ETSI TS 103 523-5</t>
  </si>
  <si>
    <t>Preservation Metadata: Implementation Strategies (PREMIS)</t>
  </si>
  <si>
    <t>PREMIS</t>
  </si>
  <si>
    <t>LoC</t>
  </si>
  <si>
    <t>Event Stream Extensions for AMQP</t>
  </si>
  <si>
    <t>European Legislation Identifier (ELI)</t>
  </si>
  <si>
    <t>ELI</t>
  </si>
  <si>
    <t>Y.4472 Open data application programming interfaces (APIs) for IoT data in smart cities and communities</t>
  </si>
  <si>
    <t>Y.4472</t>
  </si>
  <si>
    <t>Spatial Data on the Web Best Practices</t>
  </si>
  <si>
    <t>Linked Open Data Vocabularies LOD Vocabularies</t>
  </si>
  <si>
    <t>LOD Vocabularies</t>
  </si>
  <si>
    <t>LOV</t>
  </si>
  <si>
    <t>Resource Description Framework Schema (RDFS)</t>
  </si>
  <si>
    <t>RDFS</t>
  </si>
  <si>
    <t>Web Application Description Language (WADL)</t>
  </si>
  <si>
    <t>WADL</t>
  </si>
  <si>
    <t>Core Public Service Vocabulary Application Profile (CPSV-AP) 3.2.0</t>
  </si>
  <si>
    <t>CPSV-AP</t>
  </si>
  <si>
    <t>3.2.0</t>
  </si>
  <si>
    <t>Confidentiality Metadata Label Syntax</t>
  </si>
  <si>
    <t>NATO</t>
  </si>
  <si>
    <t>CAdES (CMS Advanced Electronic Signature) Baseline Profile</t>
  </si>
  <si>
    <t>COMMISSION IMPLEMENTING REGULATION (EU) 2015/1501 on the interoperability framework pursuant to Article 12(8) of Regulation (EU) No 910/2014 of the European Parliament and of the Council on electronic identification and trust services for electronic transactions in the internal market</t>
  </si>
  <si>
    <t>Regulation 2015/1501/EU</t>
  </si>
  <si>
    <t>L 235/1</t>
  </si>
  <si>
    <t>ODRL Vocabulary &amp; Expression 2.2</t>
  </si>
  <si>
    <t>ODRL</t>
  </si>
  <si>
    <t>Semantic Treehouse</t>
  </si>
  <si>
    <t>TNO</t>
  </si>
  <si>
    <t>2.19.1</t>
  </si>
  <si>
    <t>ISO 15489-1:2016 Information and documentation — Records management — Part 1: Concepts and principles</t>
  </si>
  <si>
    <t>ISO 15489-1</t>
  </si>
  <si>
    <t>Peppol Transport Infrastructure Service Metadata Publishing (Peppol SMP)</t>
  </si>
  <si>
    <t>SMP</t>
  </si>
  <si>
    <t>Peppol Policy for Transport Security</t>
  </si>
  <si>
    <t>Digital Single Market - Modernising VAT for cross border e-Commerce - Explanatory Notes on VAT e-commerce rules</t>
  </si>
  <si>
    <t>September 2020</t>
  </si>
  <si>
    <t>REGULATION OF THE EUROPEAN PARLIAMENT AND OF THE COUNCIL on European data governance</t>
  </si>
  <si>
    <t>Universal Description, Discovery, and Integration (UDDI)</t>
  </si>
  <si>
    <t>UDDI</t>
  </si>
  <si>
    <t>3.0.2</t>
  </si>
  <si>
    <t>ISO/IEC/IEEE 24748-2:2024 Systems and software engineering — Life cycle management Part 2: Guidelines for the application of ISO/IEC/IEEE 15288 (system life cycle processes)</t>
  </si>
  <si>
    <t>ISO/IEC/IEEE 24748</t>
  </si>
  <si>
    <t>Electronic Signatures and Infrastructures (ESI); CAdES digital signatures; Part 1: Building blocks and CAdES baseline signatures (ETSI EN 319 122-1)</t>
  </si>
  <si>
    <t>ETSI EN 319 122-1</t>
  </si>
  <si>
    <t>OpenID for Verifiable Presentations (OID4VP)</t>
  </si>
  <si>
    <t>OID4VP</t>
  </si>
  <si>
    <t>OpenID Foundation</t>
  </si>
  <si>
    <t>Syslog Protocol</t>
  </si>
  <si>
    <t>23.0.0</t>
  </si>
  <si>
    <t>SOAP 1.2</t>
  </si>
  <si>
    <t>SOAP</t>
  </si>
  <si>
    <t>eDelivery ebCore Party Id</t>
  </si>
  <si>
    <t>1.4.0</t>
  </si>
  <si>
    <t>ISO/IEC 18045:2022 Information security, cybersecurity and privacy protection — Evaluation criteria for IT security — Methodology for IT security evaluation</t>
  </si>
  <si>
    <t>ISO/IEC 18045:2022</t>
  </si>
  <si>
    <t>1</t>
  </si>
  <si>
    <t>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t>
  </si>
  <si>
    <t>Regulation 2015/1502/EU</t>
  </si>
  <si>
    <t>L 235/7</t>
  </si>
  <si>
    <t>X.1252 : Baseline identity management terms and definitions</t>
  </si>
  <si>
    <t>ITU-T X.1252</t>
  </si>
  <si>
    <t>E-ARK Archival Information Packages (AIP)</t>
  </si>
  <si>
    <t>AIP</t>
  </si>
  <si>
    <t>DILCIS Board</t>
  </si>
  <si>
    <t>Core Accessibility API Mappings</t>
  </si>
  <si>
    <t>ISO/IEC 19763 Series Information technology — Metamodel framework for interoperability (MFI)</t>
  </si>
  <si>
    <t>MFI</t>
  </si>
  <si>
    <t>ISO/IEC 19763 MFI</t>
  </si>
  <si>
    <t>Web Share API</t>
  </si>
  <si>
    <t>0.9.0</t>
  </si>
  <si>
    <t>OpenID4VC High-Assurance Interoperability Profile (HAIP) with SD-JWT VC</t>
  </si>
  <si>
    <t>OpenID4VC HAIP</t>
  </si>
  <si>
    <t>OpenID</t>
  </si>
  <si>
    <t>Cyber Security for Consumer Internet of Things Baseline Requirements (EN 303 645 3.1.3)</t>
  </si>
  <si>
    <t>EN 303 645</t>
  </si>
  <si>
    <t>3.1.3</t>
  </si>
  <si>
    <t>XML Schema Definition Language (XSD) 1.1 Part 1: Structures</t>
  </si>
  <si>
    <t>XSD</t>
  </si>
  <si>
    <t>System for Cross-domain Identity Management (SCIM) Protocol (RFC 7644)</t>
  </si>
  <si>
    <t>SCIM</t>
  </si>
  <si>
    <t>RFC 7644</t>
  </si>
  <si>
    <t>22.0.0</t>
  </si>
  <si>
    <t>data.europe.eu (DEU)</t>
  </si>
  <si>
    <t>DEU</t>
  </si>
  <si>
    <t>Directive 2014/23/EU of the European Parliament and of the Council of 26 February 2014 on the award of concession contracts Text with EEA relevance</t>
  </si>
  <si>
    <t>Directive 2014/23/EU</t>
  </si>
  <si>
    <t>L 94/1</t>
  </si>
  <si>
    <t>OData</t>
  </si>
  <si>
    <t>4.1.0</t>
  </si>
  <si>
    <t>Securing Artificial Intelligence (SAI); AI Threat Ontology and definitions (ETSI TS 104 050)</t>
  </si>
  <si>
    <t>ETSI TS 104 050</t>
  </si>
  <si>
    <t>IEEE P3652.1, Guide for Architectural Framework and Application of Federated Machine Learning</t>
  </si>
  <si>
    <t>IEEE P3652.1</t>
  </si>
  <si>
    <t>ETSI TS 133 501 5G; Security architecture and procedures for 5G System (3GPP TS 33.501 version 18.6.0 Release 18)</t>
  </si>
  <si>
    <t>ETSI TS 133 501 5G</t>
  </si>
  <si>
    <t>18.6.0</t>
  </si>
  <si>
    <t>IDSA Rulebook</t>
  </si>
  <si>
    <t>IDSA</t>
  </si>
  <si>
    <t>EDC (SOV-001 Eclipse Data Space Connector)</t>
  </si>
  <si>
    <t>EDC</t>
  </si>
  <si>
    <t>Electronic Signatures and Infrastructures (ESI); Registered Electronic Mail (REM) Services; Part 3: Formats (ETSI EN 319 532-3)</t>
  </si>
  <si>
    <t>ETSI EN 319 532-3</t>
  </si>
  <si>
    <t>eProcurement Ontology</t>
  </si>
  <si>
    <t>ePO</t>
  </si>
  <si>
    <t>REGULATION (EU) 2018/1725 OF THE EUROPEAN PARLIAMENT AND OF THE COUNCIL of 23 October 2018 on the protection of natural persons with regard to the processing of personal data by the Union institutions, bodies, offices and agencies and on the free movement of such data, and repealing Regulation (EC) No 45/2001 and Decision No 1247/2002/EC</t>
  </si>
  <si>
    <t>L 295/39</t>
  </si>
  <si>
    <t>Workflow Execution Service (WES) API</t>
  </si>
  <si>
    <t>WES API</t>
  </si>
  <si>
    <t>EPUB</t>
  </si>
  <si>
    <t>Cascading Style Sheets (CSS) v2.1</t>
  </si>
  <si>
    <t>CSS</t>
  </si>
  <si>
    <t>ITU-T Y.3605  Big data reference architecture</t>
  </si>
  <si>
    <t>ITU-T Y.3605</t>
  </si>
  <si>
    <t>DIRECTIVE (EU) 2015/2366 OF THE EUROPEAN PARLIAMENT AND OF THE COUNCIL of 25 November 2015 on payment services in the internal market, amending Directives 2002/65/EC, 2009/110/EC and 2013/36/EU and Regulation (EU) No 1093/2010, and repealing Directive 2007/64/EC</t>
  </si>
  <si>
    <t>Directive 2015/2366/EU</t>
  </si>
  <si>
    <t>L 337/35</t>
  </si>
  <si>
    <t>CSV on the Web</t>
  </si>
  <si>
    <t>CSVW</t>
  </si>
  <si>
    <t>CSV on the Web Working Group</t>
  </si>
  <si>
    <t>Key performance indicators for smart sustainable cities to assess the achievement of sustainable development goals</t>
  </si>
  <si>
    <t>ITU-T Y.4903</t>
  </si>
  <si>
    <t>OWL-based Web Service Ontology (OWL-S)</t>
  </si>
  <si>
    <t>OWL-S</t>
  </si>
  <si>
    <t>G8 Open Data Charter</t>
  </si>
  <si>
    <t>ODC</t>
  </si>
  <si>
    <t>ISO/IEC 27000:2018 Information technology — Security techniques — Information security management systems — Overview and vocabulary</t>
  </si>
  <si>
    <t>ISO/IEC 27000:2018</t>
  </si>
  <si>
    <t>IDSA Dataspace Protocol</t>
  </si>
  <si>
    <t>Comma-Separated Values (CSV) (RFC 4180)</t>
  </si>
  <si>
    <t>CSV</t>
  </si>
  <si>
    <t>RFC 4180</t>
  </si>
  <si>
    <t>File Transfer Protocol (FTP) (RFC 959)</t>
  </si>
  <si>
    <t>FTP</t>
  </si>
  <si>
    <t>RFC 959</t>
  </si>
  <si>
    <t>Domain-based Message Authentication, Reporting &amp; Conformance (DMARC)</t>
  </si>
  <si>
    <t>DMARC</t>
  </si>
  <si>
    <t>13.0.0</t>
  </si>
  <si>
    <t>Code List Representation (genericode)</t>
  </si>
  <si>
    <t>genericode</t>
  </si>
  <si>
    <t>Software Independent Archival of Relational Databases (SIARD) format specification</t>
  </si>
  <si>
    <t>SIARD</t>
  </si>
  <si>
    <t>SAF</t>
  </si>
  <si>
    <t>Research Data Repository Interoperability Recommendations</t>
  </si>
  <si>
    <t>None</t>
  </si>
  <si>
    <t>ISO/TS 10020:2022 Quality management systems - Organizational change management - Processes</t>
  </si>
  <si>
    <t>ISO/TS 10020:2022</t>
  </si>
  <si>
    <t>Accessibility requirements for ICT products and services (EN 301 549)</t>
  </si>
  <si>
    <t>EN 301 549</t>
  </si>
  <si>
    <t>3.2.1</t>
  </si>
  <si>
    <t>Storage Management Initiative Specification (SMI-S)</t>
  </si>
  <si>
    <t>SMI-S</t>
  </si>
  <si>
    <t>SNIA</t>
  </si>
  <si>
    <t>1.8.0</t>
  </si>
  <si>
    <t>Data Catalog Vocabulary (DCAT) - Version 3</t>
  </si>
  <si>
    <t>DCAT</t>
  </si>
  <si>
    <t>Statistical Data and Metadata Exchange (SDMX)</t>
  </si>
  <si>
    <t>SDMX</t>
  </si>
  <si>
    <t>SDMX Initiative</t>
  </si>
  <si>
    <t>CEN/CWA 18125 :2024 ‘Trusted Data Transaction'</t>
  </si>
  <si>
    <t>Trusted Data Transaction</t>
  </si>
  <si>
    <t>Internet Protocol Security (IPSec)</t>
  </si>
  <si>
    <t>IPSec</t>
  </si>
  <si>
    <t>6.0.0</t>
  </si>
  <si>
    <t>X.509 Internet Public Key Infrastructure Online Certificate Status Protocol - OCSP</t>
  </si>
  <si>
    <t>OCSP</t>
  </si>
  <si>
    <t>RFC 6960</t>
  </si>
  <si>
    <t>8.0.0</t>
  </si>
  <si>
    <t>MyData Data Connection Specification</t>
  </si>
  <si>
    <t>Geography Markup Language (GML)</t>
  </si>
  <si>
    <t>GML</t>
  </si>
  <si>
    <t>3.3.0</t>
  </si>
  <si>
    <t>Security framework for the Internet of things based on the gateway model</t>
  </si>
  <si>
    <t>ITU-T X.1361</t>
  </si>
  <si>
    <t>ITU-T X.1604 Security requirements of network as a service (NaaS) in cloud computing</t>
  </si>
  <si>
    <t>ITU-T X.1604</t>
  </si>
  <si>
    <t>DNS Queries over HTTPS (DoH) RFC 8484</t>
  </si>
  <si>
    <t>DoH</t>
  </si>
  <si>
    <t>RFC 8484</t>
  </si>
  <si>
    <t>14.0.0</t>
  </si>
  <si>
    <t>Data on the Web Best Practices W3C</t>
  </si>
  <si>
    <t>DWBP</t>
  </si>
  <si>
    <t>Electronic Signatures and Trust Infrastructures (ESI); Policy and security requirements for  Trust Service Providers issuing certificates; Part 2: Requirements for trust service providers issuing EU qualified certificates (ETSI EN 319 411-2)</t>
  </si>
  <si>
    <t>ETSI EN 319 411-2</t>
  </si>
  <si>
    <t>2.6.1</t>
  </si>
  <si>
    <t>Electronic Signatures and Infrastructures (ESI); Trust Service Provider Conformity Assessment; Part 1: Requirements for conformity assessment bodies assessing Trust Service Providers</t>
  </si>
  <si>
    <t>2.3.1</t>
  </si>
  <si>
    <t>OSLC Tracked Resource Set Version 3.0</t>
  </si>
  <si>
    <t>OSLC TRS</t>
  </si>
  <si>
    <t>European Interoperability Reference Architecture (EIRA) v3.1.0</t>
  </si>
  <si>
    <t>EIRA</t>
  </si>
  <si>
    <t>3.1.0</t>
  </si>
  <si>
    <t>iShare Trust Framework</t>
  </si>
  <si>
    <t>iShare</t>
  </si>
  <si>
    <t>XML Security Policy Information File (SPIF) format</t>
  </si>
  <si>
    <t>SPIF</t>
  </si>
  <si>
    <t>XMLSPIF.org</t>
  </si>
  <si>
    <t>Regulation (EU) 2023/2854 of the European Parliament and of the Council of 13 December 2023 on harmonised rules on fair access to and use of data and amending Regulation (EU) 2017/2394 and Directive (EU) 2020/1828 (Data Act)</t>
  </si>
  <si>
    <t>European Parliament. Council of the European Union.</t>
  </si>
  <si>
    <t>Filesystem Hierarchy Standard (FHS)</t>
  </si>
  <si>
    <t>FHS</t>
  </si>
  <si>
    <t>Linux Foundation</t>
  </si>
  <si>
    <t>vCard Format Specification</t>
  </si>
  <si>
    <t>vCard</t>
  </si>
  <si>
    <t>Transmission Control Protocol (TCP) Specification</t>
  </si>
  <si>
    <t>TCP</t>
  </si>
  <si>
    <t>28.0.0</t>
  </si>
  <si>
    <t>AMQP Filter Expressions</t>
  </si>
  <si>
    <t>ETL specification</t>
  </si>
  <si>
    <t>ETL</t>
  </si>
  <si>
    <t>DataSF</t>
  </si>
  <si>
    <t>GAIA-X Federated Services Continuous Automated Monitoring Compliance Specification (working draft)</t>
  </si>
  <si>
    <t>GXFS CAM</t>
  </si>
  <si>
    <t>working draft</t>
  </si>
  <si>
    <t>Peppol Continuous Transaction Controls (Peppol CTC) Reference Document</t>
  </si>
  <si>
    <t>ISO/IEC 38505-1: Information technology - Governance of IT - Part 1: Application of ISO/IEC 38500 to the governance of data</t>
  </si>
  <si>
    <t>ISO/IEC 38505-1</t>
  </si>
  <si>
    <t>IEEE 7002 - Standard for Data Privacy Process</t>
  </si>
  <si>
    <t>IEEE 7002</t>
  </si>
  <si>
    <t>Concise Binary Object Representation (CBOR) Tags for Date (RFC 8943)</t>
  </si>
  <si>
    <t>CBOR</t>
  </si>
  <si>
    <t>RFC 8943</t>
  </si>
  <si>
    <t>User Agent Accessibility Guidelines (UAAG)</t>
  </si>
  <si>
    <t>UAAG</t>
  </si>
  <si>
    <t>Internet X.509 Public Key Infrastructure Certificate Policy and Certification Practices Framework (RFC 3647)</t>
  </si>
  <si>
    <t>RFC 3647</t>
  </si>
  <si>
    <t>Secure Shell Protocol (SSH)</t>
  </si>
  <si>
    <t>SSH</t>
  </si>
  <si>
    <t>Apache License version 2</t>
  </si>
  <si>
    <t>Apache Software Foundation</t>
  </si>
  <si>
    <t>Kerberos</t>
  </si>
  <si>
    <t>MIT</t>
  </si>
  <si>
    <t>1.20.0</t>
  </si>
  <si>
    <t>IPv6 over BLUETOOTH(R) Low Energy</t>
  </si>
  <si>
    <t>RFC 7668</t>
  </si>
  <si>
    <t>DIRECTIVE (EU) 2018/1972 OF THE EUROPEAN PARLIAMENT AND OF THE COUNCIL of 11 December 2018 establishing the European Electronic Communications Code</t>
  </si>
  <si>
    <t>Directive 2018/1972/EU</t>
  </si>
  <si>
    <t>L 321/36</t>
  </si>
  <si>
    <t>Regulation (EC) No 45/2001 of the European Parliament and of the Council of 18 December 2000 on the protection of individuals with regard to the processing of personal data by the Community institutions and bodies and on the free movement of such data</t>
  </si>
  <si>
    <t>L 008</t>
  </si>
  <si>
    <t>Observing Resources in the Constrained Application Protocol (CoAP) (RFC 7641)</t>
  </si>
  <si>
    <t>Software Package Data Exchange (SPDX)</t>
  </si>
  <si>
    <t>SPDX</t>
  </si>
  <si>
    <t>OGC Training Data Markup Language for Artificial Intelligence (TrainingDML-AI) Part 1: Conceptual Model Standard.</t>
  </si>
  <si>
    <t>TrainingDML-AI</t>
  </si>
  <si>
    <t>Improved Extensible Authentication Protocol Method for 3rd Generation Authentication and Key Agreement (EAP-AKA')</t>
  </si>
  <si>
    <t>RFC 5448</t>
  </si>
  <si>
    <t>Open Document Format for Office Applications (OpenDocument)</t>
  </si>
  <si>
    <t>OpenDocument</t>
  </si>
  <si>
    <t>Office Open XML File Formats Part 3: Markup Compatibility and Extensibility</t>
  </si>
  <si>
    <t>ISO/IEC 29500-3:2015</t>
  </si>
  <si>
    <t>Ontology Design Patterns (ODP)</t>
  </si>
  <si>
    <t>JSON-LD</t>
  </si>
  <si>
    <t>Open Trip Model</t>
  </si>
  <si>
    <t>OTM</t>
  </si>
  <si>
    <t>SIMACAN</t>
  </si>
  <si>
    <t>Data Distribution Service (DDS)</t>
  </si>
  <si>
    <t>DDS</t>
  </si>
  <si>
    <t>Peppol Policy for use of identifiers</t>
  </si>
  <si>
    <t>EBSI - Verifiable Credentials Status Framework (EBSI-VC SF)</t>
  </si>
  <si>
    <t>EBSI-VC SF</t>
  </si>
  <si>
    <t>ISO/IEC 27001 INFORMATION SECURITY MANAGEMENT</t>
  </si>
  <si>
    <t>ISO/IEC 27001:2022</t>
  </si>
  <si>
    <t>RDF Mapping Language (RML)</t>
  </si>
  <si>
    <t>RML</t>
  </si>
  <si>
    <t>Business Document Naming and Design Rules (BDNDR)</t>
  </si>
  <si>
    <t>BDNDR</t>
  </si>
  <si>
    <t>Basic Digital Government API EU framework</t>
  </si>
  <si>
    <t>Concise Binary Object Representation (CBOR) (RFC 8949)</t>
  </si>
  <si>
    <t>RFC 8949</t>
  </si>
  <si>
    <t>Electronic Signatures and Infrastructures (ESI); PAdES digital signatures; Part 2: Additional PAdES signatures profiles (ETSI EN 319 142-2)</t>
  </si>
  <si>
    <t>PAdES</t>
  </si>
  <si>
    <t>ETSI EN 319 142-2</t>
  </si>
  <si>
    <t>Asset Administration Shell (AAS) specification - Part 1 Metamodel</t>
  </si>
  <si>
    <t>AAS</t>
  </si>
  <si>
    <t>Platform Industrie 4.0</t>
  </si>
  <si>
    <t>3.0.1</t>
  </si>
  <si>
    <t>ESCO</t>
  </si>
  <si>
    <t>SAML 2.0 - Security Assertion Markup Language</t>
  </si>
  <si>
    <t>Sensor Observation Service (SOS)</t>
  </si>
  <si>
    <t>SOS</t>
  </si>
  <si>
    <t>Issuing Agency (BPM - 002 Issuing Agency)</t>
  </si>
  <si>
    <t>Single Integrated Metadata Structure (SIMS)</t>
  </si>
  <si>
    <t>SIMS</t>
  </si>
  <si>
    <t>RPKI Architecture</t>
  </si>
  <si>
    <t>Capability Maturity Model Integration (CMMI)</t>
  </si>
  <si>
    <t>CMMI</t>
  </si>
  <si>
    <t>ISACA</t>
  </si>
  <si>
    <t>EN 16931-1:2017+A1:2019/AC:2020</t>
  </si>
  <si>
    <t>UTF-16</t>
  </si>
  <si>
    <t>Regulation (EU) 2018/1724 of the European Parliament and of the Council of 2 October 2018 establishing a single digital gateway to provide access to information, to procedures and to assistance and problem-solving services (Single Digital Gateway)</t>
  </si>
  <si>
    <t>SDG</t>
  </si>
  <si>
    <t>Network Functions Virtualisation (NFV); Infrastructure Overview (NFVI)</t>
  </si>
  <si>
    <t>NFVI</t>
  </si>
  <si>
    <t>COMMUNICATION FROM THE COMMISSION TO THE EUROPEAN PARLIAMENT, THE COUNCIL, THE EUROPEAN ECONOMIC AND SOCIAL COMMITTEE AND THE COMMITTEE OF THE REGIONS - A Quality Framework for Services of General Interest in Europe</t>
  </si>
  <si>
    <t>Access Control Paradigm (IAM - 003 IAM &amp; Access Control Paradigm)</t>
  </si>
  <si>
    <t>IAM-003</t>
  </si>
  <si>
    <t>Directive 2014/24/EU of the European Parliament and of the Council of 26 February 2014 on public procurement and repealing Directive 2004/18/EC Text with EEA relevance</t>
  </si>
  <si>
    <t>Directive 2014/24/EU</t>
  </si>
  <si>
    <t>L 94/65</t>
  </si>
  <si>
    <t>Identifier service requirements for the interoperability of smart city applications</t>
  </si>
  <si>
    <t>ITU-T Y.4805</t>
  </si>
  <si>
    <t>OASIS Heimdall Data Format</t>
  </si>
  <si>
    <t>OHDF</t>
  </si>
  <si>
    <t>Domibus v5.1.7</t>
  </si>
  <si>
    <t>5.1.7</t>
  </si>
  <si>
    <t>Semantically Interlinked Online Communities (SIOC) Core Ontology Specification</t>
  </si>
  <si>
    <t>ISO 3166-1:2020 Codes for the representation of names of countries and their subdivisions -- Part 1: Country codes</t>
  </si>
  <si>
    <t>ISO 3166-1</t>
  </si>
  <si>
    <t>OCF Specification</t>
  </si>
  <si>
    <t>OCF</t>
  </si>
  <si>
    <t>Open Connectivity Foundation</t>
  </si>
  <si>
    <t>2.2.5</t>
  </si>
  <si>
    <t>Proof Key for Code Exchange (PKCE)</t>
  </si>
  <si>
    <t>PKCE</t>
  </si>
  <si>
    <t>NATO Core Metadata Specification (NCMS)</t>
  </si>
  <si>
    <t>NCMS</t>
  </si>
  <si>
    <t>Stichting Elektronische Transacties Uitzendbranche (SETU specifications)</t>
  </si>
  <si>
    <t>SETU</t>
  </si>
  <si>
    <t>Stichting Elektronische Transacties Uitzendbranche</t>
  </si>
  <si>
    <t>RapidIO(TM) interconnect specification</t>
  </si>
  <si>
    <t>RapidIO</t>
  </si>
  <si>
    <t>Shapes Constraint Language (SHACL)</t>
  </si>
  <si>
    <t>SHACL</t>
  </si>
  <si>
    <t>ISO/IEC 20802-1:2016 Information technology — Open data protocol (OData) v4.0 Part 1: Core</t>
  </si>
  <si>
    <t>ISO/IEC 20802-1:2016</t>
  </si>
  <si>
    <t>Extended Log File Format</t>
  </si>
  <si>
    <t>Working Draft</t>
  </si>
  <si>
    <t>Real-Time Transport Protocol (RTP) RFC 3550</t>
  </si>
  <si>
    <t>RTP</t>
  </si>
  <si>
    <t>12.0.0</t>
  </si>
  <si>
    <t>IoT Big Data Harmonised Data Model</t>
  </si>
  <si>
    <t>GSMA</t>
  </si>
  <si>
    <t>ISO/IEC 19757-3:2016 Information technology -- Document Schema Definition Languages (DSDL) -- Part 3: Rule-based validation -- Schematron</t>
  </si>
  <si>
    <t>DSDL</t>
  </si>
  <si>
    <t>Sender Policy Framework (SPF) for Authorizing Use of Domains in Email</t>
  </si>
  <si>
    <t>IANA Link Relations (RFC 8288, Web Linking)</t>
  </si>
  <si>
    <t>RFC 8288</t>
  </si>
  <si>
    <t>ESPD data model</t>
  </si>
  <si>
    <t>ESPD-EDM</t>
  </si>
  <si>
    <t>EPCIS 2.0 Standard</t>
  </si>
  <si>
    <t>EPCIS</t>
  </si>
  <si>
    <t>GS1</t>
  </si>
  <si>
    <t>IDS Clearing House (IDS-CH)</t>
  </si>
  <si>
    <t>IDS-CH</t>
  </si>
  <si>
    <t>Minimal interoperability mechanisms for smart and sustainable cities and communities</t>
  </si>
  <si>
    <t>ITU-T Y.4505</t>
  </si>
  <si>
    <t>Data Exchange Services</t>
  </si>
  <si>
    <t>Architectural Principles for a Quantum Internet</t>
  </si>
  <si>
    <t>RFC 9340</t>
  </si>
  <si>
    <t>AJAX</t>
  </si>
  <si>
    <t>jQuery Foundation</t>
  </si>
  <si>
    <t>1.5.0</t>
  </si>
  <si>
    <t>JSON Abstract Data Notation</t>
  </si>
  <si>
    <t>JADN</t>
  </si>
  <si>
    <t>OAIS v3.0.0</t>
  </si>
  <si>
    <t>Web Real-Time Communication (WebRTC)</t>
  </si>
  <si>
    <t>WebRTC</t>
  </si>
  <si>
    <t>HAProxy</t>
  </si>
  <si>
    <t>haproxy.org</t>
  </si>
  <si>
    <t>2.9.0</t>
  </si>
  <si>
    <t>Commission Decision of 11 December 2006 establishing a list of standards and/or specifications for electronic communications networks, services and associated facilities and services and replacing all previous versions (notified under document number C(2006) 6364)</t>
  </si>
  <si>
    <t>Secure File Transfer Protocol (SFTP)</t>
  </si>
  <si>
    <t>SFTP</t>
  </si>
  <si>
    <t>Sep 1984</t>
  </si>
  <si>
    <t>Structured Threat Information Expression</t>
  </si>
  <si>
    <t>STIX</t>
  </si>
  <si>
    <t>REGULATION (EU) 2021/1153 OF THE EUROPEAN PARLIAMENT AND OF THE COUNCIL of 7 July 2021 establishing the Connecting Europe Facility and repealing Regulations (EU) No 1316/2013 and (EU) No 283/2014</t>
  </si>
  <si>
    <t>L 249/38</t>
  </si>
  <si>
    <t>API Blueprint</t>
  </si>
  <si>
    <t>Domain Name System (DNS)</t>
  </si>
  <si>
    <t>DNS</t>
  </si>
  <si>
    <t>JSON-RPC</t>
  </si>
  <si>
    <t>Dynamic Adaptive Streaming over HTTP (DASH)</t>
  </si>
  <si>
    <t>DASH</t>
  </si>
  <si>
    <t>Privacy Management Reference Model and Methodology (PMRM)</t>
  </si>
  <si>
    <t>PMRM</t>
  </si>
  <si>
    <t>Context Information Management (CIM); NGSI-LD Information Model (ETSI GS CIM 006)</t>
  </si>
  <si>
    <t>ETSI GS CIM 006</t>
  </si>
  <si>
    <t>ISO/IEC/IEEE 12207:2017 Systems and software engineering — Software life cycle processes</t>
  </si>
  <si>
    <t>ISO/IEC/IEEE 12207:2017</t>
  </si>
  <si>
    <t>SoftEther</t>
  </si>
  <si>
    <t>5.1.0</t>
  </si>
  <si>
    <t>GITB Test Description Language (TDL)</t>
  </si>
  <si>
    <t>GITB TDL</t>
  </si>
  <si>
    <t>ISO/IEC 20802-2:2016 Information technology — Open data protocol (OData) v4.0 Part 2: OData JSON Format</t>
  </si>
  <si>
    <t>ISO/IEC 20802-2:2016</t>
  </si>
  <si>
    <t>Policy Requirements for Time-Stamping Authorities (TSAs) (RFC 3628)</t>
  </si>
  <si>
    <t>RFC 3628</t>
  </si>
  <si>
    <t>CLOUD; Test Descriptions for Cloud Interoperability (ETSI TS 103 142)</t>
  </si>
  <si>
    <t>ETSI TS 103 142</t>
  </si>
  <si>
    <t>MyData Authorisation Specification</t>
  </si>
  <si>
    <t>Human Resources (HR) Open Standards</t>
  </si>
  <si>
    <t>HR Open Standards</t>
  </si>
  <si>
    <t>4.2.0</t>
  </si>
  <si>
    <t>Experience Application Programming Interface (xAPI)</t>
  </si>
  <si>
    <t>xAPI</t>
  </si>
  <si>
    <t>ADL</t>
  </si>
  <si>
    <t>X.1363 : Technical framework of personally identifiable information handling system in Internet of things environment</t>
  </si>
  <si>
    <t>ITU-T X.1363</t>
  </si>
  <si>
    <t>PEPPOL AS2 Profile</t>
  </si>
  <si>
    <t>UBL 2.3 JSON Alternative Representation</t>
  </si>
  <si>
    <t>Point-to-Point Tunneling Protocol (PPTP)</t>
  </si>
  <si>
    <t>PPTP</t>
  </si>
  <si>
    <t>ETSI TS 119 511 Electronic Signatures and Infrastructures (ESI); Policy and security requirements for trust service providers providing long-term preservation of digital signatures or general data using digital signature techniques</t>
  </si>
  <si>
    <t>ETSI TS 119 511</t>
  </si>
  <si>
    <t>Geo-DCAT-AP</t>
  </si>
  <si>
    <t>ISO/IEC 30141:2018 Internet of Things (IoT) — Reference Architecture</t>
  </si>
  <si>
    <t>ISO/IEC 30141:2018</t>
  </si>
  <si>
    <t>Scalable Vector Graphics (SVG) v1.1 (Second Edition)</t>
  </si>
  <si>
    <t>SVG</t>
  </si>
  <si>
    <t>The Remote Framebuffer Protocol (RFB)</t>
  </si>
  <si>
    <t>RFB</t>
  </si>
  <si>
    <t>Online Access Act (OZG)</t>
  </si>
  <si>
    <t>OZG</t>
  </si>
  <si>
    <t>Government of Germany</t>
  </si>
  <si>
    <t>X.1171 : Threats and requirements for protection of personally identifiable information in applications using tag-based identification</t>
  </si>
  <si>
    <t>ITU-T X.1171</t>
  </si>
  <si>
    <t>Trusted Automated Exchange of Intelligence Information</t>
  </si>
  <si>
    <t>TAXII</t>
  </si>
  <si>
    <t>NIEM High-Level Version Architecture (HLVA)</t>
  </si>
  <si>
    <t>HLVA</t>
  </si>
  <si>
    <t>NTAC</t>
  </si>
  <si>
    <t>Hydra Core Vocabulary</t>
  </si>
  <si>
    <t>Extended Knowledge Organization System (XKOS)</t>
  </si>
  <si>
    <t>XKOS</t>
  </si>
  <si>
    <t>DDI Alliance</t>
  </si>
  <si>
    <t>L2TP over IPSec using ESP transport mode (L2TP/IPSec)</t>
  </si>
  <si>
    <t>L2TP/IPSec</t>
  </si>
  <si>
    <t>HTML+RDFa</t>
  </si>
  <si>
    <t>X.1250 : Baseline capabilities for enhanced global identity management and interoperability</t>
  </si>
  <si>
    <t>ITU-T X.1250</t>
  </si>
  <si>
    <t>Decentralized Identifiers (DIDs) v1.0</t>
  </si>
  <si>
    <t>DIDs</t>
  </si>
  <si>
    <t>Socrata Open Data Server (SODA)</t>
  </si>
  <si>
    <t>SODA</t>
  </si>
  <si>
    <t>Socrata</t>
  </si>
  <si>
    <t>E-ARK Submission Information Package (SIP)</t>
  </si>
  <si>
    <t>E-ARK SIP</t>
  </si>
  <si>
    <t>Cloud API Service Consistency (CASC) score</t>
  </si>
  <si>
    <t>CASC</t>
  </si>
  <si>
    <t>APImetrics</t>
  </si>
  <si>
    <t>Requirements and reference architecture of a Security Gateway for the exchange of industry data and services (DIN SPEC 27070:2020-03)</t>
  </si>
  <si>
    <t>DIN SPEC 27070:2020-03</t>
  </si>
  <si>
    <t>GXFSv2 ICAM</t>
  </si>
  <si>
    <t>24.7.0</t>
  </si>
  <si>
    <t>Federated Catalogue</t>
  </si>
  <si>
    <t>22.10.0</t>
  </si>
  <si>
    <t>Reactive WebSocket</t>
  </si>
  <si>
    <t>Spring</t>
  </si>
  <si>
    <t>Yet Another Markup Language (YAML)</t>
  </si>
  <si>
    <t>YAML</t>
  </si>
  <si>
    <t>yaml.org</t>
  </si>
  <si>
    <t>1.2.2</t>
  </si>
  <si>
    <t>Architectures and protocols for remote signature applications</t>
  </si>
  <si>
    <t>CSC</t>
  </si>
  <si>
    <t>Data Use Ontology (DUO)</t>
  </si>
  <si>
    <t>DUO</t>
  </si>
  <si>
    <t>Constrained Application Protocol (CoAP)</t>
  </si>
  <si>
    <t>CoAP</t>
  </si>
  <si>
    <t>Jun 14</t>
  </si>
  <si>
    <t>System for Cross-domain Identity Management: Definitions, Overview, Concepts, and Requirements RFC 7642</t>
  </si>
  <si>
    <t>RFC 7642</t>
  </si>
  <si>
    <t>IT4IT</t>
  </si>
  <si>
    <t>2011/833/EU: Commission Decision of 12 December 2011 on the reuse of Commission documents</t>
  </si>
  <si>
    <t>Decision 2011/833/EU</t>
  </si>
  <si>
    <t>L 330/39</t>
  </si>
  <si>
    <t>SPARQL 1.1 Graph Store HTTP Protocol</t>
  </si>
  <si>
    <t>ETSI TS 103 744 CYBER; Quantum-safe Hybrid Key Exchanges</t>
  </si>
  <si>
    <t>ETSI TS 103 744</t>
  </si>
  <si>
    <t>Core Assessment Vocabulary (CAV)</t>
  </si>
  <si>
    <t>CAV</t>
  </si>
  <si>
    <t>UN/EDIFACT Syntax 3</t>
  </si>
  <si>
    <t>UNECE</t>
  </si>
  <si>
    <t>PSC Charter</t>
  </si>
  <si>
    <t>EUDI Wallet Architecture &amp; Reference Framework (EUDI RAF)</t>
  </si>
  <si>
    <t>EUDI RAF</t>
  </si>
  <si>
    <t>ISO/IEC 9797-1:2011 Information technology - Security techniques - Message Authentication Codes (MACs) - Part 1: Mechanisms using a block cipher</t>
  </si>
  <si>
    <t>MACs</t>
  </si>
  <si>
    <t>ISO/IEC 9797-1:2011</t>
  </si>
  <si>
    <t>Cipher-based Message Authentication Code (CMAC)</t>
  </si>
  <si>
    <t>CMAC</t>
  </si>
  <si>
    <t>HMAC: Keyed-Hashing for Message Authentication</t>
  </si>
  <si>
    <t>Council Directive 2006/112/EC of 28 November 2006 on the common system of value added tax</t>
  </si>
  <si>
    <t>Directive 2006/112/EC</t>
  </si>
  <si>
    <t>L 347/1</t>
  </si>
  <si>
    <t>Ontology-Based Model of E-Governance</t>
  </si>
  <si>
    <t>CEN Workshop Agreement (CWA)</t>
  </si>
  <si>
    <t>CWA</t>
  </si>
  <si>
    <t>DIRECTIVE (EU) 2019/770 OF THE EUROPEAN PARLIAMENT AND OF THE COUNCIL of 20 May 2019 on certain aspects concerning contracts for the supply of digital content and digital services</t>
  </si>
  <si>
    <t>Directive 2019/770/EU</t>
  </si>
  <si>
    <t>L 136/1</t>
  </si>
  <si>
    <t>SmartM2M; Requirements and Guidelines for cross-domain data usability of IoT devices (ETSI TS 103 779)</t>
  </si>
  <si>
    <t>ETSI TS 103 779</t>
  </si>
  <si>
    <t>The OpenContainers Runtime Spec</t>
  </si>
  <si>
    <t>OCI</t>
  </si>
  <si>
    <t>ISO/IEC 23736-4:2020 Information technology — Digital publishing — EPUB 3.0.1 — Part 4: Open container format</t>
  </si>
  <si>
    <t>EPUB OCF</t>
  </si>
  <si>
    <t>ISO/IEC 23736-4:2020</t>
  </si>
  <si>
    <t>ECMAScript language specification</t>
  </si>
  <si>
    <t>ISO/IEC 30115:2018 Information technology — Redfish scalable platforms management API specification</t>
  </si>
  <si>
    <t>ISO/IEC 30115:2018</t>
  </si>
  <si>
    <t>CloudEvents v1.0.2</t>
  </si>
  <si>
    <t>Requirements and recommendations regarding the Digital Certificates used in eDelivery</t>
  </si>
  <si>
    <t>CYBER; Identity Management and Discovery for IoT (ETSI TS 103 486)</t>
  </si>
  <si>
    <t>ETSI TS 103 486</t>
  </si>
  <si>
    <t>ITU-T Y.4464 Framework of blockchain of things as decentralized service platform</t>
  </si>
  <si>
    <t>ITU-T Y.4464</t>
  </si>
  <si>
    <t>EBSI - Verifiable Credentials (EBSI-VC)</t>
  </si>
  <si>
    <t>EBSI-VC</t>
  </si>
  <si>
    <t>Universal 2nd Factor (U2F)</t>
  </si>
  <si>
    <t>U2F</t>
  </si>
  <si>
    <t>Electronic Signatures and Infrastructures (ESI); PAdES digital signatures; Part 1: Building blocks and PAdES baseline signatures (ETSI EN 319 142-1)</t>
  </si>
  <si>
    <t>ITU-T Y.3653 Functional architecture of big data-driven networking</t>
  </si>
  <si>
    <t>ITU-T Y.3653</t>
  </si>
  <si>
    <t>European Interoperability Reference Architecture (EIRA) v6.1.0</t>
  </si>
  <si>
    <t>6.1.0</t>
  </si>
  <si>
    <t>DID resolution</t>
  </si>
  <si>
    <t>ISO/IEC/IEEE 24774:2021 Systems and software engineering — Life cycle management — Specification for process description</t>
  </si>
  <si>
    <t>ISO/IEC/IEEE 24774:2021</t>
  </si>
  <si>
    <t>Electronic Signatures and Infrastructures (ESI); XAdES digital signatures; Part 2: Extended XAdES signatures (ETSI EN 319 132-2)</t>
  </si>
  <si>
    <t>XAdES</t>
  </si>
  <si>
    <t>Circular public procurement of information and communication technologies</t>
  </si>
  <si>
    <t>ITU-T L.1061</t>
  </si>
  <si>
    <t>Open Archives Initiative Protocol for Metadata Harvesting OAI-PMH</t>
  </si>
  <si>
    <t>OAI</t>
  </si>
  <si>
    <t>GITB Messaging Service API</t>
  </si>
  <si>
    <t>Open Cloud Computing Interface (OCCI)</t>
  </si>
  <si>
    <t>OCCI</t>
  </si>
  <si>
    <t>OGF</t>
  </si>
  <si>
    <t>RESTful API Modeling Language (RAML)</t>
  </si>
  <si>
    <t>RAML</t>
  </si>
  <si>
    <t>ODRL Information Model 2.2</t>
  </si>
  <si>
    <t>ISO/IEC 23271:2012 Information technology — Common Language Infrastructure (CLI)</t>
  </si>
  <si>
    <t>CLI</t>
  </si>
  <si>
    <t>RapidAPI</t>
  </si>
  <si>
    <t>ETSI TS 119 512 Electronic Signatures and Infrastructures (ESI); Protocols for trust service providers providing long-term data preservation services.</t>
  </si>
  <si>
    <t>ETSI TS 119 512</t>
  </si>
  <si>
    <t>Peppol Business Message Envelope (SBDH)</t>
  </si>
  <si>
    <t>SBDH</t>
  </si>
  <si>
    <t>ETSI ES 203 199 Environmental Engineering (EE); Methodology for environmental Life Cycle Assessment (LCA) of Information and Communication Technology (ICT) goods, networks and services</t>
  </si>
  <si>
    <t>ETSI ES 203 199</t>
  </si>
  <si>
    <t>COMMISSION DECISION (EU, Euratom) 2017/46 of 10 January 2017 on the security of communication and information systems in the European Commission</t>
  </si>
  <si>
    <t>European Security Certification Framework (EU-SEC)</t>
  </si>
  <si>
    <t>EU-SEC</t>
  </si>
  <si>
    <t>ECCC</t>
  </si>
  <si>
    <t>Cyber Security for Consumer Internet of Things Baseline Requirements (EN 303 645)</t>
  </si>
  <si>
    <t>ETSI EN 303 645</t>
  </si>
  <si>
    <t>Verifiable Credentials</t>
  </si>
  <si>
    <t>VC</t>
  </si>
  <si>
    <t>Details of the AAS Part 1 - Metamodel and Package File formats (AAS Metamodel)</t>
  </si>
  <si>
    <t>Metadata Registries Interoperability and Bindings (MDR-IB) (ISO/IEC 20944-1:2013)</t>
  </si>
  <si>
    <t>MDR-IB</t>
  </si>
  <si>
    <t>ISO/IEC 20944-1:2013</t>
  </si>
  <si>
    <t>Account Management API REST Specification (Account API)</t>
  </si>
  <si>
    <t>TM Forum</t>
  </si>
  <si>
    <t>GXFS Authentication/Authorization</t>
  </si>
  <si>
    <t>ISO/IEC 29500-2:2021 Document description and processing languages — Office Open XML file formats — Part 2: Open packaging conventions</t>
  </si>
  <si>
    <t>Additional HTTP Status Codes (RFC 6585)</t>
  </si>
  <si>
    <t>eDelivery SMP 1.10</t>
  </si>
  <si>
    <t>1.10.0</t>
  </si>
  <si>
    <t>X.1275 : Guidelines on protection of personally identifiable information in the application of RFID technology</t>
  </si>
  <si>
    <t>ITU-T X.1275</t>
  </si>
  <si>
    <t>Requirements and capability framework for IoT-based automotive emergency response system</t>
  </si>
  <si>
    <t>ITU-T Y.4119</t>
  </si>
  <si>
    <t>ETSI TS 119 612 - Electronic Signatures and Infrastructures (ESI); Trusted Lists</t>
  </si>
  <si>
    <t>ETSI TS 119 612</t>
  </si>
  <si>
    <t>Concise Data Definition Language (CDDL): A Notational Convention to Express Concise Binary Object Representation (CBOR) and JSON Data Structures (RFC 8610)</t>
  </si>
  <si>
    <t>CDDL</t>
  </si>
  <si>
    <t>Coordinated Metadata Catalogue Model (CMD)</t>
  </si>
  <si>
    <t>CMD</t>
  </si>
  <si>
    <t>Common Data Model</t>
  </si>
  <si>
    <t>CDM</t>
  </si>
  <si>
    <t>4.7.7</t>
  </si>
  <si>
    <t>XML Advanced Electronic Signatures (XAdES) - ISO 14533-2:2012</t>
  </si>
  <si>
    <t>ISO 14533-2:2012</t>
  </si>
  <si>
    <t>X.1770 : Technical guidelines for secure multi-party computation</t>
  </si>
  <si>
    <t>ITU-T X.1770</t>
  </si>
  <si>
    <t>Q.3914 : Set of parameters of cloud computing for monitoring</t>
  </si>
  <si>
    <t>ITU-T Q.3914</t>
  </si>
  <si>
    <t>ONB - 004 CX Registration API</t>
  </si>
  <si>
    <t>ONB-004</t>
  </si>
  <si>
    <t>IMMC Core Metadata</t>
  </si>
  <si>
    <t>Requirements and capability framework of digital twin for intelligent transport system</t>
  </si>
  <si>
    <t>ITU-T Y.4225</t>
  </si>
  <si>
    <t>Reference Model for an Open Archival Information System (OAIS)</t>
  </si>
  <si>
    <t>OAIS</t>
  </si>
  <si>
    <t>CCSDS</t>
  </si>
  <si>
    <t>REST API Standard (RAPIS)</t>
  </si>
  <si>
    <t>RAPIS</t>
  </si>
  <si>
    <t>RAPIS Working Group</t>
  </si>
  <si>
    <t>DCAT-AP v2.0.0</t>
  </si>
  <si>
    <t>DCAT-AP</t>
  </si>
  <si>
    <t>The Digital Europa Thesaurus (DET)</t>
  </si>
  <si>
    <t>DET</t>
  </si>
  <si>
    <t>IEEE 7001-2021 - IEEE Standard for Transparency of Autonomous Systems</t>
  </si>
  <si>
    <t>IEEE 7001-2021</t>
  </si>
  <si>
    <t>HTTP over SSL/TLS (HTTPS) (RFC 2818)</t>
  </si>
  <si>
    <t>HTTPS</t>
  </si>
  <si>
    <t>RFC 2818</t>
  </si>
  <si>
    <t>Electronic Signatures and Infrastructures (ESI); Time-stamping protocol and time-stamp token profiles</t>
  </si>
  <si>
    <t>ETSI EN 319 422</t>
  </si>
  <si>
    <t>Office Open XML File Formats Part 4: Transitional Migration Features</t>
  </si>
  <si>
    <t>ISO/IEC 29500-4:2016</t>
  </si>
  <si>
    <t>Y.4208 : Internet of things requirements for support of edge computing</t>
  </si>
  <si>
    <t>ITU-T Y.4208</t>
  </si>
  <si>
    <t>W3C PROV-N: The Provenance Notation</t>
  </si>
  <si>
    <t>PROV-N</t>
  </si>
  <si>
    <t>SmartM2M; Smart Applications;  Reference Ontology and oneM2M Mapping (ETSI TS 103 264)</t>
  </si>
  <si>
    <t>ETSI TS 103 264</t>
  </si>
  <si>
    <t>4.1.1</t>
  </si>
  <si>
    <t>Indian Urban Data Exchange (IUDX)</t>
  </si>
  <si>
    <t>IUDX</t>
  </si>
  <si>
    <t>Government of India</t>
  </si>
  <si>
    <t>WebFinger protocol</t>
  </si>
  <si>
    <t>CMS Advanced Electronic Signatures (CAdES) - ISO 14533-1:2014</t>
  </si>
  <si>
    <t>ISO 14533-1:2014</t>
  </si>
  <si>
    <t>JSON-stat Dataset Format</t>
  </si>
  <si>
    <t>JSON-stat</t>
  </si>
  <si>
    <t>json-stat</t>
  </si>
  <si>
    <t>Apache Avro</t>
  </si>
  <si>
    <t>1.12.0</t>
  </si>
  <si>
    <t>REGULATION (EU) 2019/1157 OF THE EUROPEAN PARLIAMENT AND OF THE COUNCIL of 20 June 2019 on strengthening the security of identity cards of Union citizens and of residence documents issued to Union citizens and their family members exercising their right of free movement</t>
  </si>
  <si>
    <t>Regulation 2019/1157/EU</t>
  </si>
  <si>
    <t>L 188/67</t>
  </si>
  <si>
    <t>BIS eDelivery guide for pre-award</t>
  </si>
  <si>
    <t>OpenStack</t>
  </si>
  <si>
    <t>25.0.0</t>
  </si>
  <si>
    <t>WDS Publishing Data Services</t>
  </si>
  <si>
    <t>European Interoperability Reference Architecture (EIRA) v5.0.0</t>
  </si>
  <si>
    <t>MIME</t>
  </si>
  <si>
    <t>GS1 EANCOM Syntax 4 standard</t>
  </si>
  <si>
    <t>Advanced Message Queuing Protocol (AMQP)</t>
  </si>
  <si>
    <t>AMQP</t>
  </si>
  <si>
    <t>RosettaNet Implementation Framework (RNIF)</t>
  </si>
  <si>
    <t>RNIF</t>
  </si>
  <si>
    <t>Linked Data Event Streams</t>
  </si>
  <si>
    <t>LDES</t>
  </si>
  <si>
    <t>Gaia-X Policy Rules and Labelling Document</t>
  </si>
  <si>
    <t>22.11.0</t>
  </si>
  <si>
    <t>Linked Data Event Streams (LDES)</t>
  </si>
  <si>
    <t>Data Collections API</t>
  </si>
  <si>
    <t>CEN/TC 428 - ICT Professionalism and Digital Competences - European Competency Framework (The European Union's European e-Competence Framework (e-CF)</t>
  </si>
  <si>
    <t>e-CF</t>
  </si>
  <si>
    <t>CEN/TC 428</t>
  </si>
  <si>
    <t>iShare Authorization Registry</t>
  </si>
  <si>
    <t>OpenTelemetry (OTel)</t>
  </si>
  <si>
    <t>OTel</t>
  </si>
  <si>
    <t>Functional architecture of network-based driving assistance for autonomous vehicles</t>
  </si>
  <si>
    <t>ITU-T Y.4471</t>
  </si>
  <si>
    <t>GAIA-X Federated Services Data Exchange Logging Service (GXFS DELS) working draft</t>
  </si>
  <si>
    <t>GXFS DELS</t>
  </si>
  <si>
    <t>Working draft</t>
  </si>
  <si>
    <t>E-ARK Common Specification for Information Packages (CSIP)</t>
  </si>
  <si>
    <t>E-ARK CSIP</t>
  </si>
  <si>
    <t>Electronic Signatures and Infrastructures (ESI); Protocols for remote digital signature creation (ETSI TS 119 432)</t>
  </si>
  <si>
    <t>ETSI TS 119 432</t>
  </si>
  <si>
    <t>RTP Profile for Audio and Video Conferences with Minimal Control</t>
  </si>
  <si>
    <t>RFC 3551</t>
  </si>
  <si>
    <t>OpenID for Verifiable Credential Issuance (OID4VCI)</t>
  </si>
  <si>
    <t>OID4VCI</t>
  </si>
  <si>
    <t>Electronic Signatures and Infrastructures (ESI); XAdES digital signatures; Part 1: Building blocks and XAdES baseline signatures (ETSI EN 319 132-1)</t>
  </si>
  <si>
    <t>ETSI EN 319 132-1</t>
  </si>
  <si>
    <t>CEF eDelivery PKI Service</t>
  </si>
  <si>
    <t>2.3.0</t>
  </si>
  <si>
    <t>Proposal for regulation on establishing a Single Digital GateWay Proposal for a REGULATION OF THE EUROPEAN PARLIAMENT AND OF THE COUNCIL on establishing a single digital gateway to provide information, procedures, assistance and problem solving services and amending Regulation (EU) No 1024/2012 COM/2017/0256 final - 2017/086 (COD)</t>
  </si>
  <si>
    <t>Regulation 2017/0086/COD</t>
  </si>
  <si>
    <t>COM(2017) 256</t>
  </si>
  <si>
    <t>XBRL-GL</t>
  </si>
  <si>
    <t>XBRL International</t>
  </si>
  <si>
    <t>2017</t>
  </si>
  <si>
    <t>Cyber Security (CYBER); Cyber Security for Consumer Internet of Things: Conformance Assessment of Baseline Requirements (ETSI TS 103 701)</t>
  </si>
  <si>
    <t>ETSI TS 103 701</t>
  </si>
  <si>
    <t>DomainKeys Identified Mail (DKIM)</t>
  </si>
  <si>
    <t>DKIM</t>
  </si>
  <si>
    <t>Collection+JSON</t>
  </si>
  <si>
    <t>amundsen.com</t>
  </si>
  <si>
    <t>Information Technology Cloud computing Service level agreement (SLA) framework (ISO/IEC 19086-1:2016)</t>
  </si>
  <si>
    <t>ISO/IEC 19086-1:2016</t>
  </si>
  <si>
    <t>SHA-3</t>
  </si>
  <si>
    <t>TR.NCDP - Session-layer network coding protocol for multicast data transmission</t>
  </si>
  <si>
    <t>nan</t>
  </si>
  <si>
    <t>Data Catalog Vocabulary (DCAT) - Version 2</t>
  </si>
  <si>
    <t>Microcks</t>
  </si>
  <si>
    <t>Universally Unique Identifiers RFC 9562</t>
  </si>
  <si>
    <t>UUIDs</t>
  </si>
  <si>
    <t>RFC 9562</t>
  </si>
  <si>
    <t>Date and Time on the Internet: Timestamps (RFC 3339)</t>
  </si>
  <si>
    <t>RFC 3339</t>
  </si>
  <si>
    <t>ITU-T X.1751: Security guidelines on big data lifecycle management for telecom operators</t>
  </si>
  <si>
    <t>ITU-T X.1751</t>
  </si>
  <si>
    <t>IETF Time Stamp Protocol RFC 3161</t>
  </si>
  <si>
    <t>TSP</t>
  </si>
  <si>
    <t>RFC 3161</t>
  </si>
  <si>
    <t>15.0.0</t>
  </si>
  <si>
    <t>OpenPM2</t>
  </si>
  <si>
    <t>PROV Ontology</t>
  </si>
  <si>
    <t>PROV-O</t>
  </si>
  <si>
    <t>AsyncAPI</t>
  </si>
  <si>
    <t>Transport Layer Security (TLS)</t>
  </si>
  <si>
    <t>publiccode.yml</t>
  </si>
  <si>
    <t>Developers Italia</t>
  </si>
  <si>
    <t>0.4.0</t>
  </si>
  <si>
    <t>Peppol Transport Infrastructure Service Metadata Locator (Peppol SML)</t>
  </si>
  <si>
    <t>SML</t>
  </si>
  <si>
    <t>Virtual I/O Device (VIRTIO) Version 1.1</t>
  </si>
  <si>
    <t>VIRTIO</t>
  </si>
  <si>
    <t>BregDCAT-AP</t>
  </si>
  <si>
    <t>Y3600 Big data - Cloud computing based requirements and capabilities</t>
  </si>
  <si>
    <t>ITU-T Y.3600</t>
  </si>
  <si>
    <t>Swedish API License</t>
  </si>
  <si>
    <t>API UX</t>
  </si>
  <si>
    <t>OpenSearch</t>
  </si>
  <si>
    <t>Amazon</t>
  </si>
  <si>
    <t>2.15.0</t>
  </si>
  <si>
    <t>Cross Industry Invoice (CII)</t>
  </si>
  <si>
    <t>CII</t>
  </si>
  <si>
    <t>eIDAS Cryptographic Requirements for the Interoperability Framework</t>
  </si>
  <si>
    <t>Electronic Signatures and Infrastructures (ESI);Testing Conformance and Interoperability of Trusted Lists; Part 1: Specifications for testing conformance of XML representation of Trusted Lists</t>
  </si>
  <si>
    <t>UN/CEFACT CCTS v3.0.0</t>
  </si>
  <si>
    <t>CCTS</t>
  </si>
  <si>
    <t>EU Vocabularies</t>
  </si>
  <si>
    <t>ISO/IEC 21838-2:2021 Information technology — Top-level ontologies (TLO) — Part 2: Basic Formal Ontology (BFO)</t>
  </si>
  <si>
    <t>BFO</t>
  </si>
  <si>
    <t>ISO/IEC 21838-2:2021</t>
  </si>
  <si>
    <t>CSAF Common Vulnerability Reporting Framework (CVRF) Version 1.2</t>
  </si>
  <si>
    <t>CVRF</t>
  </si>
  <si>
    <t>Tag image file format for image technology (TIFF/IT)</t>
  </si>
  <si>
    <t>TIFF/IT</t>
  </si>
  <si>
    <t>ISO 12639:2004</t>
  </si>
  <si>
    <t>Internet Protocol version 6 (IPv6) (RFC 2460)</t>
  </si>
  <si>
    <t>IPv6</t>
  </si>
  <si>
    <t>RFC 2460</t>
  </si>
  <si>
    <t>Peppol eDelivery Network Specifications</t>
  </si>
  <si>
    <t>ETSI TS 103 532 CYBER; Attribute Based Encryption for Attribute Based Access Control</t>
  </si>
  <si>
    <t>ETSI TS 103 532</t>
  </si>
  <si>
    <t>Standard Business Document Header (SBDH)</t>
  </si>
  <si>
    <t>X.1212 : Design considerations for improved end-user perception of trustworthiness indicators</t>
  </si>
  <si>
    <t>ITU-T X.1212</t>
  </si>
  <si>
    <t>ETSI TR 103 619 CYBER; Migration strategies and recommendations to Quantum Safe schemes</t>
  </si>
  <si>
    <t>FQSCS</t>
  </si>
  <si>
    <t>ETSI TR 103 619</t>
  </si>
  <si>
    <t>YANG Data Model for L3VPN Service Delivery RFC 8299</t>
  </si>
  <si>
    <t>RFC 8299</t>
  </si>
  <si>
    <t>Data Format Description Language (DFDL)</t>
  </si>
  <si>
    <t>DFDL</t>
  </si>
  <si>
    <t>MyData Account Specification</t>
  </si>
  <si>
    <t>Keyhole Markup Language (KML)</t>
  </si>
  <si>
    <t>KML</t>
  </si>
  <si>
    <t>XML Query Language (XQuery)</t>
  </si>
  <si>
    <t>Payment Card Industry Data Security Standard</t>
  </si>
  <si>
    <t>PCI DSS</t>
  </si>
  <si>
    <t>HAL-FORMS</t>
  </si>
  <si>
    <t>Dwolla</t>
  </si>
  <si>
    <t>0.0.2</t>
  </si>
  <si>
    <t>Data Space Support Centre Blueprint (DSSC Blueprint)</t>
  </si>
  <si>
    <t>DSSC Blueprint</t>
  </si>
  <si>
    <t>DSSC</t>
  </si>
  <si>
    <t>COBIT</t>
  </si>
  <si>
    <t>Directive 2000/31/EC of the European Parliament and of the Council of 8 June 2000 on certain legal aspects of information society services, in particular electronic commerce, in the Internal Market ('Directive on electronic commerce')</t>
  </si>
  <si>
    <t>Directive 2000/31/EC</t>
  </si>
  <si>
    <t>L 178</t>
  </si>
  <si>
    <t>COMMUNICATION FROM THE COMMISSION TO THE EUROPEAN PARLIAMENT, THE COUNCIL, THE EUROPEAN ECONOMIC AND SOCIAL COMMITTEE AND THE COMMITTEE OF THE REGIONS - Shaping Europe's digital future</t>
  </si>
  <si>
    <t>COM(2020) 67 final</t>
  </si>
  <si>
    <t>Problem Details for HTTP APIs (RFC 7807)</t>
  </si>
  <si>
    <t>RFC 7807</t>
  </si>
  <si>
    <t>Electronic Signatures and Infrastructures (ESI); Policy and security requirements for trust service components providing identity proofing of trust service subjects</t>
  </si>
  <si>
    <t>ETSI TS 119 461</t>
  </si>
  <si>
    <t>Core Network and Interoperability Testing (INT); Methodologies for Testing &amp; Validation of  Network Application based services over 5G networks (ETSI TR 104 074)</t>
  </si>
  <si>
    <t>ETSI TR 104 074</t>
  </si>
  <si>
    <t>Electronic Signature Formats for long term electronic signatures (RFC 3126)</t>
  </si>
  <si>
    <t>RFC 3126</t>
  </si>
  <si>
    <t>JSON Web Token (JWT)</t>
  </si>
  <si>
    <t>JWT</t>
  </si>
  <si>
    <t>32.0.0</t>
  </si>
  <si>
    <t>Indexed Database API (IndexedDB)</t>
  </si>
  <si>
    <t>IndexedDB</t>
  </si>
  <si>
    <t>Resource Description Framework (RDF)</t>
  </si>
  <si>
    <t>RDF</t>
  </si>
  <si>
    <t>The OpenContainers Distribution Spec</t>
  </si>
  <si>
    <t>COMMUNICATION FROM THE COMMISSION TO THE EUROPEAN PARLIAMENT, THE COUNCIL, THE EUROPEAN ECONOMIC AND SOCIAL COMMITTEE AND THE COMMITTEE OF THE REGIONS Towards interoperability for European public services</t>
  </si>
  <si>
    <t>Core Location Vocabulary</t>
  </si>
  <si>
    <t>5G; Security architecture and procedures for 5G System (3GPP TS 33.501 version 18.9.0 Release 18) (ETSI TS 133 501)</t>
  </si>
  <si>
    <t>ETSI TS 133 501</t>
  </si>
  <si>
    <t>18.9.0</t>
  </si>
  <si>
    <t>Core Criterion and Core Evidence Vocabulary v1.0.0</t>
  </si>
  <si>
    <t>CCCEV</t>
  </si>
  <si>
    <t>Multi-access Edge Computing (MEC)</t>
  </si>
  <si>
    <t>MEC</t>
  </si>
  <si>
    <t>Common Object Request Broker Architecture (CORBA)</t>
  </si>
  <si>
    <t>CORBA</t>
  </si>
  <si>
    <t>3.4.0</t>
  </si>
  <si>
    <t>Standardized Usage Statistics Harvesting Initiative (SUSHI) Protocol</t>
  </si>
  <si>
    <t>SUSHI</t>
  </si>
  <si>
    <t>NISO</t>
  </si>
  <si>
    <t>X.1451 : Risk identification to optimize authentication</t>
  </si>
  <si>
    <t>ITU-T X.1451</t>
  </si>
  <si>
    <t>oneM2M Base Ontology</t>
  </si>
  <si>
    <t>3.7.3</t>
  </si>
  <si>
    <t>European Union Public License (EUPL)</t>
  </si>
  <si>
    <t>EUPL</t>
  </si>
  <si>
    <t>Building Blocks for HTTP APIs (httpapi)</t>
  </si>
  <si>
    <t>httpapi</t>
  </si>
  <si>
    <t>COMMISSION DELEGATED REGULATION (EU) 2018/389 of 27 November 2017 supplementing Directive (EU) 2015/2366 of the European Parliament and of the Council with regard to regulatory technical standards for strong customer authentication and common and secure open standards of communication</t>
  </si>
  <si>
    <t>Regulation 2018/389/EU</t>
  </si>
  <si>
    <t>L 69/23</t>
  </si>
  <si>
    <t>Vocabulary of Interlinked Datasets (VoID)</t>
  </si>
  <si>
    <t>VoID</t>
  </si>
  <si>
    <t>The Ogg Encapsulation Format</t>
  </si>
  <si>
    <t>Ogg</t>
  </si>
  <si>
    <t>Internet X.509 Public Key Infrastructure Certificate Management Protocol (CMP)</t>
  </si>
  <si>
    <t>CMP</t>
  </si>
  <si>
    <t>9.0.0</t>
  </si>
  <si>
    <t>Q.4040 : The framework and overview of cloud computing interoperability testing</t>
  </si>
  <si>
    <t>ITU-T Q.4040</t>
  </si>
  <si>
    <t>R2RML (RDB to RDF Mapping Language)</t>
  </si>
  <si>
    <t>R2RML</t>
  </si>
  <si>
    <t>ISO/IEC 17789:2014 Information technology — Cloud computing — Reference architecture</t>
  </si>
  <si>
    <t>CCRA</t>
  </si>
  <si>
    <t>ISO/IEC 17789:2014</t>
  </si>
  <si>
    <t>Context Information Management (CIM); NGSI-LD Information Model (ETSI GS CIM 018)</t>
  </si>
  <si>
    <t>ETSI GS CIM 018</t>
  </si>
  <si>
    <t>1.7.1</t>
  </si>
  <si>
    <t>RDFa Core</t>
  </si>
  <si>
    <t>Data Privacy Vocabulary (DPV) 2.1.0</t>
  </si>
  <si>
    <t>DPV</t>
  </si>
  <si>
    <t>Sustainable Development Goals (SDG)</t>
  </si>
  <si>
    <t>Framework of smart greenhouse service</t>
  </si>
  <si>
    <t>Y.4466</t>
  </si>
  <si>
    <t>e-SENS REM profile</t>
  </si>
  <si>
    <t>EuroSciVoc</t>
  </si>
  <si>
    <t>Identity Credential and Access Management (ICAM)</t>
  </si>
  <si>
    <t>ICAM</t>
  </si>
  <si>
    <t>ITU-T Y.4473 SensorThings API – Sensing</t>
  </si>
  <si>
    <t>ITU-T Y.4473</t>
  </si>
  <si>
    <t>Core Standards and Specifications Vocabulary (CSSV)</t>
  </si>
  <si>
    <t>CSSV</t>
  </si>
  <si>
    <t>DNS-based Authentication of Named Entities (DANE)</t>
  </si>
  <si>
    <t>DANE</t>
  </si>
  <si>
    <t>Collaboration Protocol Profile and Agreement (CPPA)</t>
  </si>
  <si>
    <t>CPPA</t>
  </si>
  <si>
    <t>WebSocket Protocol</t>
  </si>
  <si>
    <t>OAuth 2.0</t>
  </si>
  <si>
    <t>COM 2005 596 Framework strategy for multilingualism</t>
  </si>
  <si>
    <t>52005DC0596</t>
  </si>
  <si>
    <t>COM(2005) 596 final</t>
  </si>
  <si>
    <t>Generic Federated OOP Architecture</t>
  </si>
  <si>
    <t>GAIA-X Compliance</t>
  </si>
  <si>
    <t>25.3.0</t>
  </si>
  <si>
    <t>Universal Business Language</t>
  </si>
  <si>
    <t>UBL</t>
  </si>
  <si>
    <t>Universal Business Language (UBL)</t>
  </si>
  <si>
    <t>2.4.0</t>
  </si>
  <si>
    <t>Open Standards for Linked Organisations (OSLO)</t>
  </si>
  <si>
    <t>OSLO</t>
  </si>
  <si>
    <t>vlaanderen.be</t>
  </si>
  <si>
    <t>The Friend Of A Friend (FOAF) ontology</t>
  </si>
  <si>
    <t>FOAF</t>
  </si>
  <si>
    <t>FOAF project</t>
  </si>
  <si>
    <t>CEF Building Blocks</t>
  </si>
  <si>
    <t>LegalRuleML</t>
  </si>
  <si>
    <t>Semantic Definition Format (SDF) for Data and Interactions of Things</t>
  </si>
  <si>
    <t>SDF</t>
  </si>
  <si>
    <t>Profiles Vocabulary (PROF)</t>
  </si>
  <si>
    <t>PROF</t>
  </si>
  <si>
    <t>Lightweight Directory Access Protocol (LDAP) (RFC 4511)</t>
  </si>
  <si>
    <t>LDAP</t>
  </si>
  <si>
    <t>ITIL v3</t>
  </si>
  <si>
    <t>ITIL</t>
  </si>
  <si>
    <t>Axelos</t>
  </si>
  <si>
    <t>ISO/IEC 20933:2019 Information technology — Distributed application platforms and services (DAPS) — Framework for distributed real-time access systems</t>
  </si>
  <si>
    <t>DAPS</t>
  </si>
  <si>
    <t>ISO/IEC 20933</t>
  </si>
  <si>
    <t>IEEE P2145, Standard for Framework and Definitions for Blockchain Governance</t>
  </si>
  <si>
    <t>IEEE P2145</t>
  </si>
  <si>
    <t>GITB Processing Service API</t>
  </si>
  <si>
    <t>IDS Global Dynamic Attribute Provisioning Service (IDS-G DAPS)</t>
  </si>
  <si>
    <t>IDS-G DAPS</t>
  </si>
  <si>
    <t>HTTP Cookies</t>
  </si>
  <si>
    <t>Internet X.509 Public Key Infrastructure Data Validation and Certification Server Protocols (DVCS)</t>
  </si>
  <si>
    <t>DVCS</t>
  </si>
  <si>
    <t>Web Annotation Data Model</t>
  </si>
  <si>
    <t>Gaia-X Trust Framework</t>
  </si>
  <si>
    <t>Open Policy Agent (OPA)</t>
  </si>
  <si>
    <t>OPA</t>
  </si>
  <si>
    <t>0.66.0</t>
  </si>
  <si>
    <t>Identity of Employees and Technical Users (IAM - 002 Identity of Employees and Technical Users)</t>
  </si>
  <si>
    <t>IAM - 002</t>
  </si>
  <si>
    <t>Information technology — Artificial intelligence — Artificial intelligence concepts and terminology (ISO/IEC 22989:2022)</t>
  </si>
  <si>
    <t>ISO/IEC 22989:2022</t>
  </si>
  <si>
    <t>Microsoft ODBC 4.0 Specification</t>
  </si>
  <si>
    <t>OBDC</t>
  </si>
  <si>
    <t>Microsoft</t>
  </si>
  <si>
    <t>GITB Validation Service API</t>
  </si>
  <si>
    <t>UN/EDIFACT Syntax 4</t>
  </si>
  <si>
    <t>TCP, UDP, ICMP, MAC, Ethernet LAN (802.3), virtual LAN (VPN), IPv4 and IPV6</t>
  </si>
  <si>
    <t>Darwin Information Typing Architecture (DITA)</t>
  </si>
  <si>
    <t>DITA</t>
  </si>
  <si>
    <t>eIDAS2</t>
  </si>
  <si>
    <t>Xforms 2.0</t>
  </si>
  <si>
    <t>Xforms</t>
  </si>
  <si>
    <t>GS1 EANCOM Syntax 3 standard</t>
  </si>
  <si>
    <t>Solid</t>
  </si>
  <si>
    <t>XAdES (XML Advanced Electronic Signatures) Baseline Profile</t>
  </si>
  <si>
    <t>XML Schema Definition Language (XSD) 1.1 Part 2: Datatypes</t>
  </si>
  <si>
    <t>Shape Expressions (ShEx) 2.1 Primer</t>
  </si>
  <si>
    <t>ShEx</t>
  </si>
  <si>
    <t>MyData Service Registry Specification</t>
  </si>
  <si>
    <t>Message Queuing Telemetry Transport (MQTT)</t>
  </si>
  <si>
    <t>MQTT</t>
  </si>
  <si>
    <t>HyperText Markup Language v5 (HTML5)</t>
  </si>
  <si>
    <t>HTML5</t>
  </si>
  <si>
    <t>Generic Statistical Business Process Model (GSBPM)</t>
  </si>
  <si>
    <t>GSBPM</t>
  </si>
  <si>
    <t>Hypermedia as the Engine of Application State (HATEOAS)</t>
  </si>
  <si>
    <t>HATEOAS</t>
  </si>
  <si>
    <t>University of California</t>
  </si>
  <si>
    <t>2.2.2</t>
  </si>
  <si>
    <t>Participant Information Service (parIS)</t>
  </si>
  <si>
    <t>parIS</t>
  </si>
  <si>
    <t>GAIA-X Architecture Document</t>
  </si>
  <si>
    <t>NetCDF (Network Common Data Form)</t>
  </si>
  <si>
    <t>NetCDF</t>
  </si>
  <si>
    <t>Network Common Data Form</t>
  </si>
  <si>
    <t>UCAR</t>
  </si>
  <si>
    <t>OASIS ebXML RegRep Version 4.0</t>
  </si>
  <si>
    <t>Hierarchical Data Format</t>
  </si>
  <si>
    <t>HDF</t>
  </si>
  <si>
    <t>The HDF Group</t>
  </si>
  <si>
    <t>1.14.5</t>
  </si>
  <si>
    <t>Postman collections</t>
  </si>
  <si>
    <t>Postman</t>
  </si>
  <si>
    <t>Attribute-based Access Control (ABAC) v2.0.0</t>
  </si>
  <si>
    <t>SAMM (Software Assurance Maturity Model)</t>
  </si>
  <si>
    <t>SAMM</t>
  </si>
  <si>
    <t>Meta-Share ontology (MS-OWL)</t>
  </si>
  <si>
    <t>MS-OWL</t>
  </si>
  <si>
    <t>Distributed Relational Database Architecture (DRDA)</t>
  </si>
  <si>
    <t>DRDA</t>
  </si>
  <si>
    <t>GAIA-X Compliance Registry</t>
  </si>
  <si>
    <t>2.8.1</t>
  </si>
  <si>
    <t>ITU-T Y.4461: Framework of open data in smart cities</t>
  </si>
  <si>
    <t>ITU-T Y.4461</t>
  </si>
  <si>
    <t>ETSI TS 103 458 CYBER; Application of Attribute Based Encryption (ABE) for PII and personal data protection on IoT devices, WLAN, cloud and mobile services - High level requirements</t>
  </si>
  <si>
    <t>ETSI TS 103 458</t>
  </si>
  <si>
    <t>eGovernment Core Vocabularies Handbook</t>
  </si>
  <si>
    <t>ISO/IEC/IEEE 15289:2019 Systems and software engineering — Content of life-cycle information items</t>
  </si>
  <si>
    <t>ISO/IEC/IEEE 15289:2019</t>
  </si>
  <si>
    <t>Global eBusiness Interoperability Testbed (GITB)</t>
  </si>
  <si>
    <t>GITB</t>
  </si>
  <si>
    <t>Treaty on the Functioning of the European Union</t>
  </si>
  <si>
    <t>TFEU</t>
  </si>
  <si>
    <t>Q.5001 : Signalling requirements and architecture of intelligent edge computing</t>
  </si>
  <si>
    <t>ITU-T Q.5001</t>
  </si>
  <si>
    <t>Metadata Encoding and Transmission Standard (METS)</t>
  </si>
  <si>
    <t>METS</t>
  </si>
  <si>
    <t>1.12.1</t>
  </si>
  <si>
    <t>ITU-T X.1147: Security requirements and framework for big data analytics in mobile internet services</t>
  </si>
  <si>
    <t>ITU-T X.1147</t>
  </si>
  <si>
    <t>Modular Requirements for Records Systems (MoReq2010)</t>
  </si>
  <si>
    <t>MoReq2010</t>
  </si>
  <si>
    <t>DLM Forum</t>
  </si>
  <si>
    <t>exFAT file system specification</t>
  </si>
  <si>
    <t>10.6.4</t>
  </si>
  <si>
    <t>HTTP Strict Transport Security (HSTS)</t>
  </si>
  <si>
    <t>HSTS</t>
  </si>
  <si>
    <t>ISO 17100:2015 - Translation services -- Requirements for translation services ISO</t>
  </si>
  <si>
    <t>ISO 17100:2015</t>
  </si>
  <si>
    <t>HAL - Hypertext Application Language</t>
  </si>
  <si>
    <t>HAL</t>
  </si>
  <si>
    <t>Stateless</t>
  </si>
  <si>
    <t>ISO/IEC 24760-1:2019 IT Security and Privacy — A framework for identity management Part 1: Terminology and concepts</t>
  </si>
  <si>
    <t>ISO/IEC 24760-1:2019</t>
  </si>
  <si>
    <t>MyData White paper</t>
  </si>
  <si>
    <t>DPV-GDPR: GDPR Extension for DPV</t>
  </si>
  <si>
    <t>DPV-GDPR</t>
  </si>
  <si>
    <t>Global digital sustainable product passport opportunities to achieve a circular economy</t>
  </si>
  <si>
    <t>ITU-T L.1070</t>
  </si>
  <si>
    <t>Guideline 2014/C 240/01 on recommended standard licences, datasets and charging for the reuse of documents.</t>
  </si>
  <si>
    <t>Indexed Database API</t>
  </si>
  <si>
    <t>App Store</t>
  </si>
  <si>
    <t>OSLC Configuration Management Version 1.0</t>
  </si>
  <si>
    <t>IDS Reference Architecture Model (IDS-RAM)</t>
  </si>
  <si>
    <t>IDS-RAM</t>
  </si>
  <si>
    <t>ISO/IEC TR 22678 --Cloud Computing --Guidance for Policy Development</t>
  </si>
  <si>
    <t>ISO/IEC TR 22678</t>
  </si>
  <si>
    <t>The MIT License</t>
  </si>
  <si>
    <t>ISO/IEC 38505-3: Information technology - Governance of Data - Part3: Guidelines for Data Classification</t>
  </si>
  <si>
    <t>ISO/IEC 38505-3</t>
  </si>
  <si>
    <t>Y.4122 : Requirements and capability framework of the edge-computing-enabled gateway in the Internet of things</t>
  </si>
  <si>
    <t>ITU-T Y.4122</t>
  </si>
  <si>
    <t>Digital Signature Service</t>
  </si>
  <si>
    <t>DSS</t>
  </si>
  <si>
    <t>X.500: Information technology - Open Systems Interconnection - The Directory: Overview of concepts, models and services</t>
  </si>
  <si>
    <t>AGREEMENT ON TECHNICAL CO-OPERATION BETWEEN ISO AND CEN (Vienna Agreement)</t>
  </si>
  <si>
    <t>Vienna Agreement</t>
  </si>
  <si>
    <t>ISO/IEC/IEEE 24748-1:2024 Systems and software engineering — Life cycle management Part 1: Guidelines for life cycle management</t>
  </si>
  <si>
    <t>ISO/IEC/IEEE 24748-1:2024</t>
  </si>
  <si>
    <t>REGULATION (EU) No 910/2014 (EP&amp;EC) on electronic identification and trust services for electronic transactions in the internal market and repealing Directive 1999/93/EC (eIDAS)</t>
  </si>
  <si>
    <t>eIDAS</t>
  </si>
  <si>
    <t>L 257/73</t>
  </si>
  <si>
    <t>JSON transformation language JSLT</t>
  </si>
  <si>
    <t>Schibsted</t>
  </si>
  <si>
    <t>0.1.14</t>
  </si>
  <si>
    <t>Service Metadata Publisher (DomiSMP)</t>
  </si>
  <si>
    <t>DomiSMP</t>
  </si>
  <si>
    <t>5.0.1</t>
  </si>
  <si>
    <t>Open Data Product Specification</t>
  </si>
  <si>
    <t>ODPS</t>
  </si>
  <si>
    <t>Real-Time Streaming Protocol (RTSP)</t>
  </si>
  <si>
    <t>RTSP</t>
  </si>
  <si>
    <t>OpenMinTeD Shared Infrastructure for Text and Data Mining (OMTD-SHARE)</t>
  </si>
  <si>
    <t>OMTD-SHARE</t>
  </si>
  <si>
    <t>DPV-PD: Extended Personal Data categories for DPV</t>
  </si>
  <si>
    <t>DPV-PD</t>
  </si>
  <si>
    <t>Directive 2002/58/EC concerning the processing of personal data and the protection of privacy in the electronic communications sector (ePrivacy directive)</t>
  </si>
  <si>
    <t>Directive 2002/58/EC</t>
  </si>
  <si>
    <t>L 201</t>
  </si>
  <si>
    <t>Framework for Base Registry Access and Interconnection (BRAIF)</t>
  </si>
  <si>
    <t>BRAIF</t>
  </si>
  <si>
    <t>Key words for use in RFCs to Indicate Requirement Levels (RFC 2119)</t>
  </si>
  <si>
    <t>RFC 2119</t>
  </si>
  <si>
    <t>OASIS Topology and Orchestration Specification for Cloud Applications (TOSCA)</t>
  </si>
  <si>
    <t>TOSCA</t>
  </si>
  <si>
    <t>Self-Issued Open ID Provider (SIOPv2)</t>
  </si>
  <si>
    <t>SIOPv2</t>
  </si>
  <si>
    <t>Secutiry Controls - Linking eIDAS (Q)ERDS &amp; CEF eDelivery</t>
  </si>
  <si>
    <t>Group Communication for the Constrained Application Protocol (CoAP)</t>
  </si>
  <si>
    <t>RFC 7390</t>
  </si>
  <si>
    <t>BPN (BPM - 001 Business Partner Number)</t>
  </si>
  <si>
    <t>BPM-001</t>
  </si>
  <si>
    <t>Accessibility requirements for smart public transport services</t>
  </si>
  <si>
    <t>ITU-T Y.4211</t>
  </si>
  <si>
    <t>GS1 XML Electronic Data Interchange</t>
  </si>
  <si>
    <t>GS1 XML EDI</t>
  </si>
  <si>
    <t>SmartM2M; Digital Twins Communication Requirements (ETSI TS 103 845)</t>
  </si>
  <si>
    <t>ETSI TS 103 845</t>
  </si>
  <si>
    <t>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t>
  </si>
  <si>
    <t>Directive 2016/680/EU</t>
  </si>
  <si>
    <t>L 119/89</t>
  </si>
  <si>
    <t>Cyber Security; Security Threats and related Requirements  for Consumer Sensor Hubs (ETSI TS 103 864)</t>
  </si>
  <si>
    <t>ETSI TS 103 864</t>
  </si>
  <si>
    <t>ebXML Messaging Protocol Binding for RegRep Version 1.0</t>
  </si>
  <si>
    <t>ESS handbook for quality and metadata reports (EHQMR)</t>
  </si>
  <si>
    <t>EHQMR</t>
  </si>
  <si>
    <t>StartTLS</t>
  </si>
  <si>
    <t>Data Management: SQL Call Level Interface (CLI)</t>
  </si>
  <si>
    <t>Information technology — Big data — Overview and vocabulary (ISO/IEC 20546:2019)</t>
  </si>
  <si>
    <t>ISO/IEC 20546:2019</t>
  </si>
  <si>
    <t>WAI-ARIA</t>
  </si>
  <si>
    <t>ISO/IEC 15408-1:2022 Information security, cybersecurity and privacy protection — Evaluation criteria for IT security Part 1: Introduction and general model</t>
  </si>
  <si>
    <t>ISO/IEC 15408-1:2022</t>
  </si>
  <si>
    <t>Business Process Simulator (BPSim)</t>
  </si>
  <si>
    <t>BPSim</t>
  </si>
  <si>
    <t>WfMC</t>
  </si>
  <si>
    <t>Mobile Application Security Verification Standard (MASVS)</t>
  </si>
  <si>
    <t>MASVS</t>
  </si>
  <si>
    <t>OWASP</t>
  </si>
  <si>
    <t>ISO/IEC TR 15944-6:2015 Information technology — Business operational view — Part 6: Technical introduction to e-Business modelling</t>
  </si>
  <si>
    <t>ISO/IEC TR 15944-6:2015</t>
  </si>
  <si>
    <t>ISO/IEC 20000-1:2018 Information technology — Service management — Part 1: Service management system requirements</t>
  </si>
  <si>
    <t>ISO/IEC 20000-1:2018</t>
  </si>
  <si>
    <t>Hypertext Markup Language (HTML) v4.01</t>
  </si>
  <si>
    <t>HTML</t>
  </si>
  <si>
    <t>4.01.0</t>
  </si>
  <si>
    <t>The OpenContainers Image Spec</t>
  </si>
  <si>
    <t>1.0.1</t>
  </si>
  <si>
    <t>ISO/IEC 19941:2017 Information technology — Cloud computing — Interoperability and portability</t>
  </si>
  <si>
    <t>ISO/IEC 19941:2017</t>
  </si>
  <si>
    <t>Framework for Layer 2 Virtual Private Networks (L2VPNs) RFC 4664</t>
  </si>
  <si>
    <t>RFC 4664</t>
  </si>
  <si>
    <t>The Token Binding Protocol</t>
  </si>
  <si>
    <t>IANA Media Types (RFC 6838, MIME  types)</t>
  </si>
  <si>
    <t>RFC 6838</t>
  </si>
  <si>
    <t>Registered Organization Vocabulary</t>
  </si>
  <si>
    <t>RegOrg</t>
  </si>
  <si>
    <t>Arazzo</t>
  </si>
  <si>
    <t>ASiC (Associated Signature Container) Baseline Profile</t>
  </si>
  <si>
    <t>ASiC</t>
  </si>
  <si>
    <t>Methodology for data validation</t>
  </si>
  <si>
    <t>PDF Advanced Electronic Signatures (PAdES) - ISO 14533-3:2017</t>
  </si>
  <si>
    <t>ISO 14533-3:2017</t>
  </si>
  <si>
    <t>ISO/IEC 19987:2024 Information technology — EPC Information Services (EPCIS)</t>
  </si>
  <si>
    <t>ISO/IEC 19987:2024</t>
  </si>
  <si>
    <t>Digital Credentials API (Browser agent)</t>
  </si>
  <si>
    <t>Electronic Signatures and Infrastructures (ESI); Associated Signature Containers (ASiC); Part 1: Building blocks and ASiC baseline containers (ETSI EN 319 162-1)</t>
  </si>
  <si>
    <t>ETSI EN 319 162-1</t>
  </si>
  <si>
    <t>Linked Data Notifications (LDN)</t>
  </si>
  <si>
    <t>LDN</t>
  </si>
  <si>
    <t>ITU-T X.1750 'Guidelines on security of big data as a service for Big Data Service Providers'</t>
  </si>
  <si>
    <t>ITU-T X.1750</t>
  </si>
  <si>
    <t>Effects of information and communication technology-enabled autonomy on vehicles longevity and waste creation</t>
  </si>
  <si>
    <t>ITU-T L.1040</t>
  </si>
  <si>
    <t>OpenEHR</t>
  </si>
  <si>
    <t>openEHR Foundation</t>
  </si>
  <si>
    <t>2014/771/EU: Commission Implementing Decision of 31 October 2014 on the identification of Universal Business Language version 2.1 for referencing in public procurement Text with EEA relevance</t>
  </si>
  <si>
    <t>Decision 2014/771/EU</t>
  </si>
  <si>
    <t>L 315/44</t>
  </si>
  <si>
    <t>Electronic Signatures and Trust Infrastructures (ESI); Cryptographic Suites (ETSI TS 119 312)</t>
  </si>
  <si>
    <t>ETSI TS 119 312</t>
  </si>
  <si>
    <t>ISO/IEC TR 14369:2018 Information technology — Programming languages, their environments and system software interfaces — Guidelines for the preparation of language-independent service specifications (LISS)</t>
  </si>
  <si>
    <t>LISS</t>
  </si>
  <si>
    <t>ISO/IEC TR 14369:2018</t>
  </si>
  <si>
    <t>Eurovoc</t>
  </si>
  <si>
    <t>EuroVoc</t>
  </si>
  <si>
    <t>4.12.0</t>
  </si>
  <si>
    <t>Commission Implementing Decision (EU) 2017/2288 of 11 December 2017 on the identification of ICT Technical Specifications for referencing in public procurement</t>
  </si>
  <si>
    <t>Decision 2017/2288/EU</t>
  </si>
  <si>
    <t>L 328/123</t>
  </si>
  <si>
    <t>Catalogue Services Standard 2.0 Extension Package for ebRIM Application Profile: Earth Observation Products</t>
  </si>
  <si>
    <t>Web Services Description Language (WSDL)</t>
  </si>
  <si>
    <t>WSDL</t>
  </si>
  <si>
    <t>OpenPGP</t>
  </si>
  <si>
    <t>DCAT-AP extension for Metadata in National Access Points (DCAT-NAP-AP)</t>
  </si>
  <si>
    <t>DCAT-NAP-AP</t>
  </si>
  <si>
    <t>OASIS Content Managemnet Interoperability Services (CMIS)</t>
  </si>
  <si>
    <t>CMIS</t>
  </si>
  <si>
    <t>EUR-Lex</t>
  </si>
  <si>
    <t>EURLex</t>
  </si>
  <si>
    <t>Core Criterion and Core Evidence Vocabulary (CCCEV) v2.1.0</t>
  </si>
  <si>
    <t>Skills Framework for the Information Age (SFIA)</t>
  </si>
  <si>
    <t>SFIA</t>
  </si>
  <si>
    <t>Good Practices on building sucessful interconnections of Base Registries</t>
  </si>
  <si>
    <t>Post-Award BIS Specifications and Guidelines (Peppol BIS Billing)</t>
  </si>
  <si>
    <t>Peppol BIS Billing</t>
  </si>
  <si>
    <t>3.0.10</t>
  </si>
  <si>
    <t>ISO 19011:2018 Guidelines for auditing management systems</t>
  </si>
  <si>
    <t>ISO 19011:2018</t>
  </si>
  <si>
    <t>e-delivery AS4</t>
  </si>
  <si>
    <t>1.15.0</t>
  </si>
  <si>
    <t>GXFSv2 - Identity and Access Management</t>
  </si>
  <si>
    <t>GXFSv2</t>
  </si>
  <si>
    <t>Security techniques — Extension to ISO/IEC 27001 and ISO/IEC 27002 for privacy information management — Requirements and guidelines (ISO/IEC 27701:2019)</t>
  </si>
  <si>
    <t>ISO/IEC 27701:2019</t>
  </si>
  <si>
    <t>Internet Protocol version 4 (IPv4)</t>
  </si>
  <si>
    <t>IPv4</t>
  </si>
  <si>
    <t>Electronic Signatures and Infrastructures (ESI); Associated Signature Containers (ASiC); Part 2: Additional ASiC containers (ETSI EN 319 162-2)</t>
  </si>
  <si>
    <t>ETSI EN 319 162-2</t>
  </si>
  <si>
    <t>The Dublin Core Ontology</t>
  </si>
  <si>
    <t>DCMI</t>
  </si>
  <si>
    <t>PSI Directive</t>
  </si>
  <si>
    <t>JSON Lines</t>
  </si>
  <si>
    <t>Microformats</t>
  </si>
  <si>
    <t>microformats.org</t>
  </si>
  <si>
    <t>Simple Network Management Protocol (SNMP)</t>
  </si>
  <si>
    <t>SNMP</t>
  </si>
  <si>
    <t>Digital Link -  GS1 Digital Link | GS1</t>
  </si>
  <si>
    <t>Digital Link</t>
  </si>
  <si>
    <t>Gaia-X Digital Clearing House (GXDCH)</t>
  </si>
  <si>
    <t>GXDCH</t>
  </si>
  <si>
    <t>File Transfer Protocol over Transport Layer Security (FTPS or FTP over TLS)</t>
  </si>
  <si>
    <t>FTPS</t>
  </si>
  <si>
    <t>eXtensible Markup Language (XML)</t>
  </si>
  <si>
    <t>XML</t>
  </si>
  <si>
    <t>EU eGovernment Action Plan 2016-2020 - Accelerating the digital transformation of government</t>
  </si>
  <si>
    <t>AKN4EU</t>
  </si>
  <si>
    <t>Asset Description Metadata Schema (ADMS)</t>
  </si>
  <si>
    <t>ADMS</t>
  </si>
  <si>
    <t>ISO/IEC/IEEE 15288:2023 Systems and software engineering — System life cycle processes</t>
  </si>
  <si>
    <t>ISO/IEC/IEEE 15288:2023</t>
  </si>
  <si>
    <t>ITU-T Y.3500: Information technology - Cloud computing - Overview and vocabulary</t>
  </si>
  <si>
    <t>ITU-T Y.3500</t>
  </si>
  <si>
    <t>SmartM2M; Digital Twins: Functionalities and  communication Reference Architecture (ETSI TS 103 846)</t>
  </si>
  <si>
    <t>ETSI TS 103 846</t>
  </si>
  <si>
    <t>Regulation (EU) No 1025/2012</t>
  </si>
  <si>
    <t>Joint Photographic Experts Group (JPEG)</t>
  </si>
  <si>
    <t>JPEG</t>
  </si>
  <si>
    <t>ETSI TS 119 512 Electronic Signatures and Infrastructures (ESI); Protocols for trust service providers providing long-term data preservation services</t>
  </si>
  <si>
    <t>1.1.2</t>
  </si>
  <si>
    <t>Context Information Management (CIM); NGSI-LD API (ETSI GS CIM 009)</t>
  </si>
  <si>
    <t>ETSI GS CIM 009</t>
  </si>
  <si>
    <t>eGovernment accelerating digital public services that support the functioning of the single market</t>
  </si>
  <si>
    <t>REGULATION (EU) 2018/1807 OF THE EUROPEAN PARLIAMENT AND OF THE COUNCIL, of 14 November 2018 on a framework for the free flow of non-personal data in the European Union (Text with EEA relevance)</t>
  </si>
  <si>
    <t>Regulation 2018/1807/EU</t>
  </si>
  <si>
    <t>L 303/59</t>
  </si>
  <si>
    <t>Web Services for Remote Portlets (WSRP)</t>
  </si>
  <si>
    <t>WSRP</t>
  </si>
  <si>
    <t>Credential Transparency Description Language (CTDL)</t>
  </si>
  <si>
    <t>CTDL</t>
  </si>
  <si>
    <t>Credential Engine</t>
  </si>
  <si>
    <t>Hypertext Transfer Protocol (HTTP/3)</t>
  </si>
  <si>
    <t>HTTP/3</t>
  </si>
  <si>
    <t>OpenFlow Switch Specification</t>
  </si>
  <si>
    <t>ONF</t>
  </si>
  <si>
    <t>1.3.4</t>
  </si>
  <si>
    <t>Guidelines on the protection of personal data processed through web services provided by EU institutions</t>
  </si>
  <si>
    <t>EDPS</t>
  </si>
  <si>
    <t>GAIA-X Federated Catalogue</t>
  </si>
  <si>
    <t>Domain Name System Security Extensions (DNSSEC)</t>
  </si>
  <si>
    <t>DNSSEC</t>
  </si>
  <si>
    <t>DNS over TLS (DoT)</t>
  </si>
  <si>
    <t>DoT</t>
  </si>
  <si>
    <t>Office Open XML File Formats Part 1: Fundamentals and Markup Language Reference</t>
  </si>
  <si>
    <t>ISO/IEC 29500-1:2016</t>
  </si>
  <si>
    <t>Core Person Vocabulary</t>
  </si>
  <si>
    <t>FreeRADIUS</t>
  </si>
  <si>
    <t>ISO 639-2:1998 Codes for the representation of names of languages -- Part 2: Alpha-3 code</t>
  </si>
  <si>
    <t>ISO 639-2:1998</t>
  </si>
  <si>
    <t>NUTS</t>
  </si>
  <si>
    <t>Nomenclature of territorial units for statistics 2024</t>
  </si>
  <si>
    <t>2024</t>
  </si>
  <si>
    <t>The Extensible Hypertext Markup Language (XHTML)</t>
  </si>
  <si>
    <t>XHTML</t>
  </si>
  <si>
    <t>European Privacy Policy</t>
  </si>
  <si>
    <t>Extended MKCOL for Web Distributed Authoring and Versioning (Extended WebDAV MKCOL)</t>
  </si>
  <si>
    <t>802.3-2022 - IEEE Standard for Ethernet</t>
  </si>
  <si>
    <t>Microdata (Schema.org)</t>
  </si>
  <si>
    <t>29.1.0</t>
  </si>
  <si>
    <t>ISO/IEC 19086-1:2016 Information technology — Cloud computing — Service level agreement (SLA) framework — Part 1: Overview and concepts</t>
  </si>
  <si>
    <t>DIRECTIVE (EU) 2019/1024 OF THE EUROPEAN PARLIAMENT AND OF THE COUNCIL of 20 June 2019 on open data and the re-use of public sector information.</t>
  </si>
  <si>
    <t>L 172/56</t>
  </si>
  <si>
    <t>EBSI - Decentralized indetifier (EBSI-DID)</t>
  </si>
  <si>
    <t>EBSI-DID</t>
  </si>
  <si>
    <t>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</si>
  <si>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GDPR</t>
  </si>
  <si>
    <t>L 119/1</t>
  </si>
  <si>
    <t>PAdES (PDF Advanced Electronic Signature) Baseline Profile</t>
  </si>
  <si>
    <t>CDN Interconnection Architecture (ETSI TS 182 032)</t>
  </si>
  <si>
    <t>ETSI TS 182 032</t>
  </si>
  <si>
    <t>GraphQL</t>
  </si>
  <si>
    <t>GraphQL Foundation</t>
  </si>
  <si>
    <t>JOINT COMMUNICATION TO THE EUROPEAN PARLIAMENT AND THE COUNCIL - The EU's Cybersecurity Strategy for the Digital Decade</t>
  </si>
  <si>
    <t>DIRECTIVE (EU) 2016/2102 OF THE EUROPEAN PARLIAMENT AND OF THE COUNCIL of 26 October 2016 on the accessibility of the websites and mobile applications of public sector bodies</t>
  </si>
  <si>
    <t>Directive 2016/2102/EU</t>
  </si>
  <si>
    <t>L 327/1</t>
  </si>
  <si>
    <t>LegalDocML</t>
  </si>
  <si>
    <t>Transport Layer Security (TLS) Transport Mapping for Syslog</t>
  </si>
  <si>
    <t>Internet of Things (IoT) — Interoperability for IoT Systems — Part 1: Framework. (ISO/IEC 21823-1:2019)</t>
  </si>
  <si>
    <t>ISO/IEC 21823-1:2019</t>
  </si>
  <si>
    <t>OpenAPI Specification</t>
  </si>
  <si>
    <t>OAS</t>
  </si>
  <si>
    <t>OpenAPI Initiative</t>
  </si>
  <si>
    <t>OGC I15 (ISO19115 Metadata) Extension Package of CS-W ebRIM Profile 1.0</t>
  </si>
  <si>
    <t>OpenID Connect</t>
  </si>
  <si>
    <t>OIDC</t>
  </si>
  <si>
    <t>Simple Mail Transfer Protocol (SMTP)</t>
  </si>
  <si>
    <t>SMTP</t>
  </si>
  <si>
    <t>Role-Based Access Controls (RBAC)</t>
  </si>
  <si>
    <t>RBAC</t>
  </si>
  <si>
    <t>UTF-8</t>
  </si>
  <si>
    <t>Core Public Service Vocabulary Application Profile 2.2</t>
  </si>
  <si>
    <t>Simple Knowledge Organisation system (SKOS)</t>
  </si>
  <si>
    <t>SKOS</t>
  </si>
  <si>
    <t>Directive 2014/25/EU of the European Parliament and of the Council of 26 February 2014 on procurement by entities operating in the water, energy, transport and postal services sectors and repealing Directive 2004/17/EC Text with EEA relevance</t>
  </si>
  <si>
    <t>Directive 2014/25/EU</t>
  </si>
  <si>
    <t>L 94/243</t>
  </si>
  <si>
    <t>Data Privacy Vocabulary (DPV)</t>
  </si>
  <si>
    <t>AES (Advanced Encryption Standard)</t>
  </si>
  <si>
    <t>AES</t>
  </si>
  <si>
    <t>BSI C5</t>
  </si>
  <si>
    <t>BSI</t>
  </si>
  <si>
    <t>C5:2020</t>
  </si>
  <si>
    <t>Communication COM (2011) 882, open data, engine of innnovation, growth and transparent government</t>
  </si>
  <si>
    <t>COM(2011) 882</t>
  </si>
  <si>
    <t>International Data Spaces Information Model</t>
  </si>
  <si>
    <t>IDSA IM</t>
  </si>
  <si>
    <t>AES-CMAC algorithm</t>
  </si>
  <si>
    <t>Uniform Basis for Exchanging Representations (UBER)</t>
  </si>
  <si>
    <t>UBER</t>
  </si>
  <si>
    <t>JSON Web Key JWK</t>
  </si>
  <si>
    <t>JWK</t>
  </si>
  <si>
    <t>May 2025</t>
  </si>
  <si>
    <t>Service Metadata Publishing (SMP) Version 2.0</t>
  </si>
  <si>
    <t>YAMATO (Yet Another More Advanced Top Ontology)</t>
  </si>
  <si>
    <t>YAMATO</t>
  </si>
  <si>
    <t>Hozo</t>
  </si>
  <si>
    <t>SCIM Core Schema</t>
  </si>
  <si>
    <t>NetCDF Markup Language</t>
  </si>
  <si>
    <t>Fetch API Living Standard</t>
  </si>
  <si>
    <t>EDAMIS Web Application (EWA)</t>
  </si>
  <si>
    <t>EWA</t>
  </si>
  <si>
    <t>3.1.8</t>
  </si>
  <si>
    <t>ETSI TR 103 603 Guidance for providers and standardisation makers</t>
  </si>
  <si>
    <t>ETSI TR 103 603</t>
  </si>
  <si>
    <t>E-ARK Dissemination Information Package (DIP)</t>
  </si>
  <si>
    <t>E-ARK DIP</t>
  </si>
  <si>
    <t>RDF-star and SPARQL-star</t>
  </si>
  <si>
    <t>Web Feature Service (WFC)</t>
  </si>
  <si>
    <t>WFC</t>
  </si>
  <si>
    <t>2.0.2</t>
  </si>
  <si>
    <t>SIREN</t>
  </si>
  <si>
    <t>Siren Hypermedia</t>
  </si>
  <si>
    <t>INSPIRE Directive 2007/2/EC of 14 March 2007, Article 18</t>
  </si>
  <si>
    <t>INSPIRE</t>
  </si>
  <si>
    <t>Directive 2007/2/EC</t>
  </si>
  <si>
    <t>L 108/1</t>
  </si>
  <si>
    <t>EBSI OpenID Connect for Verifiable Credentials (EBSI-OpenID4VC)</t>
  </si>
  <si>
    <t>EBSI-OpenID4VC</t>
  </si>
  <si>
    <t>Portable Document Format/A (PDF/A)</t>
  </si>
  <si>
    <t>PDF/A</t>
  </si>
  <si>
    <t>European Interoperability Framework</t>
  </si>
  <si>
    <t>EIF</t>
  </si>
  <si>
    <t>Open Document Format for Office Applications (ODF) v1.2</t>
  </si>
  <si>
    <t>ODF</t>
  </si>
  <si>
    <t>INTERINSTITUTIONAL AGREEMENT BETWEEN THE EUROPEAN PARLIAMENT, THE COUNCIL OF THE EUROPEAN UNION AND THE EUROPEAN COMMISSION ON BETTER LAW-MAKING</t>
  </si>
  <si>
    <t>Metadata Binding Mechanism</t>
  </si>
  <si>
    <t>SPARQL 1.1 Protocol</t>
  </si>
  <si>
    <t>Semantic data model of the core elements of an electronic invoice (EN 16931-1:2017)</t>
  </si>
  <si>
    <t>EN 16931-1:2017</t>
  </si>
  <si>
    <t>Blazegraph</t>
  </si>
  <si>
    <t>2.1.6</t>
  </si>
  <si>
    <t>Web electronic identity (Web eID)</t>
  </si>
  <si>
    <t>Web eID</t>
  </si>
  <si>
    <t>ID</t>
  </si>
  <si>
    <t>2.6.0</t>
  </si>
  <si>
    <t>gRPC</t>
  </si>
  <si>
    <t>1.9.0</t>
  </si>
  <si>
    <t>DECISION (EU) 2018/646 OF THE EUROPEAN PARLIAMENT AND OF THE COUNCIL of 18 April 2018 on a common framework for the provision of better services for skills and qualifications (Europass) and repealing Decision No 2241/2004/EC (Text with EEA relevance)</t>
  </si>
  <si>
    <t>Decision 2018/646/EU</t>
  </si>
  <si>
    <t>L 112/42</t>
  </si>
  <si>
    <t>Regulation (EC) No 1049/2001 of the European Parliament and of the Council of 30 May 2001 regarding public access to European Parliament, Council and Commission documents</t>
  </si>
  <si>
    <t>Regulation 1049/2001/EC</t>
  </si>
  <si>
    <t>L 145</t>
  </si>
  <si>
    <t>OPC Unified Architecture (OPC UA)</t>
  </si>
  <si>
    <t>OPC UA</t>
  </si>
  <si>
    <t>OPC</t>
  </si>
  <si>
    <t>REST</t>
  </si>
  <si>
    <t>RESTfulAPI</t>
  </si>
  <si>
    <t>OpenDEI Position Paper: Design Principles for Data Spaces</t>
  </si>
  <si>
    <t>OpenDEI</t>
  </si>
  <si>
    <t>BSBA Technical Convergence Discussion Document</t>
  </si>
  <si>
    <t>DSBA</t>
  </si>
  <si>
    <t>ISO 9241-11:2018 Ergonomics of human-system interaction - Part 11: Usability: Definitions and concepts</t>
  </si>
  <si>
    <t>ISO 9241-11:2018</t>
  </si>
  <si>
    <t>Asset Description Metadata Schema</t>
  </si>
  <si>
    <t>eDelivery SMP</t>
  </si>
  <si>
    <t>eDelivery Access Point Domibus</t>
  </si>
  <si>
    <t>5.1.8</t>
  </si>
  <si>
    <t>Specification title</t>
  </si>
  <si>
    <t>Specification description</t>
  </si>
  <si>
    <t>Specification version</t>
  </si>
  <si>
    <t>ABB</t>
  </si>
  <si>
    <t>Assessment title(s)</t>
  </si>
  <si>
    <t>Automated score(s)</t>
  </si>
  <si>
    <t>The X.500 Directory specification provides the directory capabilities required by many application layer standards and telecommunication services</t>
  </si>
  <si>
    <t>ActiveDirectoryTechnologyService</t>
  </si>
  <si>
    <t>Technical view - Infrastructure</t>
  </si>
  <si>
    <t>CAMSS Assessment of ISO 7498-1 EIF Scenario v1.0.0</t>
  </si>
  <si>
    <t>78.95%AssessmentScoreAverage</t>
  </si>
  <si>
    <t>The Workflow Execution Service API describes a standard programmatic way to run and manage workflows. This standard API allows running the same workflow using various execution platforms running on various clouds/environments.</t>
  </si>
  <si>
    <t>AnalyticsTechnologyService</t>
  </si>
  <si>
    <t>The ETSI TS 103 846 specification is designed to establish how Digital Twins (DTs) can be designed through the presentation of a reference blueprint architecture with a specific focus on communication, discoverability and interoperability aspect. It also sets guidelines for DT adoption and applicability analysing how they can be deployed and monitored over time. Finally, the specification sets the definition and communication aspects for DTs.</t>
  </si>
  <si>
    <t>MachineLearningTechnologyService</t>
  </si>
  <si>
    <t>OpenFlow allows for the separation of the network's control plane from the data plane, enabling network administrators to manage network services through abstraction of lower-level functionality, regardless of the underlying network technology.</t>
  </si>
  <si>
    <t>IEEE 802.3 defines the physical and data link layers of wired Ethernet, which is the technology most commonly used for LANs.</t>
  </si>
  <si>
    <t>PhysicalCommunicationInfrastructureEquipment</t>
  </si>
  <si>
    <t>CAMSS Assessment of IEEE 802.3-2022 EIF Scenario v1.0.0</t>
  </si>
  <si>
    <t>100%StrengthOfAssessmentScoreAverage</t>
  </si>
  <si>
    <t>The Y.4466 specification is intended to provide a general framework for smart greenhouse services. In this sense, the specification supports the definition and implementation of mechanisms that help to automate various processes, thereby making operations more efficient and streamlining procedures. It also offers guidance for integrating different technologies and services within a greenhouse environment to improve management, productivity, and sustainability.</t>
  </si>
  <si>
    <t>OpenTelemetry (OTel) provides a mechanism for the software to describe itself through forms of observability, that is, signals. Signals can be integrated into the software codebase and enable users to model and describe the software behaviour. OTel supports data export to a variety of commercial and open source back-ends. It offers an extensible architecture that allows additional protocols and formats to be easily integrated.</t>
  </si>
  <si>
    <t>CAMSS Assessment of OTel EIF Scenario v1.0.0</t>
  </si>
  <si>
    <t>84.0%AssessmentScoreAverage</t>
  </si>
  <si>
    <t>The IEEE P3652.1 specification defines a machine learning framework that allows a collective model to be constructed from data that is distributed across repositories owned by different organizations or devices. It defines a machine learning framework that allows a collective model to be constructed from data that is distributed across data owners.</t>
  </si>
  <si>
    <t>The ITU-T Y.4471 establishes a functional architecture for network-based driving assistance (NDA) for autonomous vehicles. It details how coordination between vehicles and infrastructures can improve the safety and efficiency of automated driving. Thus, the NDA involves the collection and processing of sensor data from both the road and the vehicles.</t>
  </si>
  <si>
    <t>ITU-T Y.3600 sets out the requirements, capabilities and use cases for big data based on cloud computing, as well as its system context.</t>
  </si>
  <si>
    <t>DatabricksTechnologyService</t>
  </si>
  <si>
    <t>BPSim defines a specification for the Parameterization and Interchange of process analysis data allowing Structural and Capacity Analysis of a process model providing for Pre-execution and Post-execution optimization.</t>
  </si>
  <si>
    <t>BusinessIntelligenceTechnologyService</t>
  </si>
  <si>
    <t>LDAP provides access to distributed directory services that act in accordance with X.500 data and service models. These protocol elements are based on those described in the X.500 Directory Access Protocol (DAP).</t>
  </si>
  <si>
    <t>LightweightDirectoryAccessProtocolTechnologyService</t>
  </si>
  <si>
    <t>CAMSS Assessment of LDAP EIF Scenario v1.0.0; CAMSS Assessment of LDAP EIF Scenario v2.0.0; CAMSS Assessment of LDAP EIF Scenario v3.0.0</t>
  </si>
  <si>
    <t>86%StrengthOfAssessmentScoreAverage; 82%AssessmentScoreAverage; 86.67%StrengthOfAssessmentScoreAverage</t>
  </si>
  <si>
    <t>ServiceRegistryApplicationComponent</t>
  </si>
  <si>
    <t>Technical view - Application</t>
  </si>
  <si>
    <t>This Recommendation provides a set of parameters that indicate the status and event of a cloud computing system, including resource layer, service layer and access layer, in accordance with the functional reference architecture of cloud computing that was defined in Recommendation ITU-T Y.3502.  Recommendation ITU-T Q.3914 specifies the functional reference  architecture of cloud computing according to Recommendation ITU-T Y.3500.</t>
  </si>
  <si>
    <t>The GAIA-X Federated Catalogue is a core component of the GAIA-X infrastructure. It serves as an indexed repository of Self-Descriptions provided by participants within the GAIA-X ecosystem. These Self-Descriptions contain information about the participants themselves and the services, data, and infrastructure they offer.</t>
  </si>
  <si>
    <t>DataCatalogTechnologyService</t>
  </si>
  <si>
    <t>DEU is a catalogue of vocabularies and ontologies with the purpose of share and reuse ontologies. By providing access to largely adopted vocabularies and ontologies, the LOD fosters and ensures the reuse of information enabling interoperability.</t>
  </si>
  <si>
    <t>DistributedLedgerDataObject</t>
  </si>
  <si>
    <t>Semantic view</t>
  </si>
  <si>
    <t>The eIDAS SAML message format is an extension of OASIS SAML 2.0, namely two SAML-based profiles: Kantara Initiative eGovernment Implementation Profile of SAML 2.0 and STORK 2.0. The specification supports cross-border identification and authentication processes in accordance with the eIDAS interoperability architecture.</t>
  </si>
  <si>
    <t>The Task Execution Service (TES) API is a standardized schema and API for describing and executing batch execution tasks. A task defines a set of input files, a set of containers and commands to run, a set of output files and some other logging and metadata.</t>
  </si>
  <si>
    <t>The ITU-T Y.4119 specification is designed to define and establish the requirements and capabilities for the Automotive Emergency Response System (AERS). In this sense, the system is created with the objective of detecting traffic accidents and reducing mortality. The system uses sensors and is capable of transmitting data to facilitate assistance in the event of accidents on the roads.</t>
  </si>
  <si>
    <t>TLS allows client/server applications to communicate over the Internet in a way that is designed to prevent eavesdropping, tampering and message forgery.</t>
  </si>
  <si>
    <t>CAMSS Assessment of TLS 1.3 EIF Scenario v1.0.0</t>
  </si>
  <si>
    <t>Recommendation ITU-T X.1603 analyses data security requirements for the monitoring service of 
cloud computing which includes monitoring data scope requirements, monitoring data lifecycle, 
security requirements of monitoring data acquisition and security requirements of monitoring data 
storage. Monitoring data scope requirements include the necessary monitoring scope that cloud service 
providers (CSPs) should provide to maintain cloud security and the biggest monitoring scope of CSPs. 
Monitoring data lifecycle includes data creation, data store, data use, data migrate, data present, data 
destroy and data backup. Monitoring acquisition determines security requirements of the acquisition 
techniques of monitoring service. Monitoring data storage determines security requirements for CSPs 
to store the monitoring data</t>
  </si>
  <si>
    <t>The GFXS DELS specification is designed to verify and record every step from data delivery to its reception by the consumer. It enables the registration of which data has been sent and supports auditing and tracking of the entire process. This helps ensure compliance with data usage policies.</t>
  </si>
  <si>
    <t>AuditManagerTechnologyService</t>
  </si>
  <si>
    <t>CYBER Middlebox Security Protocol Part 1: MSP Framework and Template Requirements (ETSI TS 103 523-1) defines the security properties of a Middle Box Security Protocol, which protects against cyber-attacks and involves encrypted traffic and VPN provisions.</t>
  </si>
  <si>
    <t>The widespread deployment of identification tags, including radio frequency identification (RFID) tags can give rise to concerns of privacy infringement because of the abilities of RFID technology to automatically collect (and process) data, with the possible disclosure of such data to the public (deliberately or accidentally). For applications using tag-based identification and relying on a personalized identification tag in personalized after-sale management applications, healthcare-related applications, etc., the privacy issue is becoming an increasingly serious problem. This Recommendation describes a number of personally identifiable information (PII) infringements for applications using tag-based identification, and requirements for PII protection. In addition, this Recommendation provides a basic structure of PII protection based on PII policy profile.</t>
  </si>
  <si>
    <t>iCalendar defines a data format for representing and exchanging calendar and scheduling information, independent of any particular calendar service or protocol.</t>
  </si>
  <si>
    <t>AgendaManagementApplicationComponent</t>
  </si>
  <si>
    <t>CAMSS Assessment of iCalendar EIF Scenario v1.0.0</t>
  </si>
  <si>
    <t>79%AssessmentScoreAverage</t>
  </si>
  <si>
    <t>ScheduleManagementApplicationService</t>
  </si>
  <si>
    <t>AgendaManagementApplicationService</t>
  </si>
  <si>
    <t>ScheduleManagementApplicationComponent</t>
  </si>
  <si>
    <t>ISO/IEC 27000:2018 provides an overview of information security management systems (ISMS). It also provides terms and definitions commonly used in the ISMS family of standards.</t>
  </si>
  <si>
    <t>The Training Data Markup Language for Artificial Intelligence (TrainingDML-AI) Standard aims to develop the UML model and encodings for geospatial machine learning training data. The TrainingDML-AI Standard provides detailed metadata for formalizing the information model of training data.</t>
  </si>
  <si>
    <t>CAMSS Assessment of TrainingDML-AI EIF Scenario v1.0.0</t>
  </si>
  <si>
    <t>78.38%AssessmentScoreAverage</t>
  </si>
  <si>
    <t>UDDI is an XML-based standard for describing, publishing, and finding web services. It allows system services to discover other system services through web services.</t>
  </si>
  <si>
    <t>CAMSS Assessment of UDDI EIF Scenario v1.0.0</t>
  </si>
  <si>
    <t>78%StrengthOfAssessmentScoreAverage</t>
  </si>
  <si>
    <t>The RFC 3339 specification addresses many of the problems encountered and makes recommendations to improve consistency and interoperability when representing and using date and time in Internet protocols. There are many ways in which date and time values can appear in Internet protocols, and this document focuses on just one common usage.</t>
  </si>
  <si>
    <t>The GAIA-X Compliance Registry is a decentralised and immutable database within the GAIA-X ecosystem. Its primary purpose is to store and manage crucial information related to the compliance of participants and their offerings with the GAIA-X Trust Framework.</t>
  </si>
  <si>
    <t>Recommendation ITU-T Y.4208 provides an overview of related challenges faced by the IoT and describes how IoT-supporting edge computing (EC) may address these challenges. Some of the capabilities offered by the Internet of thing (IoT), e.g., capabilities for computing, storage and analytics, are evolving in closer proximity to IoT data sources. From the edge-computing deployment perspective, service requirements for support of EC capabilities in the IoT are identified, as well as related functional requirements. As an example, scenarios of EC deployment in different application domains, EC scenarios for vehicle-to-everything (V2X) and for smart manufacturing are provided in an appendix.</t>
  </si>
  <si>
    <t>The Y.4472 specification presents a complete set of Open APIs dedicated to smart cities offering different features covering the needs of interoperable smart city framework development. In order to achieve interoperability between heterogeneous platforms and the development of smart cities, the Recommendation has proposed 'interoperability points' in southbound and northbound interfaces in a smart city framework.</t>
  </si>
  <si>
    <t>GAIA-X Compliance refers to the state of adhering to the rules, policies, and technical specifications defined within the GAIA-X Trust Framework. It signifies that a participant (whether a provider or consumer), a service offering, or an infrastructure component within the GAIA-X ecosystem meets the established requirements for trust, security, interoperability, transparency, and data sovereignty.</t>
  </si>
  <si>
    <t>The GXFS CAM specification is intended to ensure that services within the GAIA-X ecosystem comply with various requirements and rules, including those related to security, privacy, and transparency, among others. In this context, the specification's main function is to provide up-to-date information about the status of services with respect to these aspects.</t>
  </si>
  <si>
    <t>ETSI TR 103 290 explores how Smart City applications, such as intelligent lighting, transportation systems, environmental sensors, and waste management, interact with IoT networks and Machine-to-Machine (M2M) communications. Rather than prescribing specific protocols, it compiles and reviews real-world use cases to identify how urban IoT deployments impact network requirements, service needs, and architectural considerations.</t>
  </si>
  <si>
    <t>A GXDCH instance runs the engine to validate the Gaia-X rules, therefore becoming the go-to place to become Gaia-X conformant. The instances are non-exclusive, interchangeable, and operated by multiple market operators.</t>
  </si>
  <si>
    <t>LoggerTechnologyService</t>
  </si>
  <si>
    <t>Recommendation ITU-T X.1606 identifies security threats and recommends security requirements for communications as a service (CaaS) application environments. The Recommendation describes scenarios and features of CaaS containing multi-communication capabilities. Then it identifies specific threats arising from unique CaaS features and recommends appropriate CaaS security requirements.</t>
  </si>
  <si>
    <t>RAAML defines the SysML extensions required to support safety and reliability analysis.</t>
  </si>
  <si>
    <t>A large volume of data have been generated from the use of various types of smart things. The related smart services have been working based on cloud systems. However, various issues has occurred as a result of the network bottleneck between terminals and a cloud system (e.g., data loss, network delay, etc.). An edge computing technology between the user equipment and a cloud server system is envisaged to solve these problems. In addition, applying the intelligent data processing functions by providing artificial intelligence (AI) technologies will provide enhanced networking capabilities for new emerging services and applications.
Regarding these emerging environments, Recommendation ITU-T Q.5001 defines the intelligent edge computing (IEC). It is applicable to collect, store, and process data reliably in the intelligent edge computing, especially to support mission critical services. Thus, the main functionality of intelligent edge computing is collecting, processing, analysing the data and providing the values based on intelligent data processing.</t>
  </si>
  <si>
    <t>The IDS Clearing House acts as an intermediary in the IDS ecosystem. All IDS Connectors may log information in the Clearing House to support any process that requires an auditable logging mechanism.</t>
  </si>
  <si>
    <t>The Data Distribution Service (DDS) specification is a middleware protocol that enables real-time, high-performance, and scalable data exchange. The specification operates using a publish-subscribe pattern, allowing users and organisations to seamlessly share information across distributed systems.</t>
  </si>
  <si>
    <t>The Y.4122 gateway is an important component of Internet of things (IoT) systems, enabling IoT devices to connect to communication networks. Edge computing technologies can benefit the IoT, providing computation, storage, networking and intelligence in proximity to IoT devices.
Compared with the common gateway [ITU-T Y.4101], the edge-computing-enabled gateway in the IoT (EC-enabled IoT gateway) has additional capabilities supporting service layer interworking, and application layer interworking between IoT devices, IoT platforms and IoT application servers. In addition, the EC-enabled IoT gateway supports data transmission capabilities for IoT applications sensitive to time, latency, jitter and packet loss.
Based on the common requirements and capabilities of a gateway for IoT applications [ITU-T Y.4101] and IoT requirements for support of edge computing [ITU-T Y.4208], additional capabilities and capability framework of the edge-computing-enabled gateway in the IoT are specified.</t>
  </si>
  <si>
    <t>The iShare Authorization Registry manages records of Delegation and Authorization of Entitled Party (role) and/or Service Consumer (role), checks on the basis of the registered permission(s) whether a Machine Service Consumer (role) is authorized to take delivery of the requested service, and confirms the established powers towards the Service Provider (role).</t>
  </si>
  <si>
    <t>Microsoft ODBC is a widely adopted, standard, client-side API for accessing data.
Microsoft ODBC version 4.0 is a new version of ODBC for modern data sources that adds support for features such as:
Private drivers, Additional capability reporting, Language extensions through additional SQL Escape Clauses,Semi-structured data – Tables whose schema may not be defined or may change on a row-by-row basis,Hierarchical Data – Data with nested structure (structured fields, lists).
Web Authentication model</t>
  </si>
  <si>
    <t>RelationalDatabaseManagerTechnologyService</t>
  </si>
  <si>
    <t>OHDF is an specification designed for the exchange of data. The specification has nt been published yet, but it will be addressed to the exchange of normalised security data between cybersecurity tools.</t>
  </si>
  <si>
    <t>InteroperabilityStrategyGoal</t>
  </si>
  <si>
    <t>Organisational view</t>
  </si>
  <si>
    <t>DataExchangeApplicationComponent</t>
  </si>
  <si>
    <t>DataExchangeApplicationService</t>
  </si>
  <si>
    <t>parIS is a component in the International Data Spaces (IDS) architecture which focuses on creating a secure, standardized framework for data sharing while ensuring data sovereignty.</t>
  </si>
  <si>
    <t>IntegrityVerificationApplicationService</t>
  </si>
  <si>
    <t>DataSpaceApplicationService</t>
  </si>
  <si>
    <t>RegistrationApplicationService</t>
  </si>
  <si>
    <t>Data mapping is an equivalence relationship between two data items with ontological value. Data mapping is used for a wide variety of tasks, including: - Data mediation between a data source and a destination; - Data transformation - Identification of data relationships as part of data lineage analysis; - Discovery of hidden sensitive data such as the last four digits of a social security number hidden in another user id as part of a data masking or de-identification project; - Consolidation of multiple databases into a single database and identifying redundant columns of data for consolidation or elimination.</t>
  </si>
  <si>
    <t>DataMappingCatalogueDataObject</t>
  </si>
  <si>
    <t>DataMappingDataObject</t>
  </si>
  <si>
    <t>DataExtractionTransformationAndLoadingApplicationComponent</t>
  </si>
  <si>
    <t>MetadataCatalogueDataObject</t>
  </si>
  <si>
    <t>DataExtractionTransformationAndLoadingApplicationService</t>
  </si>
  <si>
    <t>DataSyntaxMappingCatalogueDataObject</t>
  </si>
  <si>
    <t>SoftwareComponentsCatalogueDataObject</t>
  </si>
  <si>
    <t>napDCAT-AP is an ongoing project by the European ITS Platform (EU EIP). It aims to extend the DCAT-AP (Data Catalog Vocabulary for Data Portals in Europe) specification to include metadata for National Access Points (NAPs).</t>
  </si>
  <si>
    <t>ControlledVocabularyDataObject</t>
  </si>
  <si>
    <t>DataModelDataObject</t>
  </si>
  <si>
    <t>MetadataDataObject</t>
  </si>
  <si>
    <t>The Business Document Naming and Design Rules (BDNDR) specification prescribes a set of naming and design rules used to create document model validation artifacts.</t>
  </si>
  <si>
    <t>ConformanceTestingApplicationComponent</t>
  </si>
  <si>
    <t>ConformanceTestingApplicationService</t>
  </si>
  <si>
    <t>SLA4OAI Specification aims to promote an open specification for services level agreement over OpenAPI-compliant REST APIs to support the exchange of data.</t>
  </si>
  <si>
    <t>APIApplicationInterface</t>
  </si>
  <si>
    <t>MachineToMachineInterfaceApplicationInterface</t>
  </si>
  <si>
    <t>ServiceLevelAgreementContract</t>
  </si>
  <si>
    <t>ETSI TS 119 612 provides a common time-stamping protocol and token profiles for a Trusted List Scheme Operator (TLSO) to provide information on the status and history of Trusted Service Provider (TSP) services concerning compliance with relevant legislation.</t>
  </si>
  <si>
    <t>E-SignatureCreationApplicationService</t>
  </si>
  <si>
    <t>CAMSS Assessment of ETSI TS 119 612 EIF Scenario v1.0.0</t>
  </si>
  <si>
    <t>75%AssessmentScoreAverage</t>
  </si>
  <si>
    <t>TrustServiceProvisioningApplicationComponent</t>
  </si>
  <si>
    <t>E-SignatureVerificationAndValidationApplicationService</t>
  </si>
  <si>
    <t>The Core Assessment Vocabulary represents and defines what an “Assessment” of “assets” is and how to perform the assessment based on “Criteria”. It is a domain-agnostic vocabulary, meaning that it can be used to assess any type of assets.</t>
  </si>
  <si>
    <t>HashCodeDataObject</t>
  </si>
  <si>
    <t>DataDataObject</t>
  </si>
  <si>
    <t>OntologyDataObject</t>
  </si>
  <si>
    <t>OpenDataRepresentation</t>
  </si>
  <si>
    <t>LinkedOpenDataRepresentation</t>
  </si>
  <si>
    <t>LinkedDataRepresentation</t>
  </si>
  <si>
    <t>Ontologies and their OWL representations are used in oneM2M to provide syntactic and semantic interoperability between oneM2M and external systems.</t>
  </si>
  <si>
    <t>DataAnalyticsApplicationComponent</t>
  </si>
  <si>
    <t>OntologiesCatalogueDataObject</t>
  </si>
  <si>
    <t>DataAnalyticsApplicationService</t>
  </si>
  <si>
    <t>The MIT License is a permissive free software license.</t>
  </si>
  <si>
    <t>TechnicalInteroperabilityAgreementContract</t>
  </si>
  <si>
    <t>The European Interoperability Reference Architecture (EIRA©) is an architecture content metamodel defining the most salient architectural building blocks (ABBs) needed to build interoperable e-Government systems. The EIRA© provides a common terminology that can be used by people working for public administrations in various architecture and system development tasks.</t>
  </si>
  <si>
    <t>InteroperableDigitalPublicServiceImplementationOrientationConstraint</t>
  </si>
  <si>
    <t>CAMSS Assessment of EIRA 6.1.0 EIF Scenario v1.0.0</t>
  </si>
  <si>
    <t>SHA-3 specifies a family of functions complementing SHA-1 and the SHA-2 family of hash functions. The SHA-3 family consists of four cryptographic hash functions and two extensible hash functions.</t>
  </si>
  <si>
    <t>PrivacyApplicationComponent</t>
  </si>
  <si>
    <t>The OPC Unified Architecture (OPC UA) is a platform independent service-oriented architecture that integrates all the functionality of the individual OPC Classic specifications into one extensible framework.</t>
  </si>
  <si>
    <t>SecurityPolicyBusinessObject</t>
  </si>
  <si>
    <t>The HAL specification is designed to complement the information provided by an API—for example, in a bookstore website—by including links to related resources. In this context, the specification is useful not only for providing additional information, but also for organising and consolidating related data in a single, structured format.</t>
  </si>
  <si>
    <t>DataFormatDataObject</t>
  </si>
  <si>
    <t>The Web Application Description Language (WADL) is an XML-based language designed to describe HTTP-based web services. It models the resources provided by a service and the relationships between them, aiming to simplify the reuse of web services that are based on the existing HTTP architecture of the Web. WADL is platform and language-independent, promoting the reuse of applications beyond basic web browser use.</t>
  </si>
  <si>
    <t>WebServiceApplicationInterface</t>
  </si>
  <si>
    <t>The SSH transport layer is a secure, low level transport protocol.It provides strong encryption, cryptographic host authentication, and integrity protection.</t>
  </si>
  <si>
    <t>DOLCE-Ultralite, is a upper level ontology which purpose is to provide a set of concepts hat can be the basis for easier interoperability among many middle and lower level ontologies.</t>
  </si>
  <si>
    <t>The Digital Credentials specification specifies an API to enable user agents to mediate access to, and presentation of, digital credentials such as a driver's license, government-issued identification card, and/or other types of digital credential.</t>
  </si>
  <si>
    <t>The IEEE P2145 specification addresses the development of standards for blockchain-based systems. IEEE P2145 aims to provide guidance for the structure and implementation of blockchain technology, focusing on aspects such as data integrity, security, and interoperability across systems.</t>
  </si>
  <si>
    <t>BlockchainLedgerTechnologyService</t>
  </si>
  <si>
    <t>BusinessProcessManagerTechnologyService</t>
  </si>
  <si>
    <t>APIManagerTechnologyService</t>
  </si>
  <si>
    <t>LoadBalancerTechnologyService</t>
  </si>
  <si>
    <t>SoftEther allows the user to securely create a high-performance Virtual Private Network (VPN) using an IP communications network.</t>
  </si>
  <si>
    <t>VirtualPrivateNetworkTechnologyService</t>
  </si>
  <si>
    <t>This document provides a definition of a standard Data Format Description Language (DFDL).  This language allows description of text, dense binary, and legacy data formats in a vendor-neutral declarative manner. DFDL is an extension to the XML Schema Description Language (XSD).</t>
  </si>
  <si>
    <t>EventManagerTechnologyService</t>
  </si>
  <si>
    <t>ISO/IEC/IEEE 24748-2 is a guideline for the application of ISO/IEC/IEEE 15288. It addresses system, life cycle, organizational, project, and process, concept application, principally through reference to ISO/IEC/IEEE 24748-1 and ISO/IEC/IEEE 15288. It gives guidance on applying ISO/IEC/IEEE 15288 from the aspects of strategy, planning, application in organizations, and application on projects. It also provides comparison of the differences between ISO/IEC/IEEE 15288 current revision and the prior version, ISO/IEC 15288:2015.</t>
  </si>
  <si>
    <t>PhysicalComputingInfrastructureEquipment</t>
  </si>
  <si>
    <t>PhysicalNetworkInfrastructureEquipment</t>
  </si>
  <si>
    <t>The Basic Digital Government API EU framework provides actions displayed in 12 proposals to be taken by governments to improve their API infrastructure and related organisational processes. These proposals are arranged around four organisational pillars: policy support, platforms and ecosystems, people, and processes.</t>
  </si>
  <si>
    <t>TechnicalAgreementContract</t>
  </si>
  <si>
    <t>vCard defines a standard for electronic business cards, allowing the exchange of personal information typically found on traditional business cards, such as name, address, phone number, email address, and URL.</t>
  </si>
  <si>
    <t>The Framework for Multicast in Network Virtualization over Layer 3 provides a framework for supporting multicast traffic in a network using NVO3 through a variety of mechanisms. Network virtualisation over layer 3 (NVO3) addresses the issues that arise in building large multi-tenant data centres that make extensive use of server virtualisation.</t>
  </si>
  <si>
    <t>Asset Administration Shell (AAS) is a standardised digital representation of assets in industry. The model defines digital assets and their interaction with technology manufacturers.</t>
  </si>
  <si>
    <t>CAMSS Assessment of AAS EIF Scenario v1.0.0</t>
  </si>
  <si>
    <t>DigitalSolutionApplicationService</t>
  </si>
  <si>
    <t>DigitalSolutionApplicationComponent</t>
  </si>
  <si>
    <t>Legal act on procurement by entities operating in the water, energy, transport and postal services sectors</t>
  </si>
  <si>
    <t>PublicPolicyCourseOfAction</t>
  </si>
  <si>
    <t>Legal view</t>
  </si>
  <si>
    <t>The PCI Standards consist of a framework of specifications, tools, measurements and support resources to help organizations ensure the safe handling of cardholder information at every step.</t>
  </si>
  <si>
    <t>PublicAdministrationSingleWindowApplicationService</t>
  </si>
  <si>
    <t>PublicAdministrationSingleWindowApplicationComponent</t>
  </si>
  <si>
    <t>The European Union Public Licence (EUPL) is a free software licence that has been created and approved by the European Commission. The licence is available in 23 official languages of the European Union. All linguistic versions have the same validity.</t>
  </si>
  <si>
    <t>Linked Data Platform (LDP) defines a set of rules for HTTP operations on web resources, some based on RDF, to provide an architecture for read-write Linked Data on the web.</t>
  </si>
  <si>
    <t>LinkedDataEventStreamRepresentation</t>
  </si>
  <si>
    <t>Indexed Database API performs advanced key-value data management by using transactional databases to store keys and their corresponding values.</t>
  </si>
  <si>
    <t>DataManagementApplicationComponent</t>
  </si>
  <si>
    <t>CAMSS Assessment of IndexedDB EIF Scenario v1.0.0</t>
  </si>
  <si>
    <t>DataManagementApplicationService</t>
  </si>
  <si>
    <t>DatabaseCacheManagerTechnologyService</t>
  </si>
  <si>
    <t>InmutableDatabaseManagerTechnologyService</t>
  </si>
  <si>
    <t>NoSQLDatabaseManagerTechnologyService</t>
  </si>
  <si>
    <t>Object-OrientedDatabaseManagerTechnologyService</t>
  </si>
  <si>
    <t>GSBPM describes and defines the set of business processes needed to produce official statistics. The specification provides a standardised framework and harmonises terminology to support statistical organisations to homogenise statistical models. The benefits of adopting GSBPM are standardisation of documentation, statistical computing infrastructures and quality checks procedures.</t>
  </si>
  <si>
    <t>The Fast Healthcare Interoperability Resources (FHIR) standard is a set of rules and specifications for the secure exchange of electronic health care data. It is designed to be flexible and adaptable, so that it can be used in a wide range of settings and with different health care information systems. In addition, the standard describes data formats and elements and an application programming interface (API) for exchanging electronic health records (EHR).</t>
  </si>
  <si>
    <t>The eGovernment Core Vocabularies Handbook is a common method that provides uses cases for the creation of data models and core vocabularies and also to elaborate mappings between data models and code vocabularies. It provides a set of guidelines to help and ease the creation of new data models and exchange data models by putting in place mappings to standard syntaxes.</t>
  </si>
  <si>
    <t>SemanticInteroperabilityAgreementContract</t>
  </si>
  <si>
    <t>SemanticAgreementContract</t>
  </si>
  <si>
    <t>Hypertext Transfer Protocol (HTTP) is an application layer protocol in the Internet Protocol Suite model for distributed, collaborative and hypermedia information systems.</t>
  </si>
  <si>
    <t>CAMSS Assessment of HTTP EIF Scenario v1.0.0; CAMSS Assessment of HTTP EIF Scenario v2.0.0</t>
  </si>
  <si>
    <t>86%StrengthOfAssessmentScoreAverage; 83.59%AssessmentScoreAverage</t>
  </si>
  <si>
    <t>TS 103 523-3 CYBER lists requirements - such as legal mandates and service agreements - existing for enterprise network and data centre operators and service providers, organizations, and small businesses to be able to observe and audit the content and metadata of encrypted sessions transported across their infrastructures [i.2]. The original TLS protocol standards adopted in the 1986-1995 period in multiple bodies and IETF versions up to and including TLS 1.2, provided for these capabilities [i.3] and [1]. The latest version of the protocol, TLS 1.3, does not provide for these capabilities [2]. Where these capabilities do not exist, this new encryption protocol could be blocked altogether at the enterprise gateway, forcing users to revert to older, less secure TLS protocols.</t>
  </si>
  <si>
    <t>AccessManagementApplicationService</t>
  </si>
  <si>
    <t>AccessManagementApplicationComponent</t>
  </si>
  <si>
    <t>SPF describes a protocol for announcing sending practices that administrative management domains (ADMDS) may want to know when messages are received via unauthorized routing.</t>
  </si>
  <si>
    <t>QUIC improves the performance of connection-oriented web applications, currently using Transmission Control Protocol (TCP), by establishing a series of multiplexed connections between two endpoints and using the User Datagram Protocol (UDP). The specification will possibly replace TCP in the Internet protocol suite.</t>
  </si>
  <si>
    <t>The ETSI TR 104 074 specification provides methodologies for the testing and validation of services based on network applications over 5G networks. Its objective is to establish consistent approaches to evaluate the performance and interoperability of these services in complex network environments. In this sense, the specification addresses key aspects such as the definition of test cases, the selection of relevant metrics, and the implementation of automation tools to facilitate the validation process.</t>
  </si>
  <si>
    <t>TelemetryTechnologyService</t>
  </si>
  <si>
    <t>An HTTP cookie (web cookie, browser cookie) is a small piece of data that a server sends to the user's web browser</t>
  </si>
  <si>
    <t>HumanInterfaceApplicationInterface</t>
  </si>
  <si>
    <t>CAMSS Assessment of HTTP Cookies EIF Scenario v1.0.0</t>
  </si>
  <si>
    <t>78%AssessmentScoreAverage</t>
  </si>
  <si>
    <t>The Y.3500 specification establishes a terminology foundation for cloud computing, intending to standardise the vocabulary used across cloud computing standards, serving as a consensus baseline without precluding additional, domain‑specific terminology in related or future standards.</t>
  </si>
  <si>
    <t>PublicCloudComputingFacilityFacility</t>
  </si>
  <si>
    <t>PrivateCloudComputingFacilityFacility</t>
  </si>
  <si>
    <t>This specification defines a subset of the Management Information Base (MIB) for power and energy monitoring of devices. Target devices for this specification include (but are not limited to) routers, switches, Power over Ethernet (PoE)endpoints, protocol gateways for building management systems, intelligent meters, home energy gateways, hosts and servers, sensor proxies, etc.</t>
  </si>
  <si>
    <t>RouterTechnologyService</t>
  </si>
  <si>
    <t>LocalAreaNetworkCommunicationNetwork</t>
  </si>
  <si>
    <t>PrivateSubnetworkCommunicationNetwork</t>
  </si>
  <si>
    <t>The Resource Description Framework (RDF) is a general-purpose framework for representing information on the Web. RDF-star extends RDF with a convenient way to make statements about other statements. This specification defines the abstract syntax of RDF-star as an extension of RDF's. It extends a number of RDF concrete syntaxes to support the new abstract syntax. It also extends RDF's formal semantics. Finally, this specification extends the SPARQL language to allow querying and updating of RDF-star data.</t>
  </si>
  <si>
    <t>MetadataManagementApplicationComponent</t>
  </si>
  <si>
    <t>BlockchainApplicationComponent</t>
  </si>
  <si>
    <t>BlockchainApplicationService</t>
  </si>
  <si>
    <t>MetadataManagementApplicationService</t>
  </si>
  <si>
    <t>SensorDevice</t>
  </si>
  <si>
    <t>Service Requirements for L2VPNs provides requirements for provider-provisioned Layer 2 Virtual Private Networks (L2VPNs). Besides a specific taxonomy and terminology, the specification makes use of common components of the Framework for Layer 2 Virtual Private Networks (specification).</t>
  </si>
  <si>
    <t>The Vocabulary of Interlinked Datasets (VoID) is concerned with metadata about RDF datasets. It is an RDF Schema vocabulary that provides terms and patterns for describing RDF datasets, and is intended as a bridge between the publishers and users of RDF data. VoiD descriptions can be used in many situations, ranging from data discovery to cataloging and archiving of datasets, but most importantly it helps users find the right data for their tasks.</t>
  </si>
  <si>
    <t>DatasetDataObject</t>
  </si>
  <si>
    <t>ReferenceDataDataObject</t>
  </si>
  <si>
    <t>MasterDataDataObject</t>
  </si>
  <si>
    <t>DatasetCatalogueDataObject</t>
  </si>
  <si>
    <t>E-ARK AIP belongs to the suite of E-ARK CSIP specifications that are used to transmit, describe and retain digital data. E-ARK AIP defines requirements and guidelines for creating AIPs that are suitable for long-term storage of information packets.</t>
  </si>
  <si>
    <t>E-ArchivingApplicationService</t>
  </si>
  <si>
    <t>E-ArchivingApplicationComponent</t>
  </si>
  <si>
    <t>Fetch standard defines requests, responses, and the fetch process, which binds them. The specification supersedes Cross-origin resource sharing (CORS) (https://www.w3.org/TR/2020/SPSD-cors-20200602/) as a mechanism that allows restricted resources on a web page to be requested from another domain outside the domain from which the first resource was served.</t>
  </si>
  <si>
    <t>The Token Binding Protocol is a proposed standard for a Transport Layer Security (TLS) extension that aims to increase TLS security by using cryptographic certificates on both ends of the TLS connection.</t>
  </si>
  <si>
    <t>AuthorisationApplicationService</t>
  </si>
  <si>
    <t>AuthenticationApplicationService</t>
  </si>
  <si>
    <t>IdentityManagementApplicationService</t>
  </si>
  <si>
    <t>Digital Link - GS1 Digital Link | GS1</t>
  </si>
  <si>
    <t>The GS1 Digital Link specification transforms a traditional barcode into a web address, effectively integrating the product’s information and additional data into the broader Internet ecosystem. This enables consumers, retailers, brand owners, and all stakeholders within the supply chain to access a comprehensive range of up-to-date product information. It functions much like the Internet of Things, albeit without the embedded sensors and microchips.</t>
  </si>
  <si>
    <t>The eDelivery SMP (Service Metadata Publisher) profile provides a set of implementation guidelines for the OASIS SMP version 2.0 specification. In this context, the SMP specification defines an XML-based service metadata data model and a REST binding to retrieve service metadata.</t>
  </si>
  <si>
    <t>ArtificialIntelligenceApplicationComponent</t>
  </si>
  <si>
    <t>AuditApplicationService</t>
  </si>
  <si>
    <t>ArtificialIntelligenceApplicationService</t>
  </si>
  <si>
    <t>AuditApplicationComponent</t>
  </si>
  <si>
    <t>The Directive of the European Parliament and of the Council of 20 June 2019 is focused on open data and the re-use of public sector information</t>
  </si>
  <si>
    <t>DataPortabilityPolicyBusinessObject</t>
  </si>
  <si>
    <t>PrivacyPolicyBusinessObject</t>
  </si>
  <si>
    <t>MasterDataPolicyBusinessObject</t>
  </si>
  <si>
    <t>OpenDataPolicyBusinessObject</t>
  </si>
  <si>
    <t>DataPolicyBusinessObject</t>
  </si>
  <si>
    <t>The Ontology-Based Model of E-Governance aims to provide an effective knowledge management model with a focus on eGovernment and interoperability projects.</t>
  </si>
  <si>
    <t>InteroperabilityFrameworkBusinessObject</t>
  </si>
  <si>
    <t>The Resource Description Framework (RDF) is a framework for representing information in the Web. This document defines an abstract syntax (a data model) which serves to link all RDF-based languages and specifications. The abstract syntax has two key data structures: RDF graphs are sets of subject-predicate-object triples, where the elements may be IRIs, blank nodes, or datatyped literals. They are used to express descriptions of resources. RDF datasets are used to organize collections of RDF graphs, and comprise a default graph and zero or more named graphs. RDF 1.1 Concepts and Abstract Syntax also introduces key concepts and terminology, and discusses datatyping and the handling of fragment identifiers in IRIs within RDF graphs.</t>
  </si>
  <si>
    <t>DataRepresentationRepresentation</t>
  </si>
  <si>
    <t>CAMSS Assessment of RDF EIF Scenario v2.0.0; CAMSS Assessment of RDF EIF Scenario v1.0.0</t>
  </si>
  <si>
    <t>87%StrengthOfAssessmentScoreAverage; 87%StrengthOfAssessmentScoreAverage</t>
  </si>
  <si>
    <t>KnowledgeTriplestoreDataObject</t>
  </si>
  <si>
    <t>KnowledgeRepresentation</t>
  </si>
  <si>
    <t>DataSyntaxDataObject</t>
  </si>
  <si>
    <t>The Gaia-X Policy Rules Conformity Document aims to define the rules and conformity criteria for participants and services within the Gaia-X ecosystem. The purpose of these rules is to demonstrate Gaia-X's core European values, such as openness, transparency, data protection, security, and portability.</t>
  </si>
  <si>
    <t>The Postman collections specification defines the structure and format of Postman Collections, which are used to organise API requests. The collection format is an open-source JSON format that allows for the organisation of API requests, making them portable, shareable, and executable.</t>
  </si>
  <si>
    <t>OpenPeppol eDEC Code Lists define document types, processes, participant identifier schemes and transport profiles in business-to-gouvernmnet transactions.</t>
  </si>
  <si>
    <t>BaseRegistryDataObject</t>
  </si>
  <si>
    <t>The OOP architecture contributes to implementing the Only-Once Principle (OOP) in public administrations and supports the interconnection and interoperability of national registries at the EU level.</t>
  </si>
  <si>
    <t>Siren is a hypermedia specification for representing documents on a website. In this sense, Siren is a specification for presenting entities via a Web API. Moreover,  Siren offers structures to communicate information about entities, actions for executing state transitions, and links for client navigation.</t>
  </si>
  <si>
    <t>The ITU-T X.1365 specification is designed to facilitate and simplify the implementation of security mechanisms to protect data collected by sensors. In this sense, the specification proposes identity-based cryptography (IBC) to protect entities when exchanging data. Thus, sensors can authenticate their identity and communicate with the central platform in order to manage sensors if necessary.</t>
  </si>
  <si>
    <t>The System for Cross-domain Identity Management (SCIM), Definitions, Overview, Concepts, and Requirements specification describes both the design and implementability of the SCIM schema and the SCIM protocol.</t>
  </si>
  <si>
    <t>CAMSS Assessment of SCIM EIF Scenario v1.0.0</t>
  </si>
  <si>
    <t>90.73%AssessmentScoreAverage</t>
  </si>
  <si>
    <t>TR 22678 provides guidance on the use of international standards as a tool in the development of those policies that govern or regulate cloud service providers (CSPs) and cloud services, and those policies and practices that govern the use of cloud services in organisations.
This includes material that explains cloud computing concepts and the role of cloud computing international standards in formulating policies and practices.
The document makes references to various international standards. Where possible, these standards are ISO/IEC standards. Where a suitable ISO/IEC standard is not available, references are made to documents published by other WTO-registered standards bodies.
As explained in the WTO Agreement on Technical Barriers to Trade (TBT), standards play a vital role in supporting technical regulations and conformity assessment, however this document does not cover matters of trade.</t>
  </si>
  <si>
    <t>AgreementOnInteroperabilitySecurityContract</t>
  </si>
  <si>
    <t>A controlled vocabulary is an organized arrangement of words and phrases used to index content and/or to retrieve content through browsing or searching. It typically includes preferred and variant terms and has a defined scope or describes a specific domain.</t>
  </si>
  <si>
    <t>The Constrained Application Protocol (CoAP) specification is designed to facilitate communication and data exchange between constrained devices and networks. In this context, the protocol can be useful in scenarios such as smart homes and intelligent wearables, among others.</t>
  </si>
  <si>
    <t>Service Oriented Architecture (SOA) is an architectural style that enables architects to design and develop architectures for SOA solutions and service-oriented enterprise applications. The SOA Reference Architecture consists of two complementary parts: firstly, a reference architecture for SOA solutions and, secondly, a set of common service types or categories.</t>
  </si>
  <si>
    <t>ApplicationServerTechnologyService</t>
  </si>
  <si>
    <t>Definitive reference for the CSAF CVRF language which supports creation, update, and interoperable exchange of security advisories as structured information on products, vulnerabilities and the status of impact and remediation among interested parties.</t>
  </si>
  <si>
    <t>The Smart Data Models (SDM) specification is addressed to promote interoperability could be to provide shared, standard, data models that can be used by a wide range of organisations and systems to facilitate data exchange and interoperability.</t>
  </si>
  <si>
    <t>DPV-GDPR extends the Data Privacy Vocabulary (DPV) Specification to provide taxonomies of concepts such as legal bases, rights, and data transfer tools as defined within the General Data Protection Regulation (GDPR).</t>
  </si>
  <si>
    <t>AgreementOnPrivacyContract</t>
  </si>
  <si>
    <t>The IT4IT Standard provides a flexible, value stream-based approach that supports your digital business on its continuous improvement journey to deliver digital products better, faster, cheaper, and safer. Moreover, the specification also describes tools and services that the organisations need.</t>
  </si>
  <si>
    <t>ETSI EN 319 162-2 defines an additional specific use of ASiC (ETSI EN 319 162-1) and describes how containers that collect electronic documents, including formats such as OCF, ODF and UCF, can be used to associate digital signatures to any data object in the container.</t>
  </si>
  <si>
    <t>E-SealPreservationApplicationService</t>
  </si>
  <si>
    <t>E-SealVerificationAndValidationApplicationService</t>
  </si>
  <si>
    <t>E-SealCreationApplicationService</t>
  </si>
  <si>
    <t>E-SignaturePreservationApplicationService</t>
  </si>
  <si>
    <t>Legal act on the identification of ICT Technical Specifications for referencing in public procurement</t>
  </si>
  <si>
    <t>Non-bindingInstrumentRequirement</t>
  </si>
  <si>
    <t>NationalLegalActRequirement</t>
  </si>
  <si>
    <t>EuropeanLegalActRequirement</t>
  </si>
  <si>
    <t>LegalActRequirement</t>
  </si>
  <si>
    <t>BindingInstrumentRequirement</t>
  </si>
  <si>
    <t>The SPARQL 1.1 Graph Store HTTP Protocol specification is designed to effectively manage data across multiple RDF graphs. In this context, the specification enables operations such as deleting and updating information within different graphs in a straightforward manner.</t>
  </si>
  <si>
    <t>DataPublicationApplicationComponent</t>
  </si>
  <si>
    <t>DataPublicationApplicationService</t>
  </si>
  <si>
    <t>Legal act on strengthening the security of identity cards of Union citizens and of residence documents issued to Union citizens and their family members exercising their right of free movement</t>
  </si>
  <si>
    <t>OpenSource MANO (OSM) is an open source community that provides a production-quality MANO stack for Virtual Network Function (NFV), suitable for all VNFs, operationally meaningful and independent of any Virtualized Infrastructure Manager (VIM).</t>
  </si>
  <si>
    <t>OrchestrationApplicationComponent</t>
  </si>
  <si>
    <t>OrchestrationApplicationService</t>
  </si>
  <si>
    <t>GITB processing services are used to extend the capabilities of the test bed with domain-specific processing functions.</t>
  </si>
  <si>
    <t>IPv4 is a connectionless protocol for use on packet-switched networks. It is one of the core protocols of standards-based internetworking methods in the Internet.</t>
  </si>
  <si>
    <t>CAMSS Assessment of IPv4 EIF Scenario v1.0.0; CAMSS Assessment of IPv4 EIF Scenario v2.0.0</t>
  </si>
  <si>
    <t>81%StrengthOfAssessmentScoreAverage; 91.11%StrengthOfAssessmentScoreAverage</t>
  </si>
  <si>
    <t>JSON Web Token (JWT) is a compact, URL-safe means of representing claims to be transferred between two parties. The claims in a JWT are encoded as a JSON object that is used as the payload of a JSON Web Signature (JWS) structure or as the plaintext of a JSON Web Encryption (JWE) structure, enabling the claims to be digitally signed or integrity protected with a Message Authentication Code (MAC) and/or encrypted.</t>
  </si>
  <si>
    <t>RapidAPI is an API Hub that help developers find, test and connect to a vast number of APIs.</t>
  </si>
  <si>
    <t>APICatalogueDataObject</t>
  </si>
  <si>
    <t>APICatalogueApplicationComponent</t>
  </si>
  <si>
    <t>This specification describes the format of a request sent to a Time Stamping Authority (TSA) and of the response that is returned. It also establishes several security-relevant requirements for TSA operation, with regards to processing requests to generate responses. This format is widely used by e-timestamping services.</t>
  </si>
  <si>
    <t>E-TimestampCreationApplicationService</t>
  </si>
  <si>
    <t>CAMSS Assessment of TSP EIF Scenario v1.0.0; CAMSS Assessment of TSP EIF Scenario v2.0.0</t>
  </si>
  <si>
    <t>77%AssessmentScoreAverage; 77.78%StrengthOfAssessmentScoreAverage</t>
  </si>
  <si>
    <t>E-TimestampVerificationAndValidationApplicationService</t>
  </si>
  <si>
    <t>The focus of TS 103 744 CYBER is on the practical implementation of quantum-safe primitives, including performance considerations, implementation capabilities, protocols, benchmarking and practical architectural considerations for specific applications. The group’s work also feeds into other groups and standards bodies such as International Telecommunications Union (ITU), Internet Engineering Task Force (IETF), International Standards Organisation (ISO) and GlobalPlatform.</t>
  </si>
  <si>
    <t>The GeoDCAT-AP specification is an extension of the DCAT application profile for data portals in Europe (DCAT-AP) for describing geospatial datasets, dataset series, and services.</t>
  </si>
  <si>
    <t>SODA 2.0 came out of the interest at Socrata to create a simple API that could be used across any open data service. The purpose is to allow applications and third parties to only need to become familiar with a single API.</t>
  </si>
  <si>
    <t>ServerNode</t>
  </si>
  <si>
    <t>JSON-RPC is a simple, stateless, transport-agnostic remote procedure call (RPC) protocol that uses JSON as its data format.</t>
  </si>
  <si>
    <t>Legal act concerning the processing of personal data and the protection of privacy in the electronic communications sector.</t>
  </si>
  <si>
    <t>The eDelivery AS4 Profile is a modular profile of the ebMS3 and AS4 OASIS specifications. It is a profile for the secure and payload-agnostic exchange of Business-to-business documents using Web services. It is a CEF profile providing requirements for data exchange services.</t>
  </si>
  <si>
    <t>The BIS eDelivery guide for pre-award uses the UBL 2.2 syntax and describes common building blocks to be able to execute pre-award processes.</t>
  </si>
  <si>
    <t>This Authority tables set out the armonisation of codes used by the Publications Office, and also in the inter-institutional data exchange. This controlled vocabularies are a standarised way of codification that can be used further on the OP.</t>
  </si>
  <si>
    <t>The eID specification is a set of services provided by the European Commission to enable the mutual recognition of national electronic identification schemes (eID) across borders. It allows European citizens to use their national eIDs when accessing online services from other European countries.</t>
  </si>
  <si>
    <t>HAProxy is a high-performance load balancer and proxy server for TCP and HTTP-based applications, widely used for its efficiency, reliability, and low latency, ensuring balanced distribution of workloads across multiple servers.</t>
  </si>
  <si>
    <t>Akoma Ntoso for the European Union (AKN4EU) is an XML-based format for the exchange of legal documents, which is built on OASIS Akoma Ntoso and fully aligned with the IMFC Common Vocabulary (Common Vocabulary, CoV). AKN4EU will serve as a specification for all future exchanges of legal documents at the European level.</t>
  </si>
  <si>
    <t>CAMSS Assessment of AKN4EU 4.0.0 EIF Scenario v1.0.0</t>
  </si>
  <si>
    <t>LegalActRepresentationRepresentation</t>
  </si>
  <si>
    <t>The purpose of the specification is to ensure that electronic signatures can be created and validated anywhere in Europe, the eIDAS Regulation, through Implementing Decision 2015/1506/EU, has defined a number of baseline profiles. The baseline profile of XAdES is one of them.</t>
  </si>
  <si>
    <t>CAMSS Assessment of XAdES EIF Scenario v1.0.0</t>
  </si>
  <si>
    <t>The BIS eDocuments guide for pre-award uses the UBL 2.2 syntax and describes common building blocks to be able to execute pre-award processes.</t>
  </si>
  <si>
    <t>The Asset Administration Shell (AAS) Metamodel specification is a conceptual framework and set of guidelines used in the context of Industry 4.0 to define the structure and semantics of the digital representation of assets.</t>
  </si>
  <si>
    <t>Hypermedia as the Engine of Application State (HATEOAS) is a constraint of the REST application architecture, enabling clients to interact dynamically with a RESTful service by navigating hyperlinks provided in responses, without requiring prior knowledge of the API structure.</t>
  </si>
  <si>
    <t>EdgeComputingTechnologyCollaboration</t>
  </si>
  <si>
    <t>OpenPGP is a non-proprietary format for authenticating or encrypting data, using public key cryptography.</t>
  </si>
  <si>
    <t>PrivacyApplicationService</t>
  </si>
  <si>
    <t>DNS-based Authentication of Named Entities (DANE) is an Internet security protocol for binding X.509 digital certificates, commonly used for Transport Layer Security (TLS), to domain names using Domain Name System Security Extensions (DNSSEC).</t>
  </si>
  <si>
    <t>DomainNameServiceTechnologyService</t>
  </si>
  <si>
    <t>The eIDAS Interoperability Architecture defines the interoperability components of the eIDAS-Network, that is the components necessary to achieve interoperability of notified eID schemes according to the eIDAS Regulation.</t>
  </si>
  <si>
    <t>InteroperableDigitalSolutionApplicationComponent</t>
  </si>
  <si>
    <t>This document establishes the general concepts and principles of IT security evaluation and specifies the general model of evaluation given by various parts of the standard which in its entirety is meant to be used as the basis for evaluation of security properties of IT products.
This document provides an overview of all parts of the ISO/IEC 15408 series. It describes the various parts of the ISO/IEC 15408 series; defines the terms and abbreviations to be used in all parts of the standard; establishes the core concept of a Target of Evaluation (TOE); describes the evaluation context and describes the audience to which the evaluation criteria is addressed. An introduction to the basic security concepts necessary for evaluation of IT products is given.</t>
  </si>
  <si>
    <t>SecurePublicNetworkCommunicationNetwork</t>
  </si>
  <si>
    <t>Layer 2 Tunneling Protocol (L2TP) is a tunneling protocol used to support virtual private networks (VPNs), providing a standard method for tunneling PPP packets.</t>
  </si>
  <si>
    <t>The RFC 7668 specification enables Bluetooth Low Energy (BLE) devices to communicate by providing them with IPv6 connectivity. In this way, the specification ensures that devices can operate efficiently both individually and in groups, allowing applications and users on the network to interact with them indirectly. Although it does not focus on direct communication between users, it facilitates interaction between devices and other systems using IPv6 connectivity.</t>
  </si>
  <si>
    <t>Distributed Relational Database Architecture (DRDA) enables connectivity between a relational database management system and application programs to access distributed relational data. The specification is not a distributed database management API.</t>
  </si>
  <si>
    <t>Non-binding legal instrument that can be reused across business areas</t>
  </si>
  <si>
    <t>SecurityFrameworkBusinessObject</t>
  </si>
  <si>
    <t>CAMSS Assessment of ISO 27001 EIF Scenario v1.0.0</t>
  </si>
  <si>
    <t>80%AssessmentScoreAverage</t>
  </si>
  <si>
    <t>The SQL Call Level Interface (CLI) is an application programming interface (API) for database access.</t>
  </si>
  <si>
    <t>DataPersistenceApplicationService</t>
  </si>
  <si>
    <t>DataPersistenceApplicationComponent</t>
  </si>
  <si>
    <t>SOS is a Web service interface which allows querying observations, sensor metadata, as well as representations of observed features. Further, this standard defines means to register new sensors and to remove existing ones.</t>
  </si>
  <si>
    <t>The AES-CMAC algorithm specifies an authentication algorithm built on the Cipher-based Message Authentication Code (CMAC) with the 128-bit Advanced Encryption Standard (AES). AES-CMAC offers a better assurance of data integrity than a checksum or error detection code.</t>
  </si>
  <si>
    <t>The RFC 7390 specification is designed to facilitate communication among constrained devices, such as IoT sensors or smart appliances. It enables these devices to send messages to a group and coordinate actions simultaneously. For example, RFC 7390 can simplify processes like turning on all the lights in a room at once with a single command.</t>
  </si>
  <si>
    <t>SmartDeviceDevice</t>
  </si>
  <si>
    <t>The ETSI TS 103 486 specification provides a robust and flexible framework for identity management in IoT environments, enabling granular control over exposed information and enhancing security and privacy during discovery and communication processes.</t>
  </si>
  <si>
    <t>IdentityProviderTechnologyService</t>
  </si>
  <si>
    <t>A JSON Web Key (JWK) is a JavaScript Object Notation (JSON) data structure that represents a cryptographic key.</t>
  </si>
  <si>
    <t>The PROV-N specification provides a human-readable notation for representing provenance information. Provenance refers to the history or origin of data, essentially, answering questions like Who created this data?, What processes were involved?, and How did this data come to be?. In this sense, it offers a functional-style syntax designed to describe the relationships between entities, activities, and agents involved in producing or modifying data.</t>
  </si>
  <si>
    <t>Semantic Treehouse enables a vocabulary hub where vocabulary providers can publish, share and develop data space-related specification models. The vocabulary hub is a term coined under the IDS Reference Architecture Model (IDS-RAM).</t>
  </si>
  <si>
    <t>DataSpaceConnectorProviderApplicationService</t>
  </si>
  <si>
    <t>DataSpaceConnectorApplicationService</t>
  </si>
  <si>
    <t>DataSpaceConnectorConsumerApplicationService</t>
  </si>
  <si>
    <t>ETSI TS 119 511 sets policy and security requirements for Trust Service Providers (TSPs) that provide long-term preservation of digital signatures and general data (unsigned or signed data) in the context of different frameworks. The specification is based on ETSI EN 319 401.</t>
  </si>
  <si>
    <t>CAMSS Assessment of ETSI TS 119 511 EIF Scenario v1.0.0</t>
  </si>
  <si>
    <t>85%AssessmentScoreAverage</t>
  </si>
  <si>
    <t>EuroVoc is a multilingual, multidisciplinary thesaurus covering the activities of the EU, the European Parliament in particular.</t>
  </si>
  <si>
    <t>CAMSS Assessment of EuroVoc EIF Scenario v1.0.0; CAMSS Assessment of EuroVoc EIF Scenario v2.0.0</t>
  </si>
  <si>
    <t>65%AssessmentScoreAverage; 79%AssessmentScoreAverage</t>
  </si>
  <si>
    <t>ASVS is an open standard for performing Web application security verification.</t>
  </si>
  <si>
    <t>ConformanceTestScenarioBusinessObject</t>
  </si>
  <si>
    <t>Peppol eDelivery Network Specifications, in the past known as the Business Document Exchange Network (BUSDOX) specifications, is a Family enabling the access to the Peppol eDelivery Network. The family includes, among others, the following components: Access Points (Peppol AS4 profile); Service Metadata Publishers (Peppol SMP); Service Metadata Locator (Peppol SML).</t>
  </si>
  <si>
    <t>EnterpriseServiceBusTechnologyService</t>
  </si>
  <si>
    <t>publiccode.yml is a metadata standard for repositories containing software developed or acquired by the public administrations, aimed at making them easily discoverabile and thus reusable by other entities.</t>
  </si>
  <si>
    <t>CAMSS Assessment of publiccode.yml EIF Scenario v1.0.0</t>
  </si>
  <si>
    <t>75.41%AssessmentScoreAverage</t>
  </si>
  <si>
    <t>The CEF contributes to the further implementation of high-performance, sustainable and efficiently interconnected trans-European networks in transport, energy and digital services.</t>
  </si>
  <si>
    <t>DigitalPublicServiceBusinessService</t>
  </si>
  <si>
    <t>Apache License helps to achieve goals of providing reliable and long-lived software products through collaborative open source software development.</t>
  </si>
  <si>
    <t>gRPC is a cross-platform Remote Procedure Call (RPC) framework that connects a large number of microservices running within and across data centres in any environment.</t>
  </si>
  <si>
    <t>VirtualMachineNode</t>
  </si>
  <si>
    <t>Technical Interoperability Agreement is the means through which Technical Authorities mandate specific Technical Interoperability Specifications, ensuring organisations (operating under different technical frameworks, policies and strategies) are able to work together.</t>
  </si>
  <si>
    <t>CAMSS Assessment of PAdES EIF Scenario v1.0.0</t>
  </si>
  <si>
    <t>The FOAF ontology is an ontology to describe people and social relationships. Some FOAF's classes are used to be reused by other vocabularies or initiatives at the European level ensuring the interoperability and the alignment amongst them.</t>
  </si>
  <si>
    <t>The Trusted Data Transaction specification is addressed to provide terminology, concepts and mechanisms in the field of data exchange focusing on trusted data transactions. Those elements can be used in the development of standards in support of trusted data transactions. These terminology, concepts and mechanisms constitute the basis to identify key dimensions and criteria that contribute to the trust in a data transaction between interested parties.</t>
  </si>
  <si>
    <t>EPCIS is an open ISO/IEC/GS1 standard that allows visibility data information to be captured and shared within an organization or between multiple organizations in the form of an event. The EPCIS standard is beneficial to organizations that move products between stages within the same organization as well as between organizations. The EPCIS event data can be used for all physical objects such as assets, products, logical units, reusable transport items, etc., or can also be used for digital objects such as music downloads, electronic books, electronic coupons, subscriptions, etc. The EPCIS standard was designed to improve cooperation between trading partners by exchanging comprehensive information on physical and digital items. The initial version of EPCIS 1.0 was released at the beginning of 2007. Later, EPCIS 1.1 and 1.2 were released in 2014 and 2016 respectively with various enhancements. The latest version, EPCIS 2.0, is published in June 2022 with a lot of significant enhancements.</t>
  </si>
  <si>
    <t>Recommendation ITU-T X.1451 specifies a risk identification function in an information and communication technology (ICT) service system as a pre-processor before the authentication function is invoked. It enables the ICT service system to optimize user authentication based on identified risks.
With this specific risk identification function, the ICT service system can make choices on authentication mechanisms adaptively to its users and achieve multiple benefits such as: 1) to improve user experiences; 2) to increase the capacity and reduce the per transaction cost of user authentication; and 3) to reduce the risk of user identity forgery.
For ICT systems, user authentication is a critical security function. Various authentication mechanisms are available, but it may not be clear how to make the best choice from a number of options. Authentication of ICT services should strive to balance multiple functional objectives such as security, user experience, cost and performance.</t>
  </si>
  <si>
    <t>IdentificationApplicationComponent</t>
  </si>
  <si>
    <t>The Extended WebDAV MKCOL is an extension to the HTTP/1.1 protocol to create WebDAV collections on a server.</t>
  </si>
  <si>
    <t>RemoteDesktopClientDevice</t>
  </si>
  <si>
    <t>BSBA Technical Convergence Discussion Document is a document published by the Data Spaces Business Alliance (DSBA) that focuses on achieving technical convergence across different initiatives and technologies involved in the development and deployment of data spaces, particularly within the European context.</t>
  </si>
  <si>
    <t>Web Services for Remote Portlets (WSRP) is an XML and Web Services specification that enables plug-n-play of web portals, intermediary web applications that aggregate content and applications from different sources. The interfaces defined by the Web Services for Remote Portlets (WSRP) use the Web Services Description Language (WSDL).</t>
  </si>
  <si>
    <t>Legal instrument that can be reused across business areas establishing a single digital gateway to provide access to information, to procedures and to assistance and problem-solving services (Single Digital Gateway)</t>
  </si>
  <si>
    <t>DigitalPublicServiceCatalogueBusinessObject</t>
  </si>
  <si>
    <t>DigitalisationRoadmapWorkPackage</t>
  </si>
  <si>
    <t>DigitalPublicServiceProvisionBusinessFunction</t>
  </si>
  <si>
    <t>SIOC provides a Semantic Web ontology for representing rich data from the Social Web in RDF.</t>
  </si>
  <si>
    <t>Gaia-X Policy Rules and Labelling Document defines high-level objectives safeguarding the added value and principles of the Gaia-X ecosystem.</t>
  </si>
  <si>
    <t>DigitalGovernancePlanBusinessObject</t>
  </si>
  <si>
    <t>The RFC 6585 specification adds extra HTTP status codes to improve communication between servers and clients. These codes help handle specific situations like requiring certain conditions before processing a request, indicating too many requests have been sent, dealing with overly large request headers, and needing network authentication.</t>
  </si>
  <si>
    <t>Legal act on the reuse of Commission documents</t>
  </si>
  <si>
    <t>The Peppol CTC reference document defines the Peppol CTC model, which is a decentralised model that allows for a uniform regulatory exchange of indirect tax controls.</t>
  </si>
  <si>
    <t>PublicNetworkCommunicationNetwork</t>
  </si>
  <si>
    <t>The OAIS specification establishes a system for long-term information preservation that provides a conceptual framework for understanding, describing, and comparing archival systems and digital preservation strategies. In addition, it primarily focuses on ensuring the longevity and accessibility of digital materials.</t>
  </si>
  <si>
    <t>Recommendation ITU-T X.1252 defines of key terms used in identity management (IdM). The terms defined here are limited to those considered to constitute a baseline list of the most important and commonly-used IdM-specific terms. One of the main objectives of Recommendation ITU-T X.1252 is to promote a common understanding of these terms among the groups currently developing (or planning to develop) IdM-related standards.</t>
  </si>
  <si>
    <t>The X.509 specification addresses some of the security requirements in the areas of authentication and other security services through the provision of a set of frameworks upon which full services can be based.</t>
  </si>
  <si>
    <t>The ITU-T X.1750 specification analyses security challenges faced by big data as a service (BDaaS) and provides guidelines for big data service providers (BDSPs) to secure BDaaS. It identifies security roles and responsibilities of BDaaS components and specifies a security framework.</t>
  </si>
  <si>
    <t>SPIF is an XML schema that provides a high-level representation of a security labelling policy in a generic and open manner.</t>
  </si>
  <si>
    <t>ISO/IEC 19941:2017 aims to enable cloud service customers to move their data or applications between non-cloud services and one or more cloud services, or between cloud services, as well as to facilitate the integration of different cloud service components.</t>
  </si>
  <si>
    <t>CAMSS Assessment of ISO 19941 EIF Scenario v1.0.0</t>
  </si>
  <si>
    <t>85.12%AssessmentScoreAverage</t>
  </si>
  <si>
    <t>RegisteredElectronicDeliveryApplicationService</t>
  </si>
  <si>
    <t>HybridCloudFacilityFacility</t>
  </si>
  <si>
    <t>CloudPrivateNetworkCommunicationNetwork</t>
  </si>
  <si>
    <t>TS 103 532 focuses on Attribute-Based Encryption to control access to data, aiming to provide user identity protection whilst preventing disclosure of data to an unauthorized entity.</t>
  </si>
  <si>
    <t>The Deprecation HTTP response header field is used to signal to  consumers of a resource (in the sense of URI) that the resource will be or has been deprecated.  Additionally, the deprecation link relation can be used to link to a resource that provides additional information about planned or existing deprecation, and possibly ways in which client applications can best manage deprecation.</t>
  </si>
  <si>
    <t>Kerberos is a computer-network authentication protocol that works on the basis of tickets to allow nodes communicating over a non-secure network to prove their identity to one another in a secure manner. Its designers aimed it primarily at a client–server model, and it provides mutual authentication—both the user and the server verify each other's identity. Kerberos protocol messages are protected against eavesdropping and replay attacks.</t>
  </si>
  <si>
    <t>The eProcurement Ontology provides the formal and semantic basis for the creation and reuse of linked open data in the field of public procurement in the EU.</t>
  </si>
  <si>
    <t>ISO/IEC 19757-3:2016 specifies Schematron, a schema language for XML. This part of ISO/IEC 19757 establishes requirements for Schematron schemas and specifies when an XML document matches the patterns specified by a Schematron schema.</t>
  </si>
  <si>
    <t>DataQualityApplicationComponent</t>
  </si>
  <si>
    <t>DataQualityApplicationService</t>
  </si>
  <si>
    <t>MyData Service Linking enables to manage access to a centralised database by attaching the related service to the MyData Account.</t>
  </si>
  <si>
    <t>AccountingApplicationService</t>
  </si>
  <si>
    <t>ETSI EN 319 162-1 defines baseline containers that provide the basic features required for a wide range of business and government use cases for electronic communications and procedures in an interoperable context. The specification supports the following signature and time assertion formats: CAdES object incorporating CAdES signatures (ETSI EN 319 122-1 and ETSI EN 319 122-2); XAdES signatures (ETSI EN 319 132-1 and ETSI EN 319 132-2); IETF RFC 3161 time stamp tokens (updated by IETF RFC 5816); and IETF RFC 4998 or IETF RFC 6283 evidence records.</t>
  </si>
  <si>
    <t>This document defines the minimum actions to be performed by an evaluator in order to conduct an ISO/IEC 15408 series evaluation, using the criteria and evaluation evidence defined in the ISO/IEC 15408 series.</t>
  </si>
  <si>
    <t>ISO/IEC 19086-1:2016 provides a framework for establishing service level agreements (SLAs) within the context of cloud computing. It outlines the core concepts and terms related to SLAs, offering guidance on specifying and managing service level objectives.</t>
  </si>
  <si>
    <t>This Specification complements the existing International Standards on IT governance (ISO/IEC 38500) and data governance (ISO/IEC 38505-1). It is designed to provide practical guidance for organizations including governing bodies and management to allow them to maintain an oversight of their data portfolio.</t>
  </si>
  <si>
    <t>Non-binding legal instrument that can be reused across business areas on the protection of natural persons with regard to the processing of personal data by the Union institutions, bodies, offices and agencies and on the free movement of such data.</t>
  </si>
  <si>
    <t>ISO/IEC 20802-1:2016 defines the core semantics and facilities of the Open Data Protocol (OData). This enables the creation of REST-based data services, which allow resources, identified using Uniform Resource Locators (URLs) and defined in an Entity Data Model (EDM), to be published and edited by Web clients using simple HTTP messages.</t>
  </si>
  <si>
    <t>The RDFa+HTML specification defines rules and guidelines for adapting the RDFa Core 1.1 and RDFa Lite 1.1 specifications for use in HTML5 and XHTML5. In this sense, RDFa Core 1.1 is an specification for attributes to express structured data in any markup language.</t>
  </si>
  <si>
    <t>AMQP is an business messaging protocol that defines a wire-level binary protocol enabling the reliable exchange of business messages between two parties.</t>
  </si>
  <si>
    <t>CAMSS Assessment of AMQP EIF Scenario v1.0.0</t>
  </si>
  <si>
    <t>86.67%StrengthOfAssessmentScoreAverage</t>
  </si>
  <si>
    <t>EN 16931-1 describes a syntax and a data model for eInvoicing in public procurement. The specification requires two codelists: the EAS code list and the VATEX code list.</t>
  </si>
  <si>
    <t>The META-SHARE Ontology (MS-OWL) specification is a framework designed to provide a comprehensive metadata schema for describing and managing language resources.</t>
  </si>
  <si>
    <t>The Collaboration Protocol Profile and Agreement (CPPA or ebXML CPPA) is a high-level, human-readable specification that describes all visible, and therefore executable, interactions between parties and how these interactions are carried out, from the execution of internal processes to the interconnection of these parties' business collaborations.</t>
  </si>
  <si>
    <t>HSTS is a policy mechanism that helps secure websites against attacks and allows the web server to limit its interaction with users only if they be connecting with HTTPS, which provide transport layer security (TLS/SSL). The initial request is unprotected against active attacks, either becuase it uses an insecure protocol (HTTP) or the initial request URI was obtained through an insecure channel. This protection measure is only applied after the user has visited the site at least once.</t>
  </si>
  <si>
    <t>Catalogues of Vocabularies, Ontologies and Reference Data promote the reuse of open mature and largely adopted ontologies.</t>
  </si>
  <si>
    <t>CAMSS Assessment of Schema.org EIF Scenario v1.0.0</t>
  </si>
  <si>
    <t>The IDS App Store specification is addressed to the distribution of data apps. These data apps can be used to process or transform data before or after the actual data exchange. In addition, The App Store allows to store metadata from data apps, and manage them.</t>
  </si>
  <si>
    <t>Registered Electronic Mail (REM) is a special case of an Electronic Registered Delivery Service (ERDS). The specification updates the interoperability profiles of REM messages, specifically the e-SENS REM profile.</t>
  </si>
  <si>
    <t>The identity of any entity and actor (company, user, or technical client/connector) is the summary of the describing attributes (e.g., Company Name, Address, Tax Number, etc.). Considering the source of information depicted by an attribute, this source can be the actor itself, who claims to have a specific property, or a third party, which confirms a specific property of an actor. Being able as an actor to provide verifiable documentation about having a specific property strengthens the trust in that actor. In some cases of interaction there is the need to have certain attributes of an actor verified to accept the interaction.</t>
  </si>
  <si>
    <t>The Data Quality Vocabulary (DQV) is based on the Data on the Web Best Practices (DWBP) specification. The specification is an extension of the DCAT vocabulary that covers data quality and provides additional information such as how often the data is updated or whether the data accepts user corrections or not. The DQV is aligned with the daQ ontology to represent information (especially metrics) about the quality of linked open datasets.</t>
  </si>
  <si>
    <t>CAMSS Assessment of DQV EIF Scenario 1.0.0</t>
  </si>
  <si>
    <t>88.89%StrengthOfAssessmentScoreAverage</t>
  </si>
  <si>
    <t>LCC includes ISO and UN code sets corresponding to ISO 639 and ISO 3166.</t>
  </si>
  <si>
    <t>Legal act on universal service and users’ rights relating to electronic communications networks and services.</t>
  </si>
  <si>
    <t>The Hydra Core Vocabulary specification is a lightweight framework designed to create hypermedia-driven Web APIs. It defines a set of concepts commonly used in Web APIs, such as hypermedia controls and collections, enabling the creation of generic API clients. By providing machine-readable affordances, Hydra allows APIs to be more dynamic and self-descriptive, facilitating better interaction between clients and servers.</t>
  </si>
  <si>
    <t>The Extensible Markup Lanugage (XML) is an application profile of SGML (Standard Generalized Markup Language, or ISO 8879) that describes a class of data objects called XML documents. XML documents are made up of storage units called entities, which contain either parsed or unparsed data. Parsed data is made up of characters, some of which form character data, and some of which form markup. Markup encodes a description of the document's storage layout and logical structure. XML has been designed for ease of implementation and to be served, received, and processed on the Web as it is possible with HTML.</t>
  </si>
  <si>
    <t>RDF Schema is a semantic extension of RDF. It provides mechanisms for describing groups of related resources and the relationships between these resources.</t>
  </si>
  <si>
    <t>This decision defines requirements for public authorities in order to foster interoperability through the development interoperability solutions. Communication from the European Parliament establishing the principles for the creation of a common data space.</t>
  </si>
  <si>
    <t>DigitalAgendaGoal</t>
  </si>
  <si>
    <t>ISO/IEC/IEEE 12207:2017’s comprehensive approach to systems and software engineering ensures that these critical infrastructure components are effectively integrated, maintained, and optimized throughout the software lifecycle.</t>
  </si>
  <si>
    <t>Legal act on the accessibility of the websites and mobile applications of public sector bodies</t>
  </si>
  <si>
    <t>The DSSC Blueprint is a strategic document that provides a roadmap for establishing and operating the support structures necessary for the successful deployment and utilisation of common European data spaces. It aims to ensure that these data spaces are well-governed, technically sound, legally compliant, and ultimately deliver value to their participants and the wider European economy and society.</t>
  </si>
  <si>
    <t>AgreementOnDataSharingContract</t>
  </si>
  <si>
    <t>OrganisationalAgreementContract</t>
  </si>
  <si>
    <t>OrganisationalInteroperabilityAgreementContract</t>
  </si>
  <si>
    <t>AgreementOnProvisionOfDigitalPublicServicesContract</t>
  </si>
  <si>
    <t>AgreementOfTheUseOnCommonInfrastructureContract</t>
  </si>
  <si>
    <t>The Recommendation ITU-T X.1275 specifiction provides guidance to radio frequency identification (RFID) users and vendors (including RFID service providers and manufacturers) in protecting personally identifiable information for the privacy of individuals in the context of RFID technology.</t>
  </si>
  <si>
    <t>The ETSI TS 103 779 specification is designed to provide guidelines on how IoT devices should exchange data to achieve a common understanding. In this context, the specification supports communication between devices—such as sensors in a smart home—by enabling data exchange in a standardised format that can be understood across different IoT systems.</t>
  </si>
  <si>
    <t>The MFI specification provides the standards for registries that enable the discovery and sharing of meta-information, such as metadata or models, which are key enablers for the sharing of information across different communities through the interoperability of systems.</t>
  </si>
  <si>
    <t>The PREMIS Data Dictionary and its supporting documentation is a comprehensive and practical resource for the implementation of preservation metadata in digital archiving systems. The Data Dictionary is based on a data model that defines four entities (Objects, Events, Rights and Agents) important in relation to digital preservation activities.</t>
  </si>
  <si>
    <t>Legal basis to use European standards for products and services, identify ICT technical specifications, and finance the European standardisation process.</t>
  </si>
  <si>
    <t>TS 103 458 CYBER specifies high level requirements for the application of Attribute Based Encryption (ABE) to protect PII and personal data on IoT devices/services, cloud services, Wireless Local Area Networks and mobile services, where access to data has to be given to multiple parties and under different conditions. With a main focus on the confidentiality of data, including personal data and Personally Identifiable Information, the present document may help in supporting the General Data Protection Regulation [i.19].</t>
  </si>
  <si>
    <t>PrivacyFrameworkBusinessObject</t>
  </si>
  <si>
    <t>APIGatewayTechnologyService</t>
  </si>
  <si>
    <t>HTTP version 3 (HTTP/3) is the extension of HTTP version 2 over the QUIC transport protocol. HTTP/3 is an application layer protocol of the Internet Protocol Suite model for distributed, collaborative and hypermedia information systems, which also includes QUIC features, such as stream multiplexing, per-stream flow control, and low-latency connection establishment.</t>
  </si>
  <si>
    <t>The Open Policy Agent (OPA) is an open source, general-purpose policy engine that unifies policy enforcement across the stack. OPA provides a high-level declarative language that lets you specify policy as code and simple APIs to offload policy decision-making from your software.</t>
  </si>
  <si>
    <t>DigitalBusinessCapabilityCapability</t>
  </si>
  <si>
    <t>IAM - 004 allows to establish a unified verifiable attribute description for the Business Partner Number (BPN) and the Catena-X membership of a member company based on verifiable credentials.</t>
  </si>
  <si>
    <t>Recommendation ITU-T X.1250 describes baseline capabilities for global identity management (IdM) interoperability (i.e., to enhance exchange and trust in the identifiers used by entities in telecommunication/information technology IT networks and services). The definitions and need for IdM are highly context-dependent and often subject to very different policies and practices in different countries. The capabilities include the protection and control of personally identifiable information (PII).</t>
  </si>
  <si>
    <t>The Internet X.509 Public Key Infrastructure (PKI) Data Validation and Certification Server Protocols are a set of standards and protocols that define how digital certificates are validated and managed within the context of the X.509 PKI framework.</t>
  </si>
  <si>
    <t>RequestValidationApplicationService</t>
  </si>
  <si>
    <t>DMARC is an email authentication, policy and reporting protocol that builds on the widely deployed SPF and DKIM protocols.</t>
  </si>
  <si>
    <t>Legal act on certain legal aspects of information society services, in particular electronic commerce, in the Internal Market</t>
  </si>
  <si>
    <t>Decentralized identifiers (DIDs) are a new type of identifier that enables verifiable, decentralized digital identity.</t>
  </si>
  <si>
    <t>CAMSS Assessment of DIDs EIF Scenario v1.0.0</t>
  </si>
  <si>
    <t>93.33%StrengthOfAssessmentScoreAverage</t>
  </si>
  <si>
    <t>Legal act on electronic identification and trust services for electronic transactions in the internal market</t>
  </si>
  <si>
    <t>DNS Queries over HTTPS (DoH) defines a protocol for DNS queries to be sent and DNS responses to be obtained over HTTPS.</t>
  </si>
  <si>
    <t>CAMSS Assessment of DoH EIF Scenario v1.0.0</t>
  </si>
  <si>
    <t>84.44%StrengthOfAssessmentScoreAverage</t>
  </si>
  <si>
    <t>Legal act establishing an Infrastructure for Spatial Information in the European Community (INSPIRE)</t>
  </si>
  <si>
    <t>Microdata is a set of specifications which can be used to insert metadata within existing content on a webpage. In other words, Microdata can be used to annotate HTML elements with machine-readable tags.</t>
  </si>
  <si>
    <t>The SIOC specification is an attempt to link online community sites, to use Semantic Web technologies to describe the information that communities have about their structure and contents, and to find related information and new connections between content items and other community objects.</t>
  </si>
  <si>
    <t>Internet of things (IoT) devices can collect many kinds of data, including personally identifiable information (PII). Because PII data are useful for different types of services, they may be shared among multiple service providers.
It is better for users to manage their own data, including PII, in IoT environment based on their own intentions. As data usage in IoT environment with multiple service providers is complicated, user intentions for data usage should be accommodated flexibly. For example, if an IoT service provider provides the following functions, user can appreciate that the service provider collects and controls data collected (including PII) properly:
−          Users can configure their own PII preferences. These preferences include a list of permitted data for sharing among other service providers.
−          Collection and share of data are subject to controlled access based on PII preferences. Unauthorized data cannot be stored in data storage, and cannot be shared among other service providers.
−          Users can check history log of data sharing among service providers. Users can also check times of data usage.
This Recommendation specifies a technical framework for PII handling in IoT environment with single or multiple service providers.</t>
  </si>
  <si>
    <t>StartTLS defines a function within a particular protocol session (commonly referred to as a protocol command) that is used to notify the email server that the email client wants to switch from an insecure connection to a secure connection using TLS or SSL.</t>
  </si>
  <si>
    <t>The IAM - 003 specification is addressed to establish a decentralised and dynamic IAM for the interaction between a providing and a consuming company based on ABAC. Moreover, the specification provides mechanisms to authorise and authenticate users trough Java-based server.</t>
  </si>
  <si>
    <t>WebFinger uses standard Hypertext Transfer Protocol (HTTP) methods over a secure transport to discover information for a URI that might not be usable as a locator otherwise, such as account or email URIs</t>
  </si>
  <si>
    <t>ServiceDiscoveryAndRegistryApplicationService</t>
  </si>
  <si>
    <t>APDEX is an open standard developed by an alliance of companies for measuring performance of software applications in computing. Its purpose is to convert measurements into insights about user satisfaction, by specifying a uniform way to analyse and report on the degree to which measured performance meets user expectations.</t>
  </si>
  <si>
    <t>CMAC specifies a message authentication code (MAC) algorithm based on a symmetric key block cipher. The specification is designed to detect intentional, unauthorized modifications of the data, as well as accidental modifications, and has diverse adaptations or customisations depending the system deficiencies that the user may find (e.g., OMAC, CBC-MAC, and One-key MAC; the last one being the most popular).</t>
  </si>
  <si>
    <t>Collection+JSON combines the data format and the associated semantics into a single media type, simplifying the implementation and usage of APIs. It supports Query Templates, allowing clients to perform parameterised queries on collections, enabling dynamic querying based on client-specified parameters. Additionally, Collection+JSON includes a Write Template, which provides expanded write support, allowing clients to create, update, and delete items within a collection.</t>
  </si>
  <si>
    <t>TS 103 523-2 CYBER lists requirements existing for network operators, service providers, users, enterprises, and small businesses, to be able to grant varied (fine grained) permissions and to enable visibility of middleboxes, where the middleboxes in turn gain observability of the content and metadata of encrypted sessions. Various cyber defence techniques motivate these requirements. At present, the solutions used often break security mechanisms and/or ignore the desire for explicit authorization by the endpoints. Man-In-The-Middle (MITM) proxies frequently used by enterprises prevent the use of certificate pinning and EV (Extended Validation) certificates. Where no such mechanisms exist, some encryption protocols can even be blocked altogether at the enterprise gateway, forcing users to revert to insecure protocols.</t>
  </si>
  <si>
    <t>The Advanced Encryption Standard (AES) specifies a FIPS-approved cryptographic algorithm that can be used to protect electronic data.</t>
  </si>
  <si>
    <t>CAMSS Assessment of AES EIF Scenario v1.0.0</t>
  </si>
  <si>
    <t>IaaSTechnologyService</t>
  </si>
  <si>
    <t>ISO/IEC/IEEE 15288:2023 establishes a common framework of process descriptions for describing the life cycle of systems created by humans, defining a set of processes and associated terminology from an engineering viewpoint.</t>
  </si>
  <si>
    <t>BRAIF defines a common terminology and regulated procedures on national and cross-border levels between Member States that should be the basis for a common language for Base Registry Interoperability (BRI).</t>
  </si>
  <si>
    <t>The Account API provides standardized mechanism for the management of billing and settlement accounts, as well as for financial accounting (account receivable) either in B2B or B2B2C contexts.</t>
  </si>
  <si>
    <t>The BPM-001 Business Partner Number Specification is a document designed to standardise the assignment and use of business partner numbers within a particular system or business process. Business partner numbers are unique identifiers assigned to different entities with which an organisation has business relationships, such as customers, vendors, or partners.</t>
  </si>
  <si>
    <t>This specification proposes requirements and provides guidance for establishing, implementing, maintaining and continually improving a Privacy Information Management System (PIMS) in the form of an extension to ISO/IEC 27001 and ISO/IEC 27002 for privacy management within the context of the organization.</t>
  </si>
  <si>
    <t>GeoJSON is a geospatial data interchange format based on JavaScript Object Notation (JSON). It defines several types of JSON objects and the manner in which they are combined to represent data about geographic features, their properties, and their spatial extents.</t>
  </si>
  <si>
    <t xml:space="preserve">The EN 16931-1:2017+A1:2019/AC:2020 standard is designed to address the obstacles created by the fragmentation of e-Invoicing solutions on the market. By establishing a clear and well documented structure for the essential elements of any invoice, it allows everyone to have the same reference for the exchange of invoices. </t>
  </si>
  <si>
    <t>Legal act on certain aspects concerning contracts for the supply of digital content and digital services</t>
  </si>
  <si>
    <t>Recommendation ITU-T Q.4040 describes the framework and provides an overview of cloud computing interoperability testing. According to the identified target areas of testing, this framework Recommendation includes an overview of cloud computing interoperability testing</t>
  </si>
  <si>
    <t>OID4VP defines a protocol for presenting verifiable credentials using OAuth 2.0 and OpenID Connect. It introduces the concept of a VP Token, which contains one or more verifiable presentations, enabling secure and interoperable presentation of credentials across different systems.</t>
  </si>
  <si>
    <t>DistributedBlockchainNetworkTechnologyService</t>
  </si>
  <si>
    <t>ISO/TS 10020:2022 provides guidance on the processes that organisations can use to govern, manage, and implement organisational change management (OCM). This applies to various contexts, including the organisation as a whole, specific projects, or smaller activities.</t>
  </si>
  <si>
    <t>The Microformats specification is a set of simple, open data formats built upon existing and widely adopted standards.The specification offers a simpler way to markup structured information in HTML.</t>
  </si>
  <si>
    <t>The Methodology for Data Validation defines a generic reference framework for data validation and provides metrics for data validation in the context of the European Statistical System (ESS) validation policy.</t>
  </si>
  <si>
    <t>OSLO is a framework aimed at developing open, semantic standards for data exchange, primarily in government and public sectors.</t>
  </si>
  <si>
    <t>HMAC is a specific type of message authentication code (MAC) that uses a cryptographic hash function and a secret cryptographic key. The specification guarantees the authenticity and integrity of the data.</t>
  </si>
  <si>
    <t>DomainKeys Identified Mail (DKIM) defines a message-level signing and verification mechanism for email, based on a set of requirements enabling the publication of Sender Signing Practices (SSP).</t>
  </si>
  <si>
    <t>FederatedIdentityProviderTechnologyService</t>
  </si>
  <si>
    <t>The ETSI TS 119 312 specification provides guidance on cryptographic suites for the creation and validation of digital signatures and electronic timestamps, as well as related certificates. Its main objective is to ensure interoperability and a high level of security in trust services. To achieve this, it is based on the cryptographic mechanisms agreed upon by SOG-IS agreement.</t>
  </si>
  <si>
    <t>The International Data Space Information Model is intended for the description, publication and discovery of data products and data processing software within the International Data Spaces Association, facilitating compatibility and interoperability among systems. It should be considered a prescriptive part of the IDS Reference Architecture Model (IDS-RAM).</t>
  </si>
  <si>
    <t>The Common Procurement Vocabulary (CPV) establishes a single classification system for public contracts to standardise the references used by contracting authorities and contracting entities to describe public contracts.</t>
  </si>
  <si>
    <t>System for Cross-domain Identity Management (SCIM) is a standard for automating the exchange of user identity information between identity domains, or IT systems.</t>
  </si>
  <si>
    <t>The CloudEvents specification is designed to foster interoperability between organisations when exchanging event data. The specification, allows to descibe data in a common format, offering a better portability and providing interoperability.</t>
  </si>
  <si>
    <t>The better regulation toobox consists in guidance, tips and best practice on how to manage all the aspects of a public policies. It covers the whole policy cycle – planning, adoption, design, implementation, application (including enforcement), evaluation and revision.</t>
  </si>
  <si>
    <t>CAMSS Assessment of Better Regulation Toolbox EIF Scenario v1.0.0; CAMSS Assessment of Better Regulation Toolbox EIF Scenario v2.0.0</t>
  </si>
  <si>
    <t>82%StrengthOfAssessmentScoreAverage; 100%StrengthOfAssessmentScoreAverage</t>
  </si>
  <si>
    <t>GranularityOfLegalRequirementsAssessment</t>
  </si>
  <si>
    <t>PublicPolicyContextConstraint</t>
  </si>
  <si>
    <t>Digital-readyPolicymakingBusinessProcess</t>
  </si>
  <si>
    <t>ISO/IEC/IEEE 15289:2019 ensures a comprehensive and high-quality documentation throughout the life cycle of systems and software.</t>
  </si>
  <si>
    <t>The D&amp;S - 001 EDC Discovery API specification defines the standards and protocols for discovering and managing Electronic Data Capture (EDC) instances in a system. It enables efficient registration, search, and retrieval of metadata about EDC instances, allowing users to query instances by unique identifiers and potentially extend the query capabilities in the future.</t>
  </si>
  <si>
    <t>APIDiscoveryAndCatalogueApplicationService</t>
  </si>
  <si>
    <t>ebXML RegRep can ease the provision of means for the identification, description and parametrization (e.g. Metadata, semantics &amp; ontologies, interoperability about access, authentication, authorisation, transport security configuration, etc.) of Services.</t>
  </si>
  <si>
    <t>CAMSS Assessment of ebXML ebXML RegRep EIF Scenario v2.0.0; CAMSS Assessment of ebXML RegRep EIF Scenario v1.0.0</t>
  </si>
  <si>
    <t>100%StrengthOfAssessmentScoreAverage; 87%AssessmentScoreAverage</t>
  </si>
  <si>
    <t>The W3C U2F (Universal 2nd Factor) specification defines an open standard for two-factor authentication, using cryptographic key pairs for secure online authentication over USB, NFC, or Bluetooth, enhancing security for web and mobile applications.</t>
  </si>
  <si>
    <t>MDO provides a standardized extensible semantics for representing information about a person’s profile.</t>
  </si>
  <si>
    <t>Document describing a set of Good Practices for the successful interconenction of Base Registries.</t>
  </si>
  <si>
    <t>FreeRADIUS is the open source implementation of RADIUS, an IETF protocol for AAA (Authorisation, Authentication, and Accounting).</t>
  </si>
  <si>
    <t>Network security protocol for encrypting and wrapping Domain Name System (DNS) queries and responses via the Transport Layer Security (TLS) protocol.</t>
  </si>
  <si>
    <t>The regulation purpose is the protection of natural persons with regard to the processing of personal data and on the free movement of such data, and repealing Directive 95/46/EC (General Data Protection Regulation). GDPR establishes the basis for personal data protection including provisions aiming to ensure that organisations handling this data put the right measures, organisational and technical.</t>
  </si>
  <si>
    <t>DataHolderBusinessRole</t>
  </si>
  <si>
    <t>DataOwnerBusinessRole</t>
  </si>
  <si>
    <t>LegislationOnDataInformationAndKnowledgeExchangeBusinessObject</t>
  </si>
  <si>
    <t>Domain Name System Security Extensions, or DNS Security Extenstions (DNSSEC), is a set of protocols (RFC4033, RFC4034 and RFC4035) that provides source authentication of DNS data. The DNSSEC community has extended the DNSSEC core and cryptographic algorithms, both in the description of good operational practices and in new protocols.</t>
  </si>
  <si>
    <t>The comma separated values format (CSV) has been used for exchanging and converting data between various spreadsheet programs for quite some time.</t>
  </si>
  <si>
    <t>CAMSS Assessment of CSV EIF Scenario v2.0.0; CAMSS Assessment of CSV EIF Scenario v1.0.0</t>
  </si>
  <si>
    <t>78%StrengthOfAssessmentScoreAverage; 80%AssessmentScoreAverage</t>
  </si>
  <si>
    <t>CDM is the Common Metadata Model of the resources published by the Publications Office of the European Union</t>
  </si>
  <si>
    <t>EBSI-VC SF defines how to manage and verify the status of Verifiable Credentials (VCs) within the EBSI ecosystem. This framework ensures that credentials are up-to-date and have not been revoked.</t>
  </si>
  <si>
    <t>The GXFSv2 specification is designed to protect digital services by applying identification and authentication mechanisms to ensure that the users who wish to access these services are legitimate. In this sense, the specification enables the use of digital identities issued by other institutions to access resources without the need to create a new account for every site, while ensuring that access is granted in a secure and protected manner.</t>
  </si>
  <si>
    <t>Universal Business Language (UBL) is an open library of standard electronic XML business documents for procurement and transportation. UBL 2.4 includes two new types of documents to the schema with regards to the minor release UBL 2.3.</t>
  </si>
  <si>
    <t>The Data Exchange Services specifications outline a comprehensive framework designed to facilitate secure, transparent, and interoperable data exchange within the GAIA-X ecosystem.</t>
  </si>
  <si>
    <t>Linked Data Event Streams (LDES) is a technical standard that applies linked data principles to data streams. It allows data to be exchanged between silos sustainably and cost effectively using domain-specific ontologies for fast and slow data streams.</t>
  </si>
  <si>
    <t>KnowledgeDiscoveryApplicationComponent</t>
  </si>
  <si>
    <t>User-Managed Access (UMA) is an OAuth-based protocol that enables individuals to manage access to their digital resources and data. It allows a resource owner to control the sharing of their resources with others, granting and revoking access permissions dynamically and securely.</t>
  </si>
  <si>
    <t>The specifications consists on a set of key aspects for the development of public policies and their life cycles performance based developed in the context of the Digital Single Market.</t>
  </si>
  <si>
    <t>PublicPolicyObjectiveGoal</t>
  </si>
  <si>
    <t>PublicPolicyConstraintConstraint</t>
  </si>
  <si>
    <t>Legal act with regard to regulatory technical standards for strong customer authentication and common and secure open standards of communication</t>
  </si>
  <si>
    <t>The PKCE specification is an extension to the Authorisation Code Flow designed to enhance security for public clients, such as native and single-page applications, which cannot securely store a client secret. PKCE mitigates the risk of authorisation code interception attacks by introducing a dynamically generated secret that is verified by the authorisation server.</t>
  </si>
  <si>
    <t>Blazegraph is a high-performance graph database storage and query engine that supports Blueprints and RDF/SPARQL APIs. The specification is widely used to support cyber analytics in commercial and government applications.</t>
  </si>
  <si>
    <t>Recommendation ITU-T Q.5026 specifies signalling requirements and protocol for providing network-oriented data integrity verification service (DIVS) based on blockchain in IMT-2020 networks. It includes signalling requirements, protocol procedures and message format between DIVS function with the UEs, the service users, the capability exposure function and other DIVS functions</t>
  </si>
  <si>
    <t>Clause BSD License is one of the most common open source licenses. Once they are used, they are considered agreements.</t>
  </si>
  <si>
    <t>Internet Protocol version 6 is the most recent version of the Internet Protocol, the communications protocol that provides an identification and location system for computers on networks and routes traffic across the Internet.</t>
  </si>
  <si>
    <t>CAMSS Assessment of IPv6 EIF Scenario v2.0.0; CAMSS Assessment of IPv6 EIF Scenario v1.0.0</t>
  </si>
  <si>
    <t>100%StrengthOfAssessmentScoreAverage; 100%AssessmentScoreAverage</t>
  </si>
  <si>
    <t>The RFC 9562 specification defines a Uniform Resource Name namespace for UUIDs (Universally Unique IDentifier), also known as GUIDs (Globally Unique IDentifier). These identifiers allow to categorise and organise information by non repeteable ID's.</t>
  </si>
  <si>
    <t>The Data Privacy Vocabulary (DPV) Specification, which provides a vocabulary and ontology for expressing information related to processing of personal data, entities involved and their roles, details of technologies utilised, relation to laws and legal justifications permitting its use, and other relevant concepts based on privacy and data protection. While it uses the EU’s General Data Protection Regulation (GDPR) as a guiding source for the creation and interpretation of concepts, the ambition and scope of DPV is to provide a broad globally useful vocabulary that can be extended to jurisdiction or domain specific applications. People, organisations, laws, and use-cases have different perspectives and interpretations of concepts and requirements which cannot be modelled into a single coherent universal vocabulary. The aim of DPV is to act as a core framework of ‘common concepts’ that can be extended to represent specific laws, domains, or applications. This lets any two entities agree that a term, for example, PersonalData, refers to the same semantic concept, even though they might interpret or model it differently within their own use-cases.</t>
  </si>
  <si>
    <t>Commission Decission stablishing a a list of standards and/or specifications for electronic communications networks, services and associated facilities and services</t>
  </si>
  <si>
    <t>The GS1 EANCOM standard is a subset of the UN/EDIFACT D.01B directory, syntax version 3 (UN/EDIFACT syntax version 3) that includes an integrated digital message system for supply chain applications and solutions. The standard does not provide any set of security components for these messages.</t>
  </si>
  <si>
    <t>ContainerSystemSoftware</t>
  </si>
  <si>
    <t>DistributedFileSystemTechnologyService</t>
  </si>
  <si>
    <t>MSON is a plain-text, human and machine readable, description format for describing data structures in common markup formats such as JSON, XML or YAML.</t>
  </si>
  <si>
    <t>This application profile document specifies the interfaces, bindings, and encodings required to publish and access digital catalogues of metadata for geospatial data, services, and applications that comply with the given profile.</t>
  </si>
  <si>
    <t>The ETSI TS 104 050 specification aims to define and characterise Artificial Intelligence. Additionally, it provides an ontology model of an Artificial Intelligence Threat, detailing properties and relationships to identify the role of each component within a threat and how they interact.</t>
  </si>
  <si>
    <t>ETSI TS 119 432 specifies protocols and interfaces for system, service, component-specific functionalities as part of the process of creating remote digital signatures and constructing AdES forms as a distributed solution. The specification is limited to remote server signing in a remote shared service. ETSI TS 119 172-2 describes technical constraints for the construction of XML documents including components of a signature generation policy, a signature validation policy, or a signature augmentation policy.</t>
  </si>
  <si>
    <t>CAMSS Assessment of ETSI TS 119 432 EIF Scenario v1.0.0</t>
  </si>
  <si>
    <t>91.63%AssessmentScoreAverage</t>
  </si>
  <si>
    <t>The Privacy Management Reference Model and Methodology (PMRM) provides a model for managing personal information from a cross-cutting perspective (i.e. legal, regulatory and policy environments). The specification provides a framework that helps organisations to implement privacy policies, assess privacy management risks and embed privacy in the organisation's information systems.</t>
  </si>
  <si>
    <t>Legal act on services in the internal market</t>
  </si>
  <si>
    <t>ISO/IEC 22989 provides standardized concepts and terminology to help AI technology to be used by a broader set of stakeholders, be used in the development of other standards and fosters AI capabilities.</t>
  </si>
  <si>
    <t>The purpose of ETSI EN 319 122-1 is to ensure that electronic signatures can be created and validated anywhere in Europe according to the eIDAS Regulation, through Implementing Decision 2015/1506/EU, by defining the baseline profile of CAdES. The specification addresses incremental requirements to maintain the validity of the signatures over the long term.</t>
  </si>
  <si>
    <t>The purpose of ETSI EN 319 132-1 is to ensure that electronic signatures can be created and validated anywhere in Europe according to the eIDAS Regulation, through Implementing Decision 2015/1506/EU, by defining the baseline profile of XAdES. The specification addresses incremental requirements to maintain the validity of the signatures over the long term.</t>
  </si>
  <si>
    <t>This Recommendation provides an overview of de-identification process based on data lifecycle model, specifies a de-identification process framework with operational steps and roles of stakeholders in the de-identification process. It further discusses data release models and data stages in a de-identification process and includes various de-identification approaches and examples in its annexes and appendices.</t>
  </si>
  <si>
    <t>Assessment of the XAdES Baseline Profile EIF Scenario v1.0.0</t>
  </si>
  <si>
    <t>91.11%StrengthOfAssessmentScoreAverage</t>
  </si>
  <si>
    <t>CAMSS Assessment of XML EIF Scenario v2.0.0; CAMSS Assessment of XML EIF Scenario v1.0.0; CAMSS Assessment of XML EIF Scenario v3.0.0</t>
  </si>
  <si>
    <t>78%StrengthOfAssessmentScoreAverage; 78%StrengthOfAssessmentScoreAverage; 92.38%AssessmentScoreAverage</t>
  </si>
  <si>
    <t>The XQuery specification is designed to search for information and manage data from various XML sources. By using queries, it allows users to search for different attributes across multiple resources and store the results, thereby facilitating the organisation and management of data.</t>
  </si>
  <si>
    <t>The Extended Log File Format specification is a standardised method for web servers to record detailed information about HTTP transactions. Unlike the Common Log Format, which captures a fixed set of data, the Extended Log Format allows web administrators to customise the fields they wish to log, providing flexibility to capture a broader range of information.</t>
  </si>
  <si>
    <t>The Core Public Organisation Vocabulary aspires to become a common data model for describing public organisations in the European Union</t>
  </si>
  <si>
    <t>CAMSS Asssessment of CPOV EIF Scenario v2.0.0; CAMSS Assessment of CPOV EIF Scenario v1.0.0</t>
  </si>
  <si>
    <t>86.67%StrengthOfAssessmentScoreAverage; 74%AssessmentScoreAverage</t>
  </si>
  <si>
    <t>ISO/IEC TR 14369 provides guidance to those involved in developing IT service specifications and their interfaces intended for use in particular by external applications that do not necessarily share the environment and assumptions of a particular programming language.</t>
  </si>
  <si>
    <t>The OpenDEI Position Paper outlines the importance of data spaces and sovereign sharing to create the future data economy.</t>
  </si>
  <si>
    <t>FIREWARE Catalogue is based on fireware.org's Context Broker, a comprehensive set of generic open source FIWARE enablers. The FIREWARE Catalogue serves a repository of specifications initially based on the NGSI v2 (https://fiware.github.io/specifications/ngsiv2/stable/) specification and currently built on the NGSI-LD specification.</t>
  </si>
  <si>
    <t>The specification is an example of technical agreements for cooperation in the development of ICT standards.</t>
  </si>
  <si>
    <t>The CEF eDelivery PKI Service is a collection of roles, policies, procedures and systems required to create, manage, distribute, store and revoke digital certificates.</t>
  </si>
  <si>
    <t>The ETSI TS 103 964 specification is designed to enable user authentication in a privacy-preserving manner. In this context, it allows users to access services through the use of Attribute-Based Encryption (ABE). ABE facilitates the demonstration of compliance with specific requirements, such as age or residency, without revealing the actual personal attributes. It extracts relevant information from a Verifiable Credential and anonymises the data, thereby safeguarding the user's sensitive details.</t>
  </si>
  <si>
    <t>The purpose of ETSI EN 319 122-2 is to ensure that electronic signatures can be created and validated anywhere in Europe according to the eIDAS Regulation, through Implementing Decision 2015/1506/EU, by defining the baseline profile of CAdES. Extended CAdES signatures offer additional procedures for creation, augmentation, and validation of CAdES digital signatures than the basic CAdES signatures specified in ETSI EN 319 122-1.</t>
  </si>
  <si>
    <t>SaasTechnologyService</t>
  </si>
  <si>
    <t>PaaSTechnologyService</t>
  </si>
  <si>
    <t>ETSI TS 119 512 specifies protocols for Trust Service Providers to provide long-term preservation of digital signatures and transactional data (unsigned or signed data), using digital signature technology.</t>
  </si>
  <si>
    <t>SensorThings API – Sensing specifies a SensorThings application programming interface (API) which provides an open, standards-based, geospatially-enabled framework for interconnecting devices, data and applications via the web devices, data and applications over the web.</t>
  </si>
  <si>
    <t>Guidelines on how to elaborate an organisational interoperability agreement. These guidelines define what information an interoperability agreement should contain.</t>
  </si>
  <si>
    <t>The Dataspace Protocol is a set of specifications designed to facilitate interoperable data sharing between entities governed by usage control and based on Web technologies. These specifications define the schemas and protocols required for entities to publish data, negotiate usage agreements, and access data as part of a federation of technical systems termed a dataspace.</t>
  </si>
  <si>
    <t>CAMSS Assessment of IDSA Dataspace Protocol EIF Scenario v1.0.0</t>
  </si>
  <si>
    <t>90.95%AssessmentScoreAverage</t>
  </si>
  <si>
    <t>ASiC specifies the use of container structures to bind together one or more signed objects with either advanced electronic signatures or time-stamp tokens into one single digital container.</t>
  </si>
  <si>
    <t>CAMSS Assessment of ASiC EIF Scenario v1.0.0</t>
  </si>
  <si>
    <t>86%StrengthOfAssessmentScoreAverage</t>
  </si>
  <si>
    <t>DCAT-AP is a DCAT profile for sharing information about Catalogues containing Datasets and Data Services descriptions in Europe. the scope of the specification was the exchange between Open Data Portals in Europa. Although this is still at the core of the specification, DCAT-AP is not limited to public accessible Open Data, but can be applied to any kind of datasets. This current version of DCAT-AP 3.0.0 is fully aligned and compatible with the proposed recommendation of DCAT 3.</t>
  </si>
  <si>
    <t>The Coordinated Metadata Catalogue Model describes the most important Metadata elements, a technical description of the Metadata elements and contains all necessary information for the Metadata definition necessary to fulfil the duties of the national NAPs.</t>
  </si>
  <si>
    <t>The EU-SEC sets cybersecurity certification schemes at EU level, providing criteria to carry out assessments on products, services and processes adhering to specific requirements. Users and service providers alike need to be able to determine the level of security assurance of the products, services and processes they procure, make available or use.</t>
  </si>
  <si>
    <t>The Open Digital Rights Language (ODRL) is a policy expression language that provides a flexible and interoperable information model, vocabulary, and encoding mechanisms for representing statements about the usage of content and services. The ODRL Vocabulary and Expression describes the terms used in ODRL policies and how to encode them. The ODRL Vocabulary and Expression specifies the set of RDF classes, predicates and named entities that are used by the ODRL Information Model which defines the ODRL Core Vocabulary. This document also lists recommended terms in the ODRL Common Vocabulary that may be used to define ODRL Profiles.</t>
  </si>
  <si>
    <t>CAMSS Assessment of ODRL EIF Scenario v1.0.0; CAMSS Assessment of ODRL EIF Scenario v2.0.0</t>
  </si>
  <si>
    <t>86%AssessmentScoreAverage; 86.98%AssessmentScoreAverage</t>
  </si>
  <si>
    <t>LegalInteroperabilityAgreementContract</t>
  </si>
  <si>
    <t>NationalLegalInteroperabilityAgreementContract</t>
  </si>
  <si>
    <t>LegalAgreementContract</t>
  </si>
  <si>
    <t>EuropeanLegalInteroperabilityAgreementContract</t>
  </si>
  <si>
    <t>SETU is an organisation which is developing standards and specifications related to the exchange of electronic data in the staffing industry.</t>
  </si>
  <si>
    <t>OpenID4VC HAIP refers to specifications for implemening the OpenOD4VC in an interoperable manner among Issuers, Wallets and Verifiers of Credentials.</t>
  </si>
  <si>
    <t>Peppol SML is used to add, update, delete the IDs of the participants, offering a DNS-based mechanism to discover the Service Metadata Publisher (Peppol SMP) where the specific participant data is described.</t>
  </si>
  <si>
    <t>UN/EDIFACT (the United Nations rules for Electronic Data Interchange for Administration, Commerce and Transport) comprise a set of internationally agreed standards, directories, and guidelines for the electronic interchange of structured data, between independent computerized information systems. Note that UN/EDIFACT Syntax 4 supersedes UN/EDIFACT Syntax 3 (cf. https://www.gefeg.com/jswg/v4/data/v1234_diff.htm), although the latter is still used, e.g. by GS1 for the GS1 EANCOM Syntax 3 standard.</t>
  </si>
  <si>
    <t>FormsStructureDataObject</t>
  </si>
  <si>
    <t>CloudEvents is a specification for describing event data in common formats to provide interoperability across services, platforms and systems.</t>
  </si>
  <si>
    <t>The CLARIN Concept Registry is a step in the direction of interoperability at the level of linguistic encoding (tag sets, metadata elements, etc.). The basic idea is to register all widely used concepts/terminology in CLARIN so that everyone can refer to them. The CLARIN Concept Registry is based on the W3C SKOS recommendation, which is a generic model not restricted to linguistics.</t>
  </si>
  <si>
    <t>This regulation is a data policy with regard to the processing of personal data and the free movement of such data.</t>
  </si>
  <si>
    <t>The primary objective of the European Digital Identity Wallet is to guarantee access to trusted digital identities for all Europeans allowing users to be in control of their own online interactions and presence.</t>
  </si>
  <si>
    <t>This specification provides guiding principles for members of governing bodies of organizations and those that support them on the effective, efficient and acceptable use of information technology (IT) within their organizations.</t>
  </si>
  <si>
    <t>ODPS is a vendor-neutral, open-source machine-readable data product metadata model. The specification defines the objects and it's attributes as well as the structure of digital data products.</t>
  </si>
  <si>
    <t>The OASIS code list representation (genericode) is a semantic codelist model that can encode a wide spectrum of codelist information. Genericode is designed to accompany XML serialisation enabling the exchange or distribution of machine-readable codelist information between systems.</t>
  </si>
  <si>
    <t>CAMSS Assessment of genericode EIF Scenario v1.0.0</t>
  </si>
  <si>
    <t>82.22%StrengthOfAssessmentScoreAverage</t>
  </si>
  <si>
    <t>ETSI TS 103 523-5 CYBER defines Requirements - such as legal mandates and service agreements - that exist for enterprise network, data centre operators and service providers, organizations and small businesses to be able to observe and audit the content and metadata of encrypted sessions transported across their infrastructures. The IPsec protocol standards [1], [i.2] and [i.3] can be managed in a way that enables this enterprise visibility.</t>
  </si>
  <si>
    <t>TAXII is an application layer protocol for the communication of cyber threat information in a simple and scalable manner.</t>
  </si>
  <si>
    <t>The ETSI TS 182 032 specification defines a framework for interconnection between different Content Delivery Networks (CDNs). It establishes standardised interfaces that allow CDNs to expose and consume delivery, control, and reporting services across networks. Thus, the specification ensures interoperability by enabling translation of metadata and protocols between heterogeneous systems.</t>
  </si>
  <si>
    <t>TechnologyInterfaceTechnologyInterface</t>
  </si>
  <si>
    <t>MoReq2010 provides a set of requirements for a system of records.</t>
  </si>
  <si>
    <t>The CSV on the Web specification aims to express useful metadata about CSV files and other kinds of tabular data. It is also addressed to mapping mechanism to transforming CSV into various formats.</t>
  </si>
  <si>
    <t>The Attribute-based access control (ABAC) specification, defines an access control paradigm whereby a subject's authorisation to perform a set of operations is determined by evaluating attributes associated with the subject, object, requested operations, and, in some cases, environment attributes.</t>
  </si>
  <si>
    <t>This specification defines concepts that apply across all of STIX and defines the overall structure of the STIX language. A language for expressing cyber threat and observable information.</t>
  </si>
  <si>
    <t>The Peppol SMP contains the exact location and the capabilities of participants, to which the sender wants to transmit the message.</t>
  </si>
  <si>
    <t>Commission Decission stablishing the basic principles, objectives, organisation and responsibilities regarding the security of communication and information systems (CISs), and in particular for Commission departments owning, procuring, managing or operating CISs and including CISs provided by an internal IT service provider.</t>
  </si>
  <si>
    <t>E-ARK CSIP is a specification consisting in a set of specifications used for transmitting, describing and preserving digital data. They have been produced to help data creators, software developers and digital archives to tackle the challenge of short-, medium- and long-term data management and reuse in a sustainable, authentic, cost-efficient, manageable and interoperable way. The specications defines interoperability requirements for e-archiving components (CEF eArchiving building blocks).</t>
  </si>
  <si>
    <t>CAMSS Assessment of CSIP EIF Scenario v1.0.0</t>
  </si>
  <si>
    <t>87%AssessmentScoreAverage</t>
  </si>
  <si>
    <t>The SPARQL 1.1 Protocol is a standardised way for applications to send SPARQL queries and updates to a server and receive results over the web using HTTP. It defines how to structure requests and responses, ensuring consistent communication between clients and SPARQL services.</t>
  </si>
  <si>
    <t>The ETSI TS 103 410-4 specification is designed to offer an extension of SAREF for the Smart Cities domain. In this context, the specification provides an ontology that specifies different classes and attributes to establish a common core of general concepts for smart city data, oriented towards the IoT field.</t>
  </si>
  <si>
    <t>Business agnostic legal act on a European Code of Conduct relating to electronic payment. Examples are relations between financial institutions, traders and service establishments, and consumers</t>
  </si>
  <si>
    <t>Legal act defining principles for the modernisation of VAT aspects for e-Commerce.</t>
  </si>
  <si>
    <t>NIST SP 800-53 provides a catalog of security and privacy controls for information systems and organizations to protect organizational operations and assets, individuals, other organizations, and the Nation from a diverse set of threats and risks, including hostile attacks, human errors, natural disasters, structural failures, foreign intelligence entities, and privacy risks.</t>
  </si>
  <si>
    <t>The Dublin Core Ontology is vocabulary defined for the description of Metadata, semantics &amp; ontologies, interoperability. It is a common used ontology (or at least part of it), that eases the interoperability of systems.</t>
  </si>
  <si>
    <t>CAMSS Assessment of DCMI EIF Scenario v1.0.0</t>
  </si>
  <si>
    <t>The specification sets out the general requirements of the international community to provide confidence in electronic transactions, including, inter alia, the applicable requirements of Regulation (EU) No 910/2014.</t>
  </si>
  <si>
    <t>The EBSI-OpenID4VC specification integrates OpenID Connect with the European Blockchain Services Infrastructure (EBSI) to enable the issuance and verification of Verifiable Credentials (VCs). It supports secure and interoperable digital identities and credentials using JSON Web Tokens (JWT) and Linked Data Proofs (LDP) formats, enhancing trust and privacy in digital transactions​</t>
  </si>
  <si>
    <t>Filesystem Hierarchy Standard (FHS) is a reference of Unix-based directory hierarchy and provides a file management system.</t>
  </si>
  <si>
    <t>FileStorageTechnologyService</t>
  </si>
  <si>
    <t>The IMMC Core Metadata is a minimum set of metadata elements relating to legal decision-making processes at European level, but not only, which are used in the data exchange processes between the institutions and the Publications Office of the European Union.</t>
  </si>
  <si>
    <t>IEEE/ISO/IEC 29119-2-2021 applies to software-based systems being developed, maintained, or reused (legacy, COTS, Non-Developmental Items).</t>
  </si>
  <si>
    <t>Distributed ledger technology (DLT) and its specific implementations such as blockchain offer a unique opportunity for utilizing a trust infrastructure and a platform that could be useful in enabling trusted federation for exchanging identity attributes and identity information. Recommendation ITU‑T X.1403 provides a telecom-specific privacy and security considerations for using DLT data in identity management.</t>
  </si>
  <si>
    <t>Indexed inventory of data sets with comprehensiveness and trustiness value. This ABB is a key interoperability enabler (*) for sharing/PROVISIONING and reusing/CONSUMING Data. Based on W3C http://www.w3.org/TR/vocab-dcat/#class-catalog A2 programme) as a means for modernising the public sector Syn. Data Set Registry, Data Set Inventory</t>
  </si>
  <si>
    <t>The IAM - 002 specification is addressed to standardise the digital identity of technical users and employees who are bound to the company they operate for. In this context, a company must be identifiable in an independent way and interoperable in all networks. In addition, the goal is also to protect data and manage users in all systems and applications.</t>
  </si>
  <si>
    <t>The YAMATO ontology is an upper ontology that can help to the develpment of other ontologies in several domains.</t>
  </si>
  <si>
    <t>G8 leaders signed the Open Data Charter on 18 June 2013. The ODC sets out 5 strategic principles that all G8 members will act on.</t>
  </si>
  <si>
    <t>The Information Technology Infrastructure Library is a set of detailed practices for IT service management that focuses on aligning IT services with the needs of business. It defines requirements for the Service Level Agreement(s) or Operational Level Agreements(s) and provides templates aligned with these requirements.</t>
  </si>
  <si>
    <t>The Storage Management Initiative Specification (SMI-S) is a computer data storage management specification that enables broad interoperable management of heterogeneous storage (WBEM) vendor systems. The specification is ratified as an ISO standard and is based on the Common Information Model and the Web-Based Enterprise Management standards defined by the Distributed Management Working Group, which define management functionality over HTTP.</t>
  </si>
  <si>
    <t>DataLakeStorageTechnologyService</t>
  </si>
  <si>
    <t>ETSI TS 103 264 defines the SAREF ontology, a standardised semantic framework for smart appliances and IoT domains. It provides core concepts and relationships to model devices and their functions consistently. The specification includes mappings to oneM2M for semantic interoperability across platforms. It supports aligning different data models through ontology matching and agreements. Overall, it enables seamless data integration and collaboration in smart ecosystems.</t>
  </si>
  <si>
    <t>CMMI V2.0 is one model with multiple customized views that apply to different business environments, enabling organizations to create a view of the model that meets their specific performance improvement needs.</t>
  </si>
  <si>
    <t>The Gaia-X Trust Framework involves legal requirements for a set of technical specifications for a common governance of data spaces. The specification sets the basic level of interoperability across individual ecosystems while letting the users in full control of their choices.</t>
  </si>
  <si>
    <t>The SUSHI Protocol specification defines an automated request and response model for the harvesting of electronic resource usage data utilizing a Web services framework that can replace the user mediated collection of usage data reports. Moreover, the specification is designed to provide an automated method for retrieving standardized usage statistics reports using a machine-processable XML container.</t>
  </si>
  <si>
    <t>Communication from the European Parliament and the Council regarding the provision of instruments for the innovation and growth.</t>
  </si>
  <si>
    <t>The Privacy Policy for European Union sites is based on the Regulation (EU) 2018/1725 and informs how users' information is handled by the different European websites when consulting it or requesting services. This document explains how this information is handled by different parties ensuring that users are aware of such data management.</t>
  </si>
  <si>
    <t>The Single Integrated Metadata Structure (SIMS) is a dynamic inventory of statistical concepts used for quality and metadata reporting in the European Statistical System (ESS).</t>
  </si>
  <si>
    <t>GITB used as a structured methodology for verifying that solutions can interoperate at the semantic and technical level through comformance testing.</t>
  </si>
  <si>
    <t>Legal act on the identification of Universal Business Language for referencing in public procurement</t>
  </si>
  <si>
    <t>The RFC 8610 specification is used to improve DNS security and privacy by sending DNS queries over HTTPS (DoH). This means when you look up a website, the request is encrypted, making it harder for anyone to see or tamper with your browsing information. It helps protect against attacks like DNS spoofing and keeps your online activity more private. It's used by modern browsers, apps, and DNS services that support DoH.</t>
  </si>
  <si>
    <t>Legal act on payment services in the internal market</t>
  </si>
  <si>
    <t>Action Plan regarding the acceleration of digital transformation of governments.</t>
  </si>
  <si>
    <t>Article 288 of the Treaty on the Functioning of the European Union (TFEU) regards the mechanisms that empower national legislative institutions to the development of the common EU law. The TFEU is a legal agreement involving all Member States and setting up the principles for the development of the European Union.</t>
  </si>
  <si>
    <t>The OZG or Onlinezugangsgesetz (Online Access Act) is a German law that obligates public service providers in Germany to offer most of their services digitally. This includes public administration on the federal level, as well as the local.</t>
  </si>
  <si>
    <t>ETSI TS 119 461 provides policy and security requirements for trust service components that deliver proof of identity of the subjects of trust services, in particular when issuing qualified certificates as defined in Regulation (EU) No 910/2014 (the eIDAS Regulation). The specification provides requirements for a basic level of proof of identity (basic LoIP) to support proof of identity for other ETSI trusted services standards, such as ETSI TS 119 431-1 and ETSI EN 319 521.</t>
  </si>
  <si>
    <t>Verifiable Credentials is a specification that provides a mechanism to express credentials (e.g., driver's license or government-issued passports) on the Web in a way that is cryptographically secure, privacy respecting, and machine-verifiable. This means they can be stored on digital devices, and it is possible to use cryptography to verify their data and authorship.</t>
  </si>
  <si>
    <t>CAMSS Assessment of VC EIF Scenario v1.0.0</t>
  </si>
  <si>
    <t>100.0%StrengthOfAssessmentScoreAverage</t>
  </si>
  <si>
    <t>E-ARK DIP belongs to the suite of E-ARK CSIP specifications that are used to transmit, describe and retain digital data. E-ARK SIP defines an information packet (derived from an E-ARK AIP) specific to a particular consumer, so that this information package can be processed by its designated access software.</t>
  </si>
  <si>
    <t>Is a scripting language for the web pages front-end.</t>
  </si>
  <si>
    <t>DCAT is an RDF vocabulary designed to facilitate interoperability between data catalogs published on the Web.</t>
  </si>
  <si>
    <t>The GXFSv2 ICAM specification is intended to implement certain authentication and authorisation functions. In this context, it aims to define the mandatory technical components required to enable authentication and authorisation using Self-Sovereign Identity (SSI) concepts.</t>
  </si>
  <si>
    <t>The RFC 7641 specification specifies a mechanism that allows devices to observe resources on a network using the CoAP protocol and it enables a client to subscribe to a resource so that it receives automatic updates whenever that resource changes which is particularly useful for devices with limited resources such as sensors or Internet of Things equipment and it reduces the need for constant polling of resources, thereby saving energy and bandwidth, while facilitating the detection of changes in the environment or digital systems, allowing notifications to be delivered in real time</t>
  </si>
  <si>
    <t>The MyData Account specification is a key enabler for linking services and consents together with their history in a one-stop shop. It helps to provide a unified view of all of all data flow authorizations, their management and control. It is part of the MyData Architecture.</t>
  </si>
  <si>
    <t>The eIDAS cryptographic requirements aim at securing the communication between eIDAS nodes, i.e. eIDAS services and eIDAS connectors (both supported by SAML protocols), through the use of TLS encryption.</t>
  </si>
  <si>
    <t>The Gaia-X Identity, Credential and Access Management (ICAM) Document is a Gaia-X deliverable that describes the components for “Authorization &amp; Authentication.” It aims to provide core functionalities for authorization, access management, and authentication, along with related services.</t>
  </si>
  <si>
    <t>The Real-Time Transport Protocol (RTP) is a network protocol designed for delivering audio and video over networks in real-time.</t>
  </si>
  <si>
    <t>StreamingServerTechnologyService</t>
  </si>
  <si>
    <t>BlockStorageTechnologyService</t>
  </si>
  <si>
    <t>The ITU-T Y.4461 defines a framework of open data in smart cities, in orther to promote the sharing of data between different entities in a smart city, taking advantage of the potentialities of data in smart city to build a better and smarter cities.</t>
  </si>
  <si>
    <t>BDX Location specifies a method to query DNS resource records to retrieve a URL for metadata services. The URL is used as machine-processable description of services. The eDelivery BDXL is part of the SML specifications for locating Access Points within a network. The specification is based on the OASIS Business Document Metadata Service Location 1.0, and is intended to be used in conjunction with the eDelivery SMP profile, and the eDelivery ebCore Party Id profile (eDelivery EBCOREP), as a discovery infrastructure for the eDelivery AS4 Dynamic Sender Profile Enhancement.</t>
  </si>
  <si>
    <t>The development of information and communication technologies (ICTs) has led to concerns regarding its environmental impact. Taking into consideration the ongoing efforts within the United Nations Framework Convention on Climate Change [b-UNFCCC] to combat climate change, ITU-T and ETSI decided to enhance their previous work by jointly developing an internationally agreed methodology to help the ICT sector to assess the environmental impact of ICT goods, networks and services. The present document also gives guidance to the assessment of software.</t>
  </si>
  <si>
    <t>Legal act establishing minimum requirements for the cross-border processing of documents signed electronically by competent authorities under Directive 2006/123/EC</t>
  </si>
  <si>
    <t>Nomenclature of Territorial Units for Statistics or NUTS is a geocode standard for referencing the administrative divisions of countries for statistical purposes. The standard, adopted in 2003, is developed and regulated by the European Union, and thus only covers the EU member states in detail.</t>
  </si>
  <si>
    <t>The Open Cloud Computing Interface (OCCI) is a RESTful Protocol and API for all kinds of management tasks. OCCI was originally initiated to create a remote management API for IaaS1 model-based services, allowing for the development of interoperable tools for common tasks including deployment, autonomic scaling and monitoring. It has since evolved into a flexible API with a strong focus on interoperability while still offering a high degree of extensibility. The current release of the Open Cloud Computing Interface is suitable to serve many other models in addition to IaaS, including PaaS and SaaS.</t>
  </si>
  <si>
    <t>The ISO/IEC 38505-1 specification provides high-level, principles-based guidance for governing bodies to evaluate, direct, and monitor the handling and use of data within their organizations. It outlines key principles, definitions, and a model for governance, while encouraging organizations to adopt appropriate standards to enhance their data governance practices.</t>
  </si>
  <si>
    <t>DIN SPEC 27070:2020-03 is a Publicly Available Specification (PAS), willing to become an ISO standard, that specifies requirements regarding a secure gateway for cross-company data exchange in the manufacturing industry. The specification relates to DIN EN IEC 62443-4-2 standard series.</t>
  </si>
  <si>
    <t>The Interoperable Europe Act is a proposal that seeks to establish a comprehensive framework to ensure that digital systems and services across EU member states can work seamlessly together, facilitating the exchange of information and collaboration across borders.</t>
  </si>
  <si>
    <t>The Content Management Interoperability Services (CMIS) standard deﬁnes a domain model and Web Services, Restful AtomPub and browser (JSON) bindings that can be used by applications to work with one or more Content Management repositories/systems.</t>
  </si>
  <si>
    <t>ContentManagementApplicationService</t>
  </si>
  <si>
    <t>This standard describes the use of Transport Layer Security (TLS) to provide a secure connection for the transport of syslog messages. IT also describes the security threats to syslog and how TLS can be used to counter such threats.</t>
  </si>
  <si>
    <t>DigitalWorkplaceApplicationService</t>
  </si>
  <si>
    <t>Operates on three communication layers: - TCP, UDP, ICMP at transport layer - MAC, Ethernet LAN (802.3) and virtual LAN (VPN) at link layer - IPv4 and IPV6 at network layer</t>
  </si>
  <si>
    <t>FirewallTechnologyService</t>
  </si>
  <si>
    <t>The HAL-FORMS specification is an extension to the Hypertext Application Language (HAL) specification, designed to enhance the evolvability of HAL-based APIs. It provides a way to define forms within HAL documents, allowing clients to understand how to interact with the API dynamically.</t>
  </si>
  <si>
    <t>Multicast data transmission finds wide application in modern telecommunication networks, for example, for network management and control as well as for different network applications. The number of network service users and the number of services are increasing significantly, resulting in a tremendous network traffic growth. This in turn leads to an increase in network latency that could be inappropriate for some novel network services.</t>
  </si>
  <si>
    <t>YAML is a human-readable data serialization format, which is used in configuration files, data exchange, and structuring data in software engineering.</t>
  </si>
  <si>
    <t>ContainersManagerTechnologyService</t>
  </si>
  <si>
    <t>CAMSS Assessment of YAML EIF Scenario v1.0.0</t>
  </si>
  <si>
    <t>ContainerRegistryTechnologyService</t>
  </si>
  <si>
    <t>The UBL 2.3 JSON Alternative Representation specification is a transliteration of all of the UBL 2.3 artifacts in JSON syntax.</t>
  </si>
  <si>
    <t>Legal act regarding public access to European Parliament, Council and Commission documents</t>
  </si>
  <si>
    <t>Common Language Infrastructure (CLI) describes a virtual environment in which applications built in different high-level languages can be run without the need to rewrite any source code.</t>
  </si>
  <si>
    <t>Attribute-based access control (ABAC) is a specification designed to enforce the security and privacy of data or information. ABAC establishes an authorisation model that utilises the characteristics and attributes of users to determine access.</t>
  </si>
  <si>
    <t>To ensure that electronic signatures can be created and validated anywhere in Europe, the eIDAS Regulation, through Implementing Decision 2015/1506/EU, has defined a number of baseline profiles. The baseline profile of CAdES is one of them. E-seals are e-signatures, the difference is that a signature is added by a person, while a seal is added by an organization. Electronic seals have the same encryption as electronic signatures.</t>
  </si>
  <si>
    <t>CAMSS Assessment of CAdES EIF Scenario v1.0.0</t>
  </si>
  <si>
    <t>Atom is an XML-based document format that describes lists of related information known as "feeds". Feeds are composed of a number of items, known as "entries", each with an extensible set of attached metadata. For example, each entry has a title.</t>
  </si>
  <si>
    <t>The Eclipse Data Connector (EDC) enables data exchange across Catena-X dataspace while maintaining conditions of data sovereignty and interoperability. A set of reference tools and standardised specifications (APIs, protocols etc.) that allow data flow conditions verification and orchestrate the data exchange preparation and data flow.</t>
  </si>
  <si>
    <t>The AS4 Profile of ebMS 3.0 Version 1.0 is a profile of the OASIS ebXML Messaging Services Version 3.0 that defines a protocol for exchanging business documents (via AS4 messages).</t>
  </si>
  <si>
    <t>The PEPPOL AS2 Profile is the predecessor of the AS4 profile and is used to exchange business messages between Access Points (APs) as part of the PEPPOL infrastructure. The specification is based on the AS2 specification (MIME-Based Secure Peer-to-Peer Business Data Interchange Using HTTP Applicability Statement 2 - RFC4130).</t>
  </si>
  <si>
    <t>The REST API Standard (RAPIS) is a proposed specification for designing REST APIs. It aims to provide a structured approach to API design, ensuring consistency and best practices across different implementations.</t>
  </si>
  <si>
    <t>The UBER document format is a minimal read/write hypermedia type designed to support simple state transfers and ad-hoc hypermedia-based transitions. This specification describes both the XML and JSON variants of the format and provides guidelines for supporting UBER-encoded messages over the HTTP protocol.</t>
  </si>
  <si>
    <t>The OpenTripModel specification aims the reduce of time and cost, avoiding translations layers for the same types of data. It helpsentities to communicate effectively when they are using the same type of data, although they represent data differently.</t>
  </si>
  <si>
    <t>ETSI EN 319 411-2 is a European standard that sets out policy and security requirements for Trust Service Providers (TSPs). Its primary focus is the issuance of EU qualified certificates, covering electronic signatures, electronic seals, and website authentication, as defined by Regulation (EU) No 910/2014.</t>
  </si>
  <si>
    <t>OSLC Configuration Management defines an RDF vocabulary and a set of REST APIs for managing versions and configurations of linked data resources from multiple domains.</t>
  </si>
  <si>
    <t>YANG Data Model for L3VPN Service Delivery provides an abstracted representation of the Layer 3 IP VPN service configuration components. The YANG data model can be used to enable communication between customers and network operators as well as to deliver a Layer 3 provider-provisioned VPN service. The specification documentation indicates that the YANG data model is limited to BGP PE-based VPNs.</t>
  </si>
  <si>
    <t>The NGSI-LD API enables users to apply context information in multiple scenarios. Context information is modeled as attributes of context entities, also called digital twins, which represent real-world assets (e.g., a bus in a city or a baggage claim ticket). The NGSI-LD API is typically used to provide standardized access to digital twin data.</t>
  </si>
  <si>
    <t>CAMSS Assessment of NGSI-LD EIF Scenario v1.0.0</t>
  </si>
  <si>
    <t>86.83%AssessmentScoreAverage</t>
  </si>
  <si>
    <t>RDFa Core is a specification for attributes to express structured data in any markup language. The embedded data already available in the markup language (e.g., HTML) can often be reused by the RDFa markup, so that publishers don't need to repeat significant data in the document content. Moreover, RDFa shares some of the same goals with microformats. Whereas microformats specify both a syntax for embedding structured data into HTML documents and a vocabulary of specific terms for each microformat, RDFa specifies only a syntax and relies on independent specification of terms by others</t>
  </si>
  <si>
    <t>The Communication from the Commission and the European Parliament consists on a framework for the development and to ensure Services of General Interest In Europe, this should be taken into account when defining an interoperable digital service.</t>
  </si>
  <si>
    <t>MeansForPublicPolicyObjectivesConvergenceAssuranceAndControlConstraint</t>
  </si>
  <si>
    <t>DASH enables high-quality streaming of media content over the internet delivered from conventional HTTP web servers.</t>
  </si>
  <si>
    <t>The iSHARE Trust Framework is a collaborative effort to improve the exchange of data between organisations in and across data spaces. The Framework results in a set of agreements which improve circumstances for data exchange.</t>
  </si>
  <si>
    <t>The PROV Ontology (PROV-O) expresses the PROV Data Model  using the OWL2 Web Ontology Language (OWL2). It provides a set of classes, properties, and restrictions that can be used to represent and interchange provenance information generated in different systems and under different contexts. It can also be specialised to create new classes and properties to model provenance information for different applications and domains.</t>
  </si>
  <si>
    <t>The goal of EPCIS is to enable disparate applications to create and share visibility event data, both within and across enterprises. Ultimately, this sharing is aimed at enabling users to gain a shared view of physical or digital objects within a relevant business context.</t>
  </si>
  <si>
    <t>The Cloud Computing Reference Architecture (CCRA, also known as ISO/IEC 17789:2014) describes the impact of devices on cloud service ecosystems and the impact of cloud services on devices. The specification includes the roles, processes and functional components of cloud computing and their relationships.</t>
  </si>
  <si>
    <t>The eDelivery ebCore Party Id specifies a notation for party addressing in eDelivery, as an extension of the OASIS ebCore Party Id Type specification. The specification is part of the SML specifications and can be used in eDelivery BDXL records and in eDelivery SMP.</t>
  </si>
  <si>
    <t>exFAT describes the exFAT file system and provides all required information for its implementation. The specification is a FAT-based file system, designed for very large files and storage devices, which easily incorporates scalability.</t>
  </si>
  <si>
    <t>Recommendation ITU-T X.1770 establishes technical guidelines for multi-party computation (MPC) and provides a technical standard basis for information and communication technology (ICT) stakeholders to use MPC to protect data in data collaboration and big data analysis scenarios. It also describes applications for which MPC can be used and how it can serve as a reference for ICT stakeholders to develop MPC applications.
Data has become one of the most important assets in ICT. Secure MPC can build trust and security in data collaboration and big data analysis-related areas by balancing usage and protection of data.
Recommendation ITU-T X.1770 includes:
–           a technical framework for MPC, in which its elements and the workflow between them is determined;
–           security levels of MPC protocols, used in the analysis and determination of the security model and threshold;
–           applications of MPC, illustrated by use cases, including an application scenario description and processes, with appropriate security requirement recommendations.
Based on the framework and security levels established in Recommendation ITU-T X.1770, standards for MPC applications in different fields can be determined.</t>
  </si>
  <si>
    <t>The DomiSMP is a component of eDelivery that is responsible for Capability Lookup: once the sender discovers the address of the receiver's SMP, it is able to retrieve the needed information (i. e. metadata about the location and capabilities) of the receiver.</t>
  </si>
  <si>
    <t>The CASC score is a rating metric that indicates the relative quality of the API over a given period by combining a number of metrics for each API, such as its availability or latency.</t>
  </si>
  <si>
    <t>The ETSI TS 103 864 specification is addressed to guarantee the security of the relevant data for the sensor hub (data storage), ensure the safe and proper handling of data within the sensor hub (data processing), and determine which data can be transferred from the sensor hub to the device applications, ensuring such transfer at the sensor hub interface.</t>
  </si>
  <si>
    <t>The RFC 3628 specification is addressed to define the policy requirements to Time-Stamping Authorities (TSA's) issuing time-stamp tokens, which serve as trusted proofs that a datum existed at a particular time. In this sense, the specification can help to prove the digital signature was generated while the signer's certificate was valid.</t>
  </si>
  <si>
    <t>xAPI is a data and interface standard that lets software applications capture and share (big) data on human performance, along with associated context information (i.e., “experience” data).</t>
  </si>
  <si>
    <t>The Open Digital Rights Language (ODRL) is a policy expression language offering a flexible and interoperable framework, including an information model, vocabulary, and encoding methods, for articulating rules about how content and services may be used. The ODRL Information Model defines the core concepts, entities, and relationships that underpin the meaning and structure of ODRL policies.</t>
  </si>
  <si>
    <t>The CEF Building Blocks provide core capabilities that can be reused in any European project to facilitate the delivery of digital public services across borders and sectors.</t>
  </si>
  <si>
    <t>MyData Authorisation allows users to grant consent to transfer data for its processing in a third-party system, and authorises the service to process it under rules and restrictions set by the data owner.</t>
  </si>
  <si>
    <t>The specification ITU-T Y.3653 specifies a functional architecture for big data-driven networking,which includes an overview of functional architecture per se, functional architecture for a big-data plan, functional architecture for a network plan and functional architecture for a management plan.</t>
  </si>
  <si>
    <t>This Core Accessibility API Mappings specification defines support that applies across multiple content technologies, including general keyboard navigation support and mapping of general-purpose roles, states, and properties provided in Web content via WAI-ARIA. Other Accessibility API Mappings specifications depend on and extend this Core specification for specific technologies, including native technology features and WAI-ARIA extensions.</t>
  </si>
  <si>
    <t>FormsManagementApplicationService</t>
  </si>
  <si>
    <t>The OSLC allows a server to expose a set of resources in a way that allows clients to discover that set of resources, to track additions to and removals from the set, and to track state changes to the resources in the set.</t>
  </si>
  <si>
    <t>Non-binding legal instrument in format of Commission Communication providing a set of principles for the framework of multilingualism.</t>
  </si>
  <si>
    <t>The series of public policy phases that are regularly repeated in order to manage all aspects of a public policy.</t>
  </si>
  <si>
    <t>OpenStack is a cloud operating system that controls large pools of compute, storage and network resources in a data centre, all managed through a dashboard that gives administrators control and allows users to provision resources through a web interface.</t>
  </si>
  <si>
    <t>The ETSI TS 103 845 specification describes the communication requirements for Digital Twins (DTs) in SmartM2M environments, focusing on their interaction with physical counterparts and the digital world. It addresses the requirements for Digital Twin Description (DTD) and discoverability, which are essential for building connected and adaptable DT ecosystems.</t>
  </si>
  <si>
    <t>GatewayTechnologyService</t>
  </si>
  <si>
    <t>ISO 15489-1 defines the concepts and principles underpinning the creation, capture and management of records.</t>
  </si>
  <si>
    <t>Legal act public procurement and the award of concession contracts</t>
  </si>
  <si>
    <t>GITB messaging services are key components used by the TestBed to extend communication capabilities. A messaging service allows the abstraction of messaging details behind logical operations to send and receive messages, the implementation details of which are contained within the service implementation. GITB validation services are used to validate input and produce a validation report.</t>
  </si>
  <si>
    <t>Schema.org is a vocabulary that can be used with many different encodings, including RDFa, Microdata and JSON-LD. These vocabularies cover entities, relationships between entities and actions, and can easily be extended through a well-documented extension model.</t>
  </si>
  <si>
    <t>NCMS provides a data model to describe resources and facilitate their consistent and appropriate management. The specification consists of three sections in the form of layers: a Security Layer, a Common Layer and an Information Lifecycle Support Layer.</t>
  </si>
  <si>
    <t>The Real-Time Streaming Protocol (RTSP) is an application-level network protocol designed for multiplexing and packetizing multimedia transport streams (such as interactive media, video and audio) over a suitable transport protocol.</t>
  </si>
  <si>
    <t>The ETSI TS 119 512 specification complements ETSI TS 119 511 and specifies protocols for trust service providers providing long-term data preservation services of digital signatures and of general data (i.e. unsigned data or signed data). ETSI TS 119 512 specifies protocols for Trust Service Providers to provide long-term preservation of digital signatures and transactional data (unsigned or signed data), using digital signature technology.</t>
  </si>
  <si>
    <t>CAMSS Assessment of ETSI TS 119 512 EIF Scenario v2.0.0; CAMSS Assessment of ETSI TS 119 512 EIF Scenario v1.0.0</t>
  </si>
  <si>
    <t>100%StrengthOfAssessmentScoreAverage; 85%AssessmentScoreAverage</t>
  </si>
  <si>
    <t>The CX-0007 specification defines the requirements for a tool designed to facilitate data exchange and access management by users. It promotes security and privacy in data handling and establishes mechanisms to control who can access shared data.</t>
  </si>
  <si>
    <t>A Web Coverage Service (WCS) offers multi-dimensional coverage data for access over the Internet. WCS Core specifies a core set of requirements that a WCS implementation must fulfill.</t>
  </si>
  <si>
    <t>The e-SENS REM Profile is an open specification for achieving interoperability between the evidential services of Registered Electronic Mail systemsRegistered Electronic Mail (REM). The specification is based on ETSI TS 102 640-2.</t>
  </si>
  <si>
    <t>A Europarl communication on accelerating digital public services that support the functioning of the single market in the period 2019-2024.</t>
  </si>
  <si>
    <t>ISO/IEC/IEEE 24748-1:2024 provides comprehensive guidelines for life cycle management applicable to systems and software engineering. This standard addresses the entire life cycle, from conception through retirement, ensuring effective management and engineering of systems and software.</t>
  </si>
  <si>
    <t>The WebSocket Protocol enables two-way communication between a client running untrusted code in a controlled environment to a remote host that has opted-in to communications from that code.  The security model used for this is the origin-based security model commonly used by web browsers.  The protocol consists of an opening handshake followed by basic message framing, layered over TCP.  The goal of this technology is to provide a mechanism for browser-based applications that need two-way communication with servers that does not rely on opening multiple HTTP connections (e.g., using XMLHttpRequest or &lt;iframe&gt;s and long polling).</t>
  </si>
  <si>
    <t>DigitalWorkplaceApplicationComponent</t>
  </si>
  <si>
    <t>The Reactive WebSocket application profile enables full-duplex communication between client and server, generally used in web applications where the client and server need to exchange events at high frequency and with low latency.  Spring Framework 5 has modernised WebSockets support in the framework, adding reactive capabilities to this communication channel.</t>
  </si>
  <si>
    <t>Web Of Things (WoT) is a Family that constitutes a series of building blocks to simplify the deployment of IoT applications. WoT can be interpreted as a series of recommendations as well. This approach increases flexibility and interoperability, especially for multi-domain applications, as well as enabling the reuse of established standards and tools. WoT can be broken down into different building blocks, as well as the abstract architecture that defines how they are related. The W3C has published the following building blocks: WoT Thing Description and WoT Architecture.</t>
  </si>
  <si>
    <t>The eDelivery Access Point (AP) Domibus implements a standardised message exchange protocol that guarantees an interoperable, secure and reliable data exchange.</t>
  </si>
  <si>
    <t>CAMSS Assessment of Domibus EIF Scenario v1.0.0</t>
  </si>
  <si>
    <t>84%AssessmentScoreAverage</t>
  </si>
  <si>
    <t>The AMQP Filter Expressions specification defines a syntax for creating filter expressions used within the Advanced Message Queuing Protocol (AMQP). Filter expressions are designed for use in AMQP applications (or in other specifications) that require durable or ephemeral configuration of message filters.</t>
  </si>
  <si>
    <t>LOD Vocabularies is a catalogue of vocabularies and ontologies with the purpose of share and reuse ontologies. By providing access to largely adopted vocabularies and ontologies, the LOD fosters and ensures the reuse of information enabling interoperability.</t>
  </si>
  <si>
    <t>The Certificate Management Protocol (CMP) is an Internet protocol standardized by the IETF used for obtaining X.509 digital certificates in a public key infrastructure (PKI).</t>
  </si>
  <si>
    <t>PKICertificateManagerTechnologyService</t>
  </si>
  <si>
    <t>Business agnostic legal act defining milestones, goals and obligations involving interoperability aspects.</t>
  </si>
  <si>
    <t>This specification describes what the governing body of an organization expects and requires from the data management team in order to be assured that the governing principles of IT can be implemented and are being upheld for data and its use by the organization.</t>
  </si>
  <si>
    <t>CPSV-AP is a reusable and extensible data model for harmonising the way public services are described in a machine-readable format. It captures fundamental characteristics of a public service, such as the name, description, competent public organisation, output, etc.</t>
  </si>
  <si>
    <t>CAMSS Assessment of CPSV-AP EIF Scenario v2.0.0; CAMSS Assessment of CPSV-AP EIF Scenario v1.0.0</t>
  </si>
  <si>
    <t>85%StrengthOfAssessmentScoreAverage; 65%AssessmentScoreAverage</t>
  </si>
  <si>
    <t>The IANA Media Types specification (also known as a Multipurpose Internet Mail Extensions or MIME type) indicates the nature and format of a document, file, or assortment of bytes.</t>
  </si>
  <si>
    <t>Agreement between ICT developing organisations allowing the cooperation between parties and maximising the collaboration.</t>
  </si>
  <si>
    <t>The CX-0006 specification is intended to establish the steps for the registration process within the Catena-X network. This registration service is offered by the Core Service Provider and helps organisations complete their registration process easily.</t>
  </si>
  <si>
    <t>The Web Electronic Identity specification is designed to authenticate users who want to access certain resources or documentation. Based on the Estonian ID card (EstEID) and the Open Electronic Identity (Open eID), a card must be inserted into a card reader to grant access. Additionally, the specification allows for data signing following a verification process.</t>
  </si>
  <si>
    <t>The MyData White Paper provides a framework, principles and model for a human-centered approach to the management and processing of personal information, focused on the right of individuals to access the data collected about them. The MyData Architecture is defined by all the specifications developed under this approach.</t>
  </si>
  <si>
    <t>The EDAMIS (Electronic Data files Administration and Management Information System) web application (EWA) provides a standarised solution for the collection of data files in the European Statistical System. EDAMIS implements Eurostat's Single Entry Point policy.</t>
  </si>
  <si>
    <t>OpenEHR describes the management and storage, retrieval and exchange of health data in electronic health records (EHRs). In any case, it is not a specification that deals with the exchange of data between EHR systems.</t>
  </si>
  <si>
    <t>Protocol Buffers (Protobuf) is a language-agnostic binary serialization format developed by Google. It's used for serializing structured data, similar to XML or JSON, but more efficient and smaller in size.</t>
  </si>
  <si>
    <t>The ETSI TS 103 142 specification details interoperability test descriptions for the OCCI and CDMI standards in cloud computing. It covers a wide range of tests, including the creation, reading, updating, and deletion of resources and objects in both OCCI and CDMI. Additionally, it defines test configurations for interoperability between OCCI and CDMI, ensuring that implementations of these protocols can work together effectively.</t>
  </si>
  <si>
    <t>The Internet of Things (IoT) Reference Architecture provides definitions, generic designs patterns and best practices IoT devices and services from different architecture views: functional, system deployment, networking and usage views. ISO has also provided a corrigendum document (ISO/IEC 30141:2018/COR1:2020).</t>
  </si>
  <si>
    <t>The XA+ specification achieves distributed transaction processing (DTP) on UNIX systems enabling the connection of resources and services within a cloud computing environment. The XA+ specification describes the interface between a global transaction manager and a specific application in order to support transactional access in distributed transaction processing (DTP). XA+ extends the XA interface.</t>
  </si>
  <si>
    <t>The Open Container Initiative Distribution Specification defines an API protocol to facilitate and standardize the distribution of content.</t>
  </si>
  <si>
    <t>The Transmission Control Protocol (TCP) is a transport layer protocol with a long history. RFC 9293 collects and brings together all the changes (dating back to 1981, from the DARPA Internet Program) and deprecates the usual RFC 793 normative documentation.</t>
  </si>
  <si>
    <t>The HR Open Standards provide a vocabulary based on XML and JSON (HR-XML and HR-JSON) in human resource management (i.e. assessments, benefits, compensation, interviewing, recruitment, selection, payroll) for global e-commerce and exchange of human resource management data.</t>
  </si>
  <si>
    <t>A NIEM release is a coherent set of XML schema documents and supporting artifacts representing a specific version of the NIEM data model. Implementers of IEPDs use components of the data model to define information exchange packages (IEP) that will be transmitted in an implementation.</t>
  </si>
  <si>
    <t>The BSI C5 specification is a criteria catalogue designed to enhance the information security of cloud services. Specifically, this catalogue contains 17 objectives aimed at achieving security. Thus, it serves as a basis for consistently protecting data.</t>
  </si>
  <si>
    <t>This standard defines requirements for a systems engineering process for privacy-oriented considerations regarding products, services, and systems utilizing employee, customer, or other external user's personal data.</t>
  </si>
  <si>
    <t>Network architecture concept that enables cloud computing capabilities and an IT service environment at the edge of the cellular network and in general at the edge of any network.</t>
  </si>
  <si>
    <t>Specification ITU-T Y.3605 defines a big data reference architecture (BDRA) that can serve as a fundamental reference point for big data standardization, and which provides an overall framework for the basic concepts and principles of big data</t>
  </si>
  <si>
    <t>The OASIS LegalRuleML TC defines a rule interchange language for the legal domain. The work enables modeling and reasoning that allows implementers to structure, evaluate, and compare legal arguments constructed using the rule representation tools provided.</t>
  </si>
  <si>
    <t>CAMSS Assessment of LegalRuleML EIF Scenario v1.0.0</t>
  </si>
  <si>
    <t>86%AssessmentScoreAverage</t>
  </si>
  <si>
    <t>The GS1 EANCOM standard is a subset of the UN/EDIFACT D.01B directory, syntax version 4 (UN/EDIFACT syntax version 4) that includes an integrated digital message system for supply chain applications and solutions, as well as a set of security components for these messages.</t>
  </si>
  <si>
    <t>The GAIA-X Architecture Document is a key publication by the GAIA-X European Association for Data and Cloud AISBL. It serves as a blueprint and a comprehensive description of the architectural model for the GAIA-X initiative. GAIA-X aims to establish a federated, open data infrastructure based on European values of data sovereignty and trust.</t>
  </si>
  <si>
    <t>The RapidIO(TM) interconnect specification architecture addresses the need for a high-performance low pin count packet-switched system level interconnect for use in a variety of applications as an open standard. ISO/IEC 18372:2004 defines the specification globally (https://www.iso.org/standard/38668.html); different parts of RapidIO are distributed by rapidio.org.</t>
  </si>
  <si>
    <t>The Confidentiality Metadata Label Syntax provides customised XML-based formats for security policies and confidentiality metadata. The specification also builds on the Metadata Binding Mechanism, among others.</t>
  </si>
  <si>
    <t>CORBA facilitates the communication of systems deployed on different platforms. CORBA enables collaboration between systems on different operating systems, programming languages and computer hardware.</t>
  </si>
  <si>
    <t>The Swedish API License is a free open source API license that is very flexible and can easily be adapted to different legal and business requirements.</t>
  </si>
  <si>
    <t>CAMSS Assessment of NUTS EIF Scenario v1.0.0</t>
  </si>
  <si>
    <t>75%StrengthOfAssessmentScoreAverage</t>
  </si>
  <si>
    <t>The Peppol Policy for use of identifiers outlines the requirements for using the transport infrastructure identifier of a message receiver participant in a Peppol eDelivery Network.</t>
  </si>
  <si>
    <t>HTTP over SSL/TLS (also known as Hypertext Transfer Protocol Secure, HTTP over SSL, HTTP over TLS, or HTTPS) is a protocol for secure communication over a computer network that is widely used on the Internet.</t>
  </si>
  <si>
    <t>CAMSS Assessment of HTTPS EIF Scenario v1.0.0; CAMSS Assessment of HTTPS EIF Scenario v2.0.0</t>
  </si>
  <si>
    <t>86%StrengthOfAssessmentScoreAverage; 88%AssessmentScoreAverage</t>
  </si>
  <si>
    <t>OpenMinTeD SHARE is a set of metadata elements to describe text and data-mining (TDM) and natural language processing (NLP) resources.</t>
  </si>
  <si>
    <t>SOAP is a lightweight protocol intended for exchanging structured information in a decentralized, distributed environment. "Part 1: Messaging Framework" defines, using XML technologies, an extensible messaging framework containing a message construct that can be exchanged over a variety of underlying protocols.</t>
  </si>
  <si>
    <t>CAMSS Assessment of SOAP EIF Scenario v1.0.0; CAMSS Assessment of SOAP EIF Scenario v2.0.0</t>
  </si>
  <si>
    <t>84%AssessmentScoreAverage; 84%AssessmentScoreAverage</t>
  </si>
  <si>
    <t>ServiceRegistryDataObject</t>
  </si>
  <si>
    <t>ISO/IEC 19086-1:2016 is for the benefit and use of both cloud service providers and cloud service customers. The aim is to avoid confusion and facilitate a common understanding between cloud service providers and cloud service customers. Cloud service agreements and their associated cloud SLAs vary between cloud service providers, and in some cases different cloud service customers can negotiate different contract terms with the same cloud service provider for the same cloud service. This document aims to assist cloud service customers when they compare cloud services from different cloud service providers.</t>
  </si>
  <si>
    <t>COBIT is a business-focused framework for IT management and governance, defined as a set of generic processes for IT management, key process activities, process objectives, performance measures and a basic maturity model. The specification is related to COSO, ITIL, BiSL, ISO 27000, CMMI, TOGAF and PMBOK.</t>
  </si>
  <si>
    <t>The DCAT-AP High Value Datasets (HVD) specification is a framework used in Europe for categorizing and managing datasets deemed as high-value. These datasets are grouped into six thematic categories, including geospatial, environment, meteorological, statistical, company information, and mobility</t>
  </si>
  <si>
    <t>The purpose of XFDL is to solve the set of problems associated with the digital representation of complex forms such as those found in business and public administration.</t>
  </si>
  <si>
    <t>CAMSS Assessment of XFDL EIF Scenario v1.0.0</t>
  </si>
  <si>
    <t>FormsManagementApplicationComponent</t>
  </si>
  <si>
    <t>Linked Data Notifications is a protocol that describes how servers (receivers) can have messages pushed to them by applications (senders), as well as how other applications (consumers) may retrieve those messages. Any resource can advertise a receiving endpoint (Inbox) for the messages. Messages are expressed in RDF, and can contain any data.</t>
  </si>
  <si>
    <t>OpenID Connect (OIDC) is an open standard and a simple identity layer built on top of the OAuth 2.0 protocol. Developed by the OpenID Foundation, it enables clients (also known as relying parties) to verify the identity of end-users based on authentication carried out by an authorisation server (identity provider), and to obtain basic profile information in an interoperable, REST-like manner. OIDC simplifies user login by allowing secure single sign-on (SSO) across multiple, unrelated websites without the need for separate credentials for each, thereby reducing the reliance on site-specific authentication systems.</t>
  </si>
  <si>
    <t>The RFC 4122 specification defines a Uniform Resource Name namespace for UUIDs (Universally Unique IDentifier), also known as GUIDs (Globally Unique IDentifier). These identifiers allow to categorise and organise information by non repeteable ID's.</t>
  </si>
  <si>
    <t>The MASVS standard provides a clear and concise set of guidelines and best practices for assessing and enhancing the security of mobile applications. I addition, MASVS is designed to be used as a metric, guidance, and baseline for mobile app security verification, serving as a valuable resource for developers, application owners, and security professionals.</t>
  </si>
  <si>
    <t>TS 133 501 5G specifies the security architecture, i.e., the security features and the security mechanisms for the 5G System and the 5G Core, and the security procedures performed within the 5G System including the 5G Core and the 5G New Radio.</t>
  </si>
  <si>
    <t>The NGSI-LD information model provides a formal basis for representing property graphs using RDF, RDFS and OWL. The specification allows conversion between datasets based on the property graph model, on the one hand, and linked datasets that rely on the RDF framework, on the other. There is also an API (ETSI GS CIM 009) aimed at enabling applications to discover, access, update and manage data and contextual information from a wide variety of sources.</t>
  </si>
  <si>
    <t>ITU-T X.1752 analyses security threats and challenges for big data infrastructure and big data platform and specifies a reference framework for mapping security guidelines against threats for the big data infrastructure and platform.</t>
  </si>
  <si>
    <t>The OASIS ebXML Messaging Protocol Binding for RegRep defines a messaging protocol binding for the OASIS ebXML RegRep 4.0 specification. It supports all ebXML RegRep service interfaces specified in ebXML RegRep 4.0 Part 2 (ebRS), allowing RegRep users to take advantage of ebXML Messaging's advanced security features, among other capabilities.</t>
  </si>
  <si>
    <t>UAAG is a guidelines that ensure that all users, specially those with disabilities, have the same degree of comfort when accessing the web.</t>
  </si>
  <si>
    <t>The present document identifies a framework of actions that should be taken by an organization to enable migration to a 
Fully Quantum Safe Cryptographic State (FQSCS). The migration framework, and the migration plan that documents it, 
comprises the following three stages: 
1) Inventory compilation. 
2) Preparation of the migration plan. 
3) Migration execution. 
The present document describes the activities that fulfil each of these stages. The rationale for, and purpose of, 
migration is to mitigate the existential risk from Quantum Computing to cryptographic assets that is documented in 
ETSI GR QSC 004 [i.1] and in ETSI EG 203 310 [i.2].</t>
  </si>
  <si>
    <t>The Catalogue of Services action sets out to assist administrations by developing an integrated view of these existing life events, business events and public services</t>
  </si>
  <si>
    <t>ISO/IEC 29500-3:2015 provides the rules and guidelines for building Office Open XML (OOXML) documents that can evolve over time and be extended by different applications while still maintaining a reasonable level of interoperability.</t>
  </si>
  <si>
    <t>RML, a language for expressing customized mappings from heterogeneous data structures and serializations to the RDF data model (currently defined for sources in structured format, e.g. databases as in [R2RML] and CSV, TSV, XML and JSON data sources) to RDF datasets. Such mappings describe how existing data can be represented using the RDF data model. RML is based on and extends [R2RML]. R2RML is defined to express customized mappings only from relational databases to RDF datasets.</t>
  </si>
  <si>
    <t>The GXFS Authentication/Authorization specification describes the functions, restrictions, and technical requirements for authentication and authorisation, emphasising integration with existing IAM systems using standard protocols such as OpenID Connect and OAuth2. The key focus is on incorporating Self-Sovereign Identity (SSI) functionality.</t>
  </si>
  <si>
    <t>GraphQL is an open-source query and data manipulation language for APIs, and works as an API endpoint. The specification works as an API endpoint, providing flexibility to any user interested in defining data schemas and querying data from one or multiple systems or servers.</t>
  </si>
  <si>
    <t>CAMSS Assessment of GraphQL EIF Scenario v1.0.0</t>
  </si>
  <si>
    <t>76%AssessmentScoreAverage</t>
  </si>
  <si>
    <t>KnowledgeDiscoveryApplicationService</t>
  </si>
  <si>
    <t>GraphQLServerTechnologyService</t>
  </si>
  <si>
    <t>GraphDatabaseManagerTechnologyService</t>
  </si>
  <si>
    <t>VirtualDatasetDataObject</t>
  </si>
  <si>
    <t>OAIS defines a model, a representation, of how a (digital) archival system preserves information and makes it available to a designated community. It defines the semantics for the internal and external interfaces encompassing archival functions, and identifies a set of high-level services at these interfaces, as well as best practices and recommendations.</t>
  </si>
  <si>
    <t>CAMSS Assessment of OAIS EIF Scenario v1.0.0</t>
  </si>
  <si>
    <t>The IDS-G DAPS specification is part of the International Data Spaces (IDS) initiative, which aims to enable secure and sovereign data sharing across organizations. Moreover, the infrastructure component DAPS in a given IDS ecosystem enables enrichment of identities of organisations and connectors with additional attributes. DAPS is an attribute server that issues OAuth2 access tokens to International Data Spaces connectors.</t>
  </si>
  <si>
    <t>CAMSS Assessment of DAPS EIF Scenario v1.0.0</t>
  </si>
  <si>
    <t>75.79%AssessmentScoreAverage</t>
  </si>
  <si>
    <t>The PEPPOL Directory describes a policy and guidelines for the use of identifiers within the PEPPOL e-delivery network.</t>
  </si>
  <si>
    <t>OWL2 is an initiative that focuses its efforts on providing design patterns for the development of Ontologies.</t>
  </si>
  <si>
    <t>CAMSS Assessment of OWL2 EIF Scenario v1.0.0</t>
  </si>
  <si>
    <t>87%StrengthOfAssessmentScoreAverage</t>
  </si>
  <si>
    <t>OpenSearch is a community-driven, Apache 2.0-licensed open source search and analytics suite that makes it easy to ingest, search, visualize, and analyze data. Developers build with OpenSearch for use cases such as application search, log analytics, data observability, data ingestion, and more.</t>
  </si>
  <si>
    <t>Representational state transfer (REST) is a software architectural style which uses a subset of HTTP. It is commonly used to create interactive applications that use Web services. A Web service that follows these guidelines is called RESTful.</t>
  </si>
  <si>
    <t>CAMSS Assessment of REST EIF Scenario v1.0.0</t>
  </si>
  <si>
    <t>The MyData Service Registry Specification maintains a database for service registration and enables searching for compatible (discovery) services.</t>
  </si>
  <si>
    <t>The IoT Big Data Harmonised Data Model is a framework designed to standardise the way data is collected, processed, and shared within the Internet of Things (IoT) ecosystem.</t>
  </si>
  <si>
    <t>This Specification establishes control objectives, controls and guidelines for implementing controls, to meet the requirements identified by a risk and impact assessment related to the protection of PII. In particular, this Specification specifies guidelines based on ISO/IEC 27002, taking into consideration the requirements for processing PII that may be applicable within the context of an organization's information security risk environment(s).</t>
  </si>
  <si>
    <t>The RFC 2119 specification is addressed to explain the mainig of certain words in RFC documents. In many IETF documents, several words, when they are in all capitals, are used to signify the requirements in the specification.  This specification defines how those words should be interpreted.</t>
  </si>
  <si>
    <t>RFB ("remote framebuffer") is a simple protocol for remote access to graphical user interfaces that allows a client to view and control a window system on another computer.</t>
  </si>
  <si>
    <t>RemoteDesktopTechnologyService</t>
  </si>
  <si>
    <t>The ISO/IEC 29500-4:2016 primary goal is to ease the adoption of OOXML by ensuring a degree of compatibility and enabling a smoother migration process for users and applications that previously relied on binary formats.</t>
  </si>
  <si>
    <t>The ETSI TS 103 828 specification is addressed to give clear guidelines on how the SAREF suite can fill important gaps and be expanded to model complex digital twins (DTs). This specification helps engineers build better DT systems that handle data well and make sure data collection is accurate, which improves the overall reliability of these systems.</t>
  </si>
  <si>
    <t>Linked Data Event Streams uses the TREE specification for its collection and pagination features, compatible with other specifications such as DCAT v2.</t>
  </si>
  <si>
    <t>CAMSS Assessment of LDES EIF Scenario v1.0.0</t>
  </si>
  <si>
    <t>The Data Act is a key pillar of the European data strategy for the Digital Decade's objective of advancing digital transformationon. This regulation harmonises rules on fair access to and use of data.</t>
  </si>
  <si>
    <t>Recommendation ITU-T X.1604 analyses security threats and challenges on Network as a Service (NaaS) in cloud computing and specifies security requirements of NaaS in NaaS application, NaaS platform and NaaS connectivity aspects based on corresponding cloud capability types.</t>
  </si>
  <si>
    <t>Legal Act n a framework for the free flow of non-personal data in the European Union</t>
  </si>
  <si>
    <t>This specification describes enhancements to SOAP messaging to provide message integrity and confidentiality. The specified mechanisms can be used to accommodate a wide variety of security models and encryption technologies.</t>
  </si>
  <si>
    <t>CAMSS Assessment of WSS EIF Scenario v1.0.0</t>
  </si>
  <si>
    <t>76%StrengthOfAssessmentScoreAverage</t>
  </si>
  <si>
    <t>Legal act providing a common scope on the context of European Public services and taxation aspects.</t>
  </si>
  <si>
    <t>ETSI EN 319 142-2 primarily contains a profile for the use of PDF signatures, as described in ISO 32000-1, and based on the IETF Cryptographic Message Syntax (CMS) digital signatures, which enables greater interoperability of PDF signatures by providing additional restrictions beyond those of ISO 32000-1. The specification also contains a second set of profiles that extend the scope of the ETSI EN 319 142-1 profile, enhancing the interoperability of PAdES signatures.</t>
  </si>
  <si>
    <t>The RFC 8288 specification defines a model for the relationships between resources on the Web (links) and the type of those relationships (link relation types). It also defines the serialisation of such links in HTTP headers with the Link header field.</t>
  </si>
  <si>
    <t>The OCF specification is a framework that helps organisations create IoT solutions that conform to a single open IoT interoperability specification, promoting seamless and secure interaction between them. ISO/IEC 30118:2021 also distributes OCF specifications (https://www.iso.org/standard/53238.html).</t>
  </si>
  <si>
    <t>The PEPPOL Message Envelope specification is a customisation of the Standard Business Document Header (SBDH). The message envelope is implemented in systems that issue business documents transport, used by service providers to route the message to the receiver's Access Point.</t>
  </si>
  <si>
    <t>MyData Data Connection provides a mechanism to transfer data from the data owner database to a third-party system.</t>
  </si>
  <si>
    <t>This document defines terms for identity management, and specifies core concepts of identity and identity management and their relationships.</t>
  </si>
  <si>
    <t>All representations of data that must be encoded for the need of interoperability</t>
  </si>
  <si>
    <t>Avro is a row-oriented remote procedure call and data serialisation framework developed within Apache's Hadoop project. It uses JSON for defining data types and protocols, and serialises data in a compact binary format.</t>
  </si>
  <si>
    <t>ETSI EN 319 411-1 sets out the policy and security requirements for Trust Service Providers (TSPs) issuing public key certificates, including certificates for trusted websites. Its aim is to ensure trust in electronic transactions through the issuance, maintenance, and lifecycle management of these certificates.</t>
  </si>
  <si>
    <t>E-ARK SIP belongs to the E-ARK CSIP suite of specifications used to transmit, describe and preserve digital data. E-ARK SIP defines a general structure for a presentation information package format suitable for a wide variety of archival resources (e.g. documents, image collections, databases or geospatial data), and enhances interoperability in archives.</t>
  </si>
  <si>
    <t>The ETSI TR 103 603 specification gives advice to service providers and standard makers . Its goal is to make sure that users have all the information they need to make good decisions about which services to use. In this context, the specification helps guide service providers to make sure they give users the right information and create services that meet user needs, even if multiple suppliers are involved.</t>
  </si>
  <si>
    <t>The Guidance on eDelivery Digital Certificates specification describes the requirements and recommendations to be considered when using the building block eDelivery: that is, when using the eDelivery Access Point specifications, Domibus, the eDelivery SML and the eDelivery SMP specifications.</t>
  </si>
  <si>
    <t>The Peppol Policy for Transport Security specification covers policies on the use of TLS certificates and configurations in Peppol e-delivery Networks, as these certificates are not supplied by PEPPOL (OpenPeppol) but issued by third party Certificate Authorities.</t>
  </si>
  <si>
    <t>ISO/IEC 19944-1:2020 provides a set of concepts and definitions to provide guidance on how data is used in a cloud computing ecosystem between cloud services, cloud service customers, cloud service users and their devices. The specification includes a data taxonomy and a data use declaration structure, defining aspects that help maintain control of the associated location of devices and identity issues arising from such use.</t>
  </si>
  <si>
    <t>CAMSS Assessment of ISO 19944-1 EIF Scenario v1.0.0</t>
  </si>
  <si>
    <t>79%StrengthOfAssessmentScoreAverage</t>
  </si>
  <si>
    <t>The XSD defining the types used to report step output</t>
  </si>
  <si>
    <t>Legal instrument that on electronic identification and trust services for electronic transactions in the internal market</t>
  </si>
  <si>
    <t>Multipurpose Internet Mail Extensions (MIME) is an Internet standard that extends the format of email messages to support text in character sets other than ASCII, as well as attachments of audio, video, images, and application programs.</t>
  </si>
  <si>
    <t>CAMSS Assessment of MIME EIF Scenario v1.0.0; CAMSS Assessment of MIME EIF Scenario v2.0.0</t>
  </si>
  <si>
    <t>82%AssessmentScoreAverage; 82%AssessmentScoreAverage</t>
  </si>
  <si>
    <t>ISO/IEC 11179-1 defines a framework for embedding individual parts of ISO/IEC 11179 describing metadata and metadata registries.</t>
  </si>
  <si>
    <t>IUDX is an open source software platform that will facilitate secure and authenticated exchange of data amongst various data platforms, 3rd party applications, data producers and consumers, both within a city to begin with, and scaled up across cities eventually at a national level, in a uniform &amp; seamless way.</t>
  </si>
  <si>
    <t>Point of Single Contact information regarding its development at European Level.</t>
  </si>
  <si>
    <t>This specification specifies a protocol useful in determining the current status of a digital certificate without requiring Certificate Revocation Lists (CRLs).</t>
  </si>
  <si>
    <t>CAMSS Assessment of OCSP EIF Scenario v1.0.0</t>
  </si>
  <si>
    <t>ISO/IEC/IEEE 24774:2021 outlines how to define and describe processes, including the requirements and recommendations for their formulation. It covers the elements and rules for process description and the use of process views. It also explains how to define conformance to a process based on the document’s guidelines. However, it does not address how processes are combined into larger frameworks, how to assess process performance, or evaluate process outputs. Notably, it references ISO/IEC/IEEE standards 12207 and 15288 for software and system engineering process descriptions and notes that ISO/IEC/IEEE 15289 provides additional details on these processes.</t>
  </si>
  <si>
    <t>The OASIS LegalDocML TC works to advance worldwide best practices for the use of XML within a Parliaments', Assembly's or Congress' document management processes, within courts' and tribunals' judgment management systems, and generally in legal documents including contracts.</t>
  </si>
  <si>
    <t>CAMSS Assessment of LegalDocML EIF Scenario v1.0.0</t>
  </si>
  <si>
    <t>PROF is an RDF vocabulary for the description of profiles of specifications, which increases interoperability of information resources by introducing constraints, extensions or combinations on the use of more general specifications.</t>
  </si>
  <si>
    <t>PPTP specifies a tunneling protocol which allows the Point to Point Protocol (PPP) to be tunneled through an IP network.</t>
  </si>
  <si>
    <t>The ETSI TS 133 501 specification outlines the security architecture and procedures for the 5G System. It provides detailed guidelines on how to secure various aspects of the 5G network, including the 5G Core Network (5GC), User Equipment (UE), and the Radio Access Network (RAN).</t>
  </si>
  <si>
    <t>The OpenContainers Image Spec specification is addressed to enable the creation of interoperable tools for building, transporting, and preparing a container image to run.</t>
  </si>
  <si>
    <t>The Smart Applications REFerence (SAREF) ontology is a shared model of consensus that facilitates the matching of existing assets in the smart applications domain.</t>
  </si>
  <si>
    <t>CAMSS Assessment of SAREF EIF Scenario v1.0.0</t>
  </si>
  <si>
    <t>78.92%AssessmentScoreAverage</t>
  </si>
  <si>
    <t>The Metadata Binding Mechanism provides consistency in a data-centric environment to ensure that metadata is linked to information throughout its lifecycle and across different businesses.</t>
  </si>
  <si>
    <t>The ISO/IEC 20944-1:2013 is a part of a series of standards developed by ISO and IEC, that specifies the framework for the interoperability of metadata registries (MDR). The primary focus of this part of the standard is on the framework for specifying the principles and concepts needed to enable interoperability between different metadata registries.</t>
  </si>
  <si>
    <t>Solid allows users to manage their data securely in decentralised data stores, Pods.</t>
  </si>
  <si>
    <t>ISO 17100:2015 provides requirements for the core processes, resources, and other aspects necessary for the delivery of a quality translation service that meets applicable specifications.</t>
  </si>
  <si>
    <t>MachineTranslationApplicationService</t>
  </si>
  <si>
    <t>MachineTranslationApplicationComponent</t>
  </si>
  <si>
    <t>The Spatial Data on the Web Best Practices document provides a set of recommendations that are applicable to the publication of spatial data (or, location information) on the Web, meaning data that describes anything with spatial extent (i.e. size, shape or position). Aspects from the W3C Data on the Web Best Practices are taken into account in these recommendations.</t>
  </si>
  <si>
    <t>This document defines the architectural design, communicaon protocols, application programming interfaces, data structures, and technical requirements needed to establish interoperable solutions for cloud-based digital signatures.</t>
  </si>
  <si>
    <t>The File Transfer Protocol (FTP) is a standard network protocol used for the transfer of computer files between a client and server on a network.</t>
  </si>
  <si>
    <t>PrivateNetworkCommunicationNetwork</t>
  </si>
  <si>
    <t>CAMSS Assessment of FTP EIF Scenario v2.0.0; CAMSS Assessment of FTP EIF Scenario v1.0.0</t>
  </si>
  <si>
    <t>83%AssessmentScoreAverage; 83%AssessmentScoreAverage</t>
  </si>
  <si>
    <t>OID4VCI, also known as OpenID for Verifiable Credential Issuance, defines an OAuth 2.0 protected API for issuing Verifiable Credentials. These credentials can be of various formats, such as SD-JWT VC, mDL, and W3C Verifiable Credentials. The specification extends OAuth 2.0 and OpenID Connect to support secure issuance and management of these credentials, leveraging existing authentication and authorization frameworks for enhanced interoperability and security​</t>
  </si>
  <si>
    <t>EBSI-VC outlines the standards and protocols for issuing, managing, and verifying digital credentials using blockchain technology. It aims to ensure secure, interoperable, and decentralized identity management within the European Union.</t>
  </si>
  <si>
    <t>In the context of the eDelivery access points specified in the eIDAS regulation, the Secutiry Controls - Linking eIDAS (Q)ERDS &amp; CEF eDelivery specification addresses the security controls and recommendations applicable to the eDelivery message exchange.</t>
  </si>
  <si>
    <t>The purpose of ETSI EN 319 132-2 is to ensure that electronic signatures can be created and validated anywhere in Europe according to the eIDAS Regulation, through Implementing Decision 2015/1506/EU, by defining the baseline profile of XAdES. Extended XAdES signatures offer a higher degree of optionality than the basic XAdES signatures specified in ETSI EN 319 132-1.</t>
  </si>
  <si>
    <t>The OData protocol is an application-level specification for interacting with data through RESTful interfaces.The specification supports the description of data models and the editing and querying of data according tothose models.</t>
  </si>
  <si>
    <t>CAMSS Assessment of OData EIF Scenario v1.0.0</t>
  </si>
  <si>
    <t>81%AssessmentScoreAverage</t>
  </si>
  <si>
    <t>The Layer 3 PPVPNs framework is intended to contribute to the standardisation of protocols and mechanisms to produce a consistent description of relevant technical issues that are important in the design of Layer 3 PPVPN solutions.</t>
  </si>
  <si>
    <t>Verifiable Trust Model by EBSI contains permissions and policies in the context of Verifiable Credentials (VCs). Permissions allow governance or issuance in the Trust Model, while policies are used to define who made the accreditation, which Trust Framework is followed, and the legal basis of it. Trust Model participants make the whole Verifiable Trust Model publicly available by registering it in the EBSI Trusted Issuers Registry.</t>
  </si>
  <si>
    <t>ETSI GR CIM 018 examines solutions to verify integrity, and to precisely evaluate attribution and authenticity of NGSI-LD Context Information throughout its lifecycle.</t>
  </si>
  <si>
    <t>Legal acte stablishing the European Electronic Communications Code</t>
  </si>
  <si>
    <t>EBSI-DID defines the methods for creating, resolving, and managing Decentralized Identifiers (DIDs) within the European Blockchain Services Infrastructure (EBSI).</t>
  </si>
  <si>
    <t>This communication from the European Commission consists of a strategic plan for the implementation of a European Interoperability Framework.</t>
  </si>
  <si>
    <t>LegislationOnDigitalPublicServicesBusinessObject</t>
  </si>
  <si>
    <t>Legal act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t>
  </si>
  <si>
    <t>The Transformational Government Framework (TGF) describes guidelines with the aim of bringing about change within the public sector and in its relations with society by providing the design and implementation of an effective programme of technology-enabled change at governmental level.</t>
  </si>
  <si>
    <t>AdaptiveConfigurationBusinessInterface</t>
  </si>
  <si>
    <t>CAMSS Assessment of TGF EIF Scenario v1.0.0</t>
  </si>
  <si>
    <t>DigitalPublicServiceDeliveryBusinessInterface</t>
  </si>
  <si>
    <t>DesktopAppBusinessInterface</t>
  </si>
  <si>
    <t>MobileAppBusinessInterface</t>
  </si>
  <si>
    <t>ServiceAppBusinessInterface</t>
  </si>
  <si>
    <t>WebAppBusinessInterface</t>
  </si>
  <si>
    <t>The Resource Public Key Infrastructure (RPKI) architecture describes an architecture for an infrastructure to to support the security enhancement of the Border Gateway Protocol (BGP-4) routing for the Internet. The architecture encompasses Public Key Infrastructure (RPKI) resources, which represents the IP address space allocation hierarchy (X.509 PKI) and Autonomous System (AS) numbers; digitally signed routing objects to provide routing security support; and a distributed repository system to maintain PKI objects and signed routing objects.</t>
  </si>
  <si>
    <t>The model provides a common basis for the coordination of standards development for the purpose of systems interconnection, while allowing existing standards to be placed into perspective within the overall Reference Model. The model identifies areas for developing or improving standards. It does not intend to serve as an implementation specification.</t>
  </si>
  <si>
    <t>CAMSS Assessment of ISO 7498-1 EIF Scenario v1.0.0; CAMSS Assessment of ISO 7498-1 EIF Scenario v2.0.0</t>
  </si>
  <si>
    <t>78.95%AssessmentScoreAverage; 77.3%AssessmentScoreAverage</t>
  </si>
  <si>
    <t>This Recommendation harmonizes and specifies the end-to-end oneM2M functional architecture in the M2M service layer.</t>
  </si>
  <si>
    <t>The ETSI EN 319 412-3 specification is designed to increase the interoperability and trustworthiness of certificate profiles across different countries by establishing a common method for creating them. In this context, the specification defines the requirements and attributes that a certificate must have.</t>
  </si>
  <si>
    <t>DMTF’s Open Virtualization Format (OVF) standard provides the industry with a standard packaging format for software solutions based on virtual systems, solving critical business needs for software vendors and cloud computing service providers</t>
  </si>
  <si>
    <t>The RosettaNet Implementation Framework (RNIF) defines the message exchange protocol at the transport, routing, packaging and transaction levels. RNIF defines how messages in any business domain are to be exchanged, regardless of their content.</t>
  </si>
  <si>
    <t>JSLT is a complete query and transformation language for JSON. </t>
  </si>
  <si>
    <t>Communication from the Commission and other European institutions regarding the development of Europe digital environment. (Shaping Europe's digital future)</t>
  </si>
  <si>
    <t>The SHACL Shapes Constraint Language specification is a language for validating RDF graphs against a set of conditions. These conditions are provided as shapes and other constructs expressed in the form of an RDF graph.</t>
  </si>
  <si>
    <t>CAMSS Assessment of SHACL EIF Scenario v2.0.0; CAMSS Assessment of SHACL EIF Scenario v1.0.0</t>
  </si>
  <si>
    <t>100%StrengthOfAssessmentScoreAverage; 65%AssessmentScoreAverage</t>
  </si>
  <si>
    <t>The API Blueprint specification is essentially a set of semantic assumptions laid on top of the Markdown syntax used to describe a web API. In this sense, it allows for defining APIs in a format that is easy for humans to read while also ensuring that machines can process the documentation.</t>
  </si>
  <si>
    <t>BRegDCAT-AP s a standard data model and specification for base registries access and interconnection, ensuring standardisation and interoperability. It is based on DCAT-AP.</t>
  </si>
  <si>
    <t>The Arazzo specification defines a standard, programming language-agnostic mechanism to express sequences of calls and articulate the dependencies between them to achieve a particular outcome, or set of outcomes, when dealing with API descriptions (such as OpenAPI descriptions).</t>
  </si>
  <si>
    <t>WAI-ARIA, the Accessible Rich Internet Applications Suite, defines a way to make Web content and Web applications more accessible to people with disabilities. It especially helps with dynamic content and advanced user interface controls developed with HTML, JavaScript, and related technologies.</t>
  </si>
  <si>
    <t>CAMSS Assessment of WAI-ARIA EIF Scenario v1.0.0; CAMSS Assessment of WAI-ARIA EIF Scenario v2.0.0</t>
  </si>
  <si>
    <t>76%StrengthOfAssessmentScoreAverage; 76.0%AssessmentScoreAverage</t>
  </si>
  <si>
    <t>The RFC 3647 specification provides a framework for specifying Certificate Policies (CPs) and Certification Practices Statements (CPSs) for X.509 public key certificates. These certificates are used in a Public Key Infrastructure (PKI) to ensure secure digital communication through encryption, authentication, and data integrity.</t>
  </si>
  <si>
    <t>The Open Container Initiative Runtime Specification aims to specify the configuration, execution environment, and lifecycle of a container. Moreover, it outlines how to run a “filesystem bundle” that is unpacked on disk, and it can be complementary to the other OpenContainers specifications.</t>
  </si>
  <si>
    <t>ContainersOrchestratorTechnologyService</t>
  </si>
  <si>
    <t>The ONB - 004 specification enables the Registration Service containing all the API calls that are needed for the Registration process, during the Interaction with the Registration Portal.</t>
  </si>
  <si>
    <t>A CEN Workshop Agreement (CWA) is a document published by CEN in at least one of the CEN three official languages.</t>
  </si>
  <si>
    <t>WSDL consists of an XML-based interface description language that is used for describing the functionality offered by a machine interface.</t>
  </si>
  <si>
    <t>CAMSS Assessment of WSDL EIF Scenario v2.0.0; CAMSS Assessment of WSDL EIF Scenario v1.0.0</t>
  </si>
  <si>
    <t>86%StrengthOfAssessmentScoreAverage; 81.05%AssessmentScoreAverage</t>
  </si>
  <si>
    <t>The Digital Europa Thesaurus (DET) is a multilingual thesaurus covering the main subject matters of the European Commission's public communications.</t>
  </si>
  <si>
    <t>The Cross Industry Invoice Specification implements the Solution Building Block (SBB) "e-Invoicing Semantic Data Model. This SBB implements the ABB "Semantic Interoperability Agreement"</t>
  </si>
  <si>
    <t>ISO/IEC 20802-2:2016 extends ISO/IEC 20802-1, the core specification of the Open Data Protocol (OData) for representing and interacting with structured content, by defining representations for Odata requests and responses using a JSON format.</t>
  </si>
  <si>
    <t>Legal act on establishing a single digital gateway to provide information, procedures, assistance and problem solving services</t>
  </si>
  <si>
    <t>The Metadata Encoding and Transmission Standard (METS) is a data encoding and transmission specification, implemented in XML, that provides the means for transmitting the metadata necessary both for the management of digital objects within a repository and for the exchange of those objects between repositories (or between repositories and their users).</t>
  </si>
  <si>
    <t>The (GA4GH) Data Use Ontology (DUO) includes terms describing data use conditions. DUO represents data use terms from three evolving efforts to standardize data use restrictions in the biomedical and genomics research domain: The NIH’s dbGaP data use categories, Consent Codes and the The Automated Data Access Matrix (ADA-M).</t>
  </si>
  <si>
    <t>Recommendation ITU-T Y.4464 includes an introduction to the Blockchain of Things (BoT), common characteristics and high-level requirements of the BoT, and relevant common capabilities and functionalities, as well as general procedures. The BoT operates in a decentralised environment established on blockchain-related technologies or is provided by a blockchain platform.</t>
  </si>
  <si>
    <t>This standard defines the way Earth Observation products metadata resources are organized and implemented in the Catalogue for discovery, retrieval and management.</t>
  </si>
  <si>
    <t>The JSON Lines specification defines a format for organising data where each line is a separate JSON object. Unlike JSON, which typically requires the full dataset to be read at once, JSON Lines allows data to be read and processed line by line, avoiding the need to load all information at once.</t>
  </si>
  <si>
    <t>OGC Catalogue interface standards specify the interfaces, bindings, and a framework for defining application profiles required to publish and access digital catalogues of metadata for geospatial data, services, and related resource information.</t>
  </si>
  <si>
    <t>ISO/IEC 29500-2 defines a set of conventions for packaging one or more interrelated streams of bytes (parts) as a single resource (packet).</t>
  </si>
  <si>
    <t>WebRTC defines a set of ECMAScript APIs in WebIDL to allow media and generic application data to be sent to and received from another browser or device in real-time.</t>
  </si>
  <si>
    <t>Core Public Service Vocabulary Application Profile</t>
  </si>
  <si>
    <t>The EU Vocabulary is a portal managed by the Publications Office of the European Union that contains as part of the core of contents for instance, the mapping between EuroVoc and other controlled vocabularies.</t>
  </si>
  <si>
    <t>Legal act on public procurement</t>
  </si>
  <si>
    <t>ISO/IEC/IEEE 24748-3:2020 is a guideline for the application of ISO/IEC/IEEE 12207:2017. This document establishes guidance to implement a common framework for software life cycle processes, with well-defined terminology, that can be referenced by the software industry. This document recommends methods and approaches suitable for a variety of life cycle models</t>
  </si>
  <si>
    <t>SNMP is an application-level protocol designed to monitor network infrastructure, and provides administrators with device-centric visibility.</t>
  </si>
  <si>
    <t>ManagementConsoleTechnologyService</t>
  </si>
  <si>
    <t>The ETL specification defines a set of information useful for the creation of ETL scripts. The Extraction, transformation and load of data is a key element for data warehousing, and the ETL system helps to ensure the consistency and data quality. Besides, it can as well enhance the presentation of the information contained in these Datawerehauses.</t>
  </si>
  <si>
    <t>Virtual I/O Device (VIRTIO) describes the virtio device family, a virtualisation standard for network and disk device drivers.</t>
  </si>
  <si>
    <t>The Role-Based Access Control (RBAC) specification is a security model that assigns permissions to roles based on job functions. Users are then assigned to these roles, inheriting the associated permissions. This approach simplifies management, enhances security, and ensures users have only the access they need. RBAC also supports role hierarchies and constraints to enforce policies like separation of duties.</t>
  </si>
  <si>
    <t>The CSSV is the vocabulary used for the information exchange related to standards and specifications amongst software solutions, as well as, it is the key element for the development of the new release of the EIRA Library of Interoperability Specifications (ELIS)</t>
  </si>
  <si>
    <t>Defining the schema and taxonomy for collaborative automated course of action operations (CACAO) security playbooks and how these playbooks can be created, documented, and shared in a structured and standardized way across organizational boundaries and technological solutions.</t>
  </si>
  <si>
    <t>OAuth 2.0 Authorization Server Metadata enables an OAuth 2.0 client to obtain the information needed to interact with an OAuth 2.0 authorization server, including its endpoint locations and authorization server capabilities.</t>
  </si>
  <si>
    <t>RFC 5448 extends the RFC 3748 specification, which defines a framework for supporting multiple authentication methods. Building on this framework, RFC 5448 specifies EAP-AKA′, an enhanced authentication method that strengthens the security of verifying users or devices in mobile and wireless networks, thereby providing a more reliable basis for authorising access to network services.</t>
  </si>
  <si>
    <t>SAML 2.0 is a widely used XML-based framework for communicating user authentication, entitlement, and attribute information. It can be used for electronic identification of users by an identity management service.</t>
  </si>
  <si>
    <t>CAMSS Assessment of SAML EIF Scenario v1.0.0; CAMSS Assessment of SAML EIF Scenario v2.0.0</t>
  </si>
  <si>
    <t>84%StrengthOfAssessmentScoreAverage; 84%StrengthOfAssessmentScoreAverage</t>
  </si>
  <si>
    <t>IEEE 7001 sets out metrics for measuring AI trustworthiness as mentioned in the AI Watch report (). The standard is broadly applicable to provide measurable and verifiable levels of transparency so that autonomous systems, including physical and non-physical systems, can be objectively evaluated and compliance levels, determined. The IEEE Grant Program grants public access to view or download this standard.</t>
  </si>
  <si>
    <t>Domibus is the Open Source project of the AS4 Access Point maintained by the European Commission. It is a sample software implementation that follows the AS4 profile developed by e-SENS. It can be used to familiarise oneself with this profile in a testing environment or as a functional solution in production.</t>
  </si>
  <si>
    <t>Codelists as language codes are commonly used as reference data to organise or categorise other data, or for relating data to information both within and beyond the boundaries of the enterprise. The standard is used by the EU publications office.</t>
  </si>
  <si>
    <t>CAMSS Assessment of ISO 639-2 EIF Scenario v1.0.0</t>
  </si>
  <si>
    <t>The Federated Catalogue specification is designed to facilitate the exchange of Self-Descriptions across various ecosystems. At its core, it includes a stateless Self-Description browser that enables users to interact with and access these descriptions.</t>
  </si>
  <si>
    <t>NcML is an XML representation of netCDF metadata, (approximately) the header information one gets from a netCDF file with the "ncdump -h" command. NcML is similar to the netCDF CDL (network Common data form Description Language), except it uses XML syntax.</t>
  </si>
  <si>
    <t>Universal Business Language (UBL) is an open library of standard electronic XML business documents for procurement and transportation.</t>
  </si>
  <si>
    <t>CAMSS Assessment of UBL EIF Scenario v1.0.0</t>
  </si>
  <si>
    <t>92%AssessmentScoreAverage</t>
  </si>
  <si>
    <t>The AMQP Claims-based Security specification is an extension of the Advanced Message Queuing Protocol (AMQP) that defines an authorization mechanism based on claims-based security tokens. By leveraging claims-based tokens, the specification enhances security and flexibility in managing permissions and access rights.</t>
  </si>
  <si>
    <t>The Framework for Layer 2 Virtual Private Networks (L2VPNs, also known as Layer 2 VPNs, Layer-2 VPNs) proposes a reference model for provider-provisioned L2VPNs and their functional components. The specification is intended to help standardise protocols and mechanisms to support interoperable L2VPNs.</t>
  </si>
  <si>
    <t>EPUB Open Container Format (OCF) defines a file format comprising an EPUB publication as an interchangeable and deliverable format. OCF is the container technology required for EPUB publications.</t>
  </si>
  <si>
    <t>DITA chunks the document content into small self-contained topics (e.g., Task, Concept and Reference), which facilitates reuse in different applications, and allows organizations to define specific information structures without renouncing the use of generic tools.</t>
  </si>
  <si>
    <t>ISO/IEC 21823-1:2019 specifies the framework and general requirements for interoperability in the Internet of Things (IoT), focusing on the ability of diverse systems to communicate, exchange data, and use information effectively.</t>
  </si>
  <si>
    <t>The DSS (Digital Signature Service) project is an open-source software library, aimed at providing implementation of the standards for Advanced Electronic Signature creation, augmentation and validation in line with European legislation and the eIDAS Regulation in particular.</t>
  </si>
  <si>
    <t>The eXtensible Access Control Markup Language (XACML) is a standard for expressing access control policies in a standardized, XML-based language.</t>
  </si>
  <si>
    <t>CAMSS Assessment of XACML EIF Scenario v2.0.0; CAMSS Assessment of XACML EIF Scenario v1.0.0</t>
  </si>
  <si>
    <t>88.89%StrengthOfAssessmentScoreAverage; 65%AssessmentScoreAverage</t>
  </si>
  <si>
    <t>ETSI TS 103 701 is a technical specification that provides a structured framework to assess the cybersecurity of consumer Internet of Things (IoT) devices. It translates the baseline security requirements defined in ETSI EN 303 645 into modular, testable criteria. The specification enables manufacturers, testers, and certification bodies to systematically evaluate IoT products for compliance through defined test cases and assessment methods. By doing so, it helps ensure that IoT devices implement essential security measures, protecting user data, maintaining confidentiality, and reducing vulnerabilities.</t>
  </si>
  <si>
    <t>UN/EDIFACT (the United Nations rules for Electronic Data Interchange for Administration, Commerce and Transport) comprise a set of internationally agreed standards, directories, and guidelines for the electronic interchange of structured data, between independent computerized information systems. Note that UN/EDIFACT Syntax 3 is superseded by UN/EDIFACT Syntax 4.</t>
  </si>
  <si>
    <t>The ITU-T Y.4903 specification establishes a framework of key performance indicators (KPIs) for smart and sustainable cities (SSCs). These KPIs are designed to assess the role and performance of information and communication technologies (ICTs) across three fundamental dimensions of a city: economy, environment, and society and culture.</t>
  </si>
  <si>
    <t>The EUR-Lex is the European Legislation Catalogue, or the online gateway to the European Legislation that ensures que reuse of legal resources helping the structural interoperability and legal interoperability.</t>
  </si>
  <si>
    <t>LegislationCatalogueBusinessObject</t>
  </si>
  <si>
    <t>Web Share API defines an API for sharing text, links and other content to an arbitrary destination of the user's choice.</t>
  </si>
  <si>
    <t>The Event Stream Extensions for AMQP specification defines a set of extensions for the Advanced Message Queuing Protocol (AMQP) to facilitate interaction with event stream engines. These extensions include annotations for partition selection and filter definitions for indicating offsets into an event stream to which a link shall be attached.</t>
  </si>
  <si>
    <t>RAML is a language for the definition of HTTP-based APIs that embody most or all of the principles of Representational State Transfer (REST). The RAML specification is an application of the YAML 1.2 specification. In this sense, the RAML specification provides mechanisms for defining practically-RESTful APIs, creating client/server source code, and comprehensively documenting the APIs for users.</t>
  </si>
  <si>
    <t>ITU-T X.1605 adresses Infrastructure as a Service (IaaS) platforms and virtualized services face different, and perhaps more, challenges and threats than traditional information technology infrastructure and application. IaaS platforms that share computing, storage and networking services need protections specific to threats in an IaaS environment. Recommendation ITU-T X.1605 documents security requirements of public IaaS in order to help IaaS providers to improve security of the IaaS platform throughout the planning, building and operating stages.</t>
  </si>
  <si>
    <t>eIDAS2 heralds a significant evolution in the management of electronic identification and signature within the European Union. Its primary aim is to enhance safety and flexibility, ensuring seamless utilization of digital identities across various contexts, including border crossings, online document signing, and accessing public services.</t>
  </si>
  <si>
    <t>Guidelines on how to elaborate an organistional interoperability agreement. These guideliens define what information an interoperability agreement should contain.</t>
  </si>
  <si>
    <t>The Microcks specification is a tool for mocking and testing APIs and microservices. It leverages API standards to provide a uniform and multi-protocol approach for simulating complex distributed environments and validating service components in isolation.</t>
  </si>
  <si>
    <t>The RFC 5280 specification defines standards for digital certificates and public key infrastructure (PKI), which are used to secure online communication. It ensures that websites and users can be authenticated, protecting sensitive data through encryption.</t>
  </si>
  <si>
    <t>Ajax (also AJAX /ˈshort for "Asynchronous JavaScript and XML" is a set of web development techniques using many web technologies on the client-side to create asynchronous web applications.</t>
  </si>
  <si>
    <t>The Standard Business Document Header (SBDH) provides a technical framework that enables the integration of documents between internal business applications or business-to-business infrastructures.</t>
  </si>
  <si>
    <t>The ISO/IEC 20546:2019 is a standard that provides guidelines on big data. It provides a conceptual overview of the field of big data, its relationship to other technical areas and standards efforts, and the concepts ascribed to big data that are not new to big data.</t>
  </si>
  <si>
    <t>The ETSI EN 319 142-1 specification aims to ensure that electronic signatures can be created and validated anywhere in Europe, and that they can be used for any transaction between an individual and a company, between two companies or between an individual and a government body.</t>
  </si>
  <si>
    <t>Semantic Interoperability agreements base on open standards and commonly agreed semantic [interoperability] specifications to establish the rules that enable the collaboration between peers when they extract, map and transform the data onto the external environment, and vice-versa when they transform/map and integrate the data from the external environment into the internal systems.</t>
  </si>
  <si>
    <t>GITB messaging services are key components used by the test bed to extend its communication capabilities. A messaging service allows the abstraction of messaging details behind logical operations to send and receive messages, the implementation details of which are contained within the service implementation.</t>
  </si>
  <si>
    <t>The Web Feature Service (WFS) represents a change in the way geographic information is created, modified and exchanged on the Internet. It specifies discovery operations, query operations, locking operations, transaction operations and operations to manage stored, parameterized query expressions.</t>
  </si>
  <si>
    <t>This document specifies requirements for an organization to establish, implement, maintain and continually improve a service management system (SMS). The requirements specified in this document include the planning, design, transition, delivery and improvement of services to meet the service requirements and deliver value. ISO/IEC 20000-1:2011 (previous version, 2.0.0) is for free access.</t>
  </si>
  <si>
    <t>CAMSS Assessment of PAdES Baseline Profile EIF Scenario v1.0.0</t>
  </si>
  <si>
    <t>The IDSA Rulebook serves several purposes regarding the development and operation of data spaces. The aim is to describe clearly which rules are mandatory and which are optional guidelines. This governance framework includes functional, technical, operational, and legal dimensions.</t>
  </si>
  <si>
    <t>ETSI EN 303 645 specifies high-level security and data protection provisions for consumer IoT devices that are connected to network infrastructure (such as the Internet or home network) and their interactions with associated services.</t>
  </si>
  <si>
    <t>Internet Protocol Security (IPsec) is a secure network protocol suite that authenticates and encrypts the packets of data sent over an internet protocol network. It is used in virtual private networks.</t>
  </si>
  <si>
    <t>CAMSS Assessment of IPSec EIF Scenario v3.0.0; CAMSS Assessment of IPSec EIF Scenario v2.0.0; CAMSS Assessment of IPSec EIF Scenario v1.0.0</t>
  </si>
  <si>
    <t>100%AssessmentScoreAverage; 77%StrengthOfAssessmentScoreAverage; 65%AssessmentScoreAverage</t>
  </si>
  <si>
    <t>MEC system that enables MEC applications to run efficiently and seamlessly in a multi-access network. The Multi-access Edge Computing framework shows the general entities involved, which can be grouped into system level, host level and network level entities.</t>
  </si>
  <si>
    <t>The Peppol BIS Billing is a Core Invoice Usage Specification (CIUS) of EN 16931, providing a set of specifications for implementing a Peppol business process and guiding for post-award.</t>
  </si>
  <si>
    <t>The RFC 3126 specification primary objective is to define a standardised format for electronic signatures that ensures their validity over extended periods, addressing concerns such as cryptographic algorithm obsolescence and potential key compromises.</t>
  </si>
  <si>
    <t>The public sector information is involved on the control and improvement of the communications between public administrations by reusing data.</t>
  </si>
  <si>
    <t>ISO/IEC 29500-1:2016 is the comprehensive technical specification that details the underlying XML structure and semantics of the various document types within the Office Open XML format. It is the primary reference for developers implementing software that reads, writes, or manipulates Office Open XML (OOXML) files.</t>
  </si>
  <si>
    <t>The Credential Transparency Description Language (CTDL) is a framework designed for describing credentials and related information.</t>
  </si>
  <si>
    <t>The Web Annotation Data Model specification defines a structured model and provides a format for sharing and reusing annotations across different hardware and software platforms.</t>
  </si>
  <si>
    <t>IDS-RAM provides an overview of the overall picture of specific architecture specifications that define the individual components of the International Data Spaces (Connector, Metadata Broker, App Store, among others).</t>
  </si>
  <si>
    <t>ISO 9241-11:2018 provides a framework for understanding the concept of usability and applying it to situations where people use interactive systems, and other types of systems, and products and services. ISO 9241-11:1998 is for free access.</t>
  </si>
  <si>
    <t>This document provides guidance on auditing management systems, including the principles of auditing, managing an audit programme and conducting management system audits, as well as guidance on the evaluation of competence of individuals involved in the audit process. These activities include the individual(s) managing the audit programme, auditors and audit teams. It is applicable to all organizations that need to plan and conduct internal or external audits of management systems or manage an audit programme. The application of this document to other types of audits is possible, provided that special consideration is given to the specific competence needed.</t>
  </si>
  <si>
    <t>Legal act providing a common scope on the context of European Public services and interoperability aspects.</t>
  </si>
  <si>
    <t>ISO/IEC 20933 specifies a framework for a real-time distributed access system, which includes, in addition to a modular system architecture for access to distributed systems (IDs, module functions, data exchange semantics), mechanisms for sending responses and for measuring performance by means of a time stamping function that can be used for the system evaluation.</t>
  </si>
  <si>
    <t>Java Specification Requests (JSRs) are used in the Java Community Process (JCP) to propose and describe specifications and standards for specific areas of Java functionality or technology. The family of specifications aims to create a standardised way to implement various features across Java applications.</t>
  </si>
  <si>
    <t>ExternalServiceTechnologyService</t>
  </si>
  <si>
    <t>AsyncAPI is a specification designed to describe message-driven APIs in a machine-readable format. It is protocol-agnostic, meaning it can be used for APIs operating over various protocols such as AMQP, MQTT, WebSockets, Kafka, STOMP, HTTP, Mercure, and more.  The specification outlines a set of files necessary to describe an application's API. These files can be leveraged to generate utilities like documentation, code, integration, and testing tools.</t>
  </si>
  <si>
    <t>L2TP, defined in RFC 2661, is an IETF Proposed Standard, and the integration of L2TP with IPSec is defined in RFC 3193. Implementations from Microsoft, Cisco, and Nortel Networks have been demonstrated to interoper-ate. L2TP/IPsec tunnels traffic, preserving the full end-to-end semantics of communications conducted inside the tunnel. It fully supports legacy address and host configuration technologies, such as Internet Protocol Control Protocol (IPCP). It is commonly used by customers in multivendor environments. It supports password authentication using PAP, CHAP, MS-CHAP, and MS-CHAP v2, and it supports strong authentication using EAP.</t>
  </si>
  <si>
    <t>This part of ISO/IEC 15944 addresses the basics of business transactions and e-business modelling principles, according to Open-edi scenarios and their components.</t>
  </si>
  <si>
    <t>The Core Person Vocabulary is a simplified, reusable and extensible data model that captures the fundamental characteristics of a person, e.g. the name, the gender, the date of birth, etc. This specification can be used as the foundation of a common export format for data in base registries.</t>
  </si>
  <si>
    <t>Non-binding legal instrument n recommended standard licences, datasets and charging for the reuse of documents.</t>
  </si>
  <si>
    <t>ITU-T X.1751 provides security guidelines for managing telecommunication big data services, emphasising the importance of lifecycle protection and subscriber consent. It outlines vulnerabilities and recommends safeguards throughout the data handling process, while noting that detailed protection mechanisms for specific data categories fall outside its scope.</t>
  </si>
  <si>
    <t>The IAM - 001 specification is addressed to unify the Digital Company Identity in a self sovereign manner. To ensure independence and data sovereignty from one identity provider this identity - as the summary of the describing attributes must be under the sovereignty of the respective partner company.</t>
  </si>
  <si>
    <t>The EuroSciVoc is the European Science Vocabulary (EuroSciVoc), the taxonomy of fields of science based on OECD's 2015 Frascati Manual taxonmy. It was extended with fields of science categories extracted from CORDIS content through a semi-automatic process developed with Natural Language Processing (NLP) techniques.</t>
  </si>
  <si>
    <t>SFTP is a simple file transfer protocol. It fills the need of people wanting a protocol that is more useful than TFTP but easier to implement (and less powerful) than FTP.  SFTP supports user access control, file transfers, directory listing, directory changing, file renaming and deleting.</t>
  </si>
  <si>
    <t>The Open Archives Initiative Protocol for Metadata Harvesting (referred to as the OAI-PMH) provides an application-independent interoperability framework based on metadata harvesting.</t>
  </si>
  <si>
    <t>The Redfish scalable platforms management API specification is an API specification that uses RESTful interface semantics to access data.</t>
  </si>
  <si>
    <t>The SIARD format specification, as the CSIP specifications suite, is compliant with OAIS and defines a general structure for a presentation information package format suitable for relational databases. The long-term interpretability of the database content is essentially based on XML and ISO/IEC 9075-9:2008 – SQL/MED.</t>
  </si>
  <si>
    <t>This document provides a reference of 41 competences as required and applied at the Information and Communication Technology (ICT) professional work environment, using a common language for competences, skills and proficiency levels that can be understood across Europe. This document was created for application by: - ICT service, user and supply companies, - ICT professionals, managers and human resource (HR) departments, - vocational education institutions and training bodies including higher education, - social partners (trade unions and employer associations), professional associations, accreditation, validation and assessment bodies, - market analysts and policy makers, and other organizations and stakeholders in public and private sectors.</t>
  </si>
  <si>
    <t>InformationBusinessObject</t>
  </si>
  <si>
    <t>CAMSS Assessment of e-CF EIF Scenario v1.0.0</t>
  </si>
  <si>
    <t>77%StrengthOfAssessmentScoreAverage</t>
  </si>
  <si>
    <t>MQTT is a communication protocol designed for lightweight, low-bandwidth, high-latency environments like remote sensors or mobile devices.</t>
  </si>
  <si>
    <t>The European Legislation Identifier (ELI) aims to make legislation available online in a standardized format so that it can be accessed, exchanged, and reused across borders.</t>
  </si>
  <si>
    <t>CAMSS Assessment of ELI EIF Scenario v1.0.0; CAMSS Assessment of ELI EIF Scenario v2.0.0</t>
  </si>
  <si>
    <t>79%AssessmentScoreAverage; 75.56%StrengthOfAssessmentScoreAverage</t>
  </si>
  <si>
    <t>ISO/IEC 9797-1 specifies six Message Authentication Code (MAC) algorithms that use a secret key and an n-bit block cipher to calculate an m-bit MAC. MAC algorithms can be built from other cryptographic primitives, such as cryptographic hash functions (e.g., HMAC) or from block cipher algorithms (e.g., OMAC, CCM, GCM, PMAC). Fastest MAC algorithms are built on universal hashing or intrinsically keyed hash algorithms.</t>
  </si>
  <si>
    <t>EHQMR provides guidelines for comprehensive quality reporting on a variety of statistical processes and outputs (e.g. sample surveys, censuses, economic indices), covering the European Statistical System (ESS) data quality standards. The handbook is based on SIMS 2.0 and supplements the current ESS Quality Glossary by including additional terms relating to metadata and quality.</t>
  </si>
  <si>
    <t>The eDelivery SMP specification provides a set of implementation guidelines for the OASIS SMP specification. It is designed to be used in eDelivery with the Dynamic Sender Profile Enhancement in the eDelivery AS4 Profile, the eDelivery BDXL profile and the eDelivery ebCore Party Id profile. Its main function is to exchange electronic data and documents between one and other in a reliable way.</t>
  </si>
  <si>
    <t>The Asset Description Metadata Schema (ADMS) is a metadata vocabulary to describe interoperability assets.</t>
  </si>
  <si>
    <t>Assessed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</si>
</sst>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rgb="FFFF0000"/>
      <name val="Calibri"/>
      <family val="2"/>
      <scheme val="minor"/>
    </font>
    <font>
      <b/>
      <sz val="11"/>
      <color rgb="FFFF0000"/>
      <name val="Calibri"/>
      <family val="2"/>
      <scheme val="minor"/>
    </font>
    <font>
      <u/>
      <sz val="11"/>
      <color rgb="FFFF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1" fillId="0" borderId="0" xfId="0" applyFont="1"/>
    <xf numFmtId="0" fontId="3" fillId="0" borderId="0" xfId="0" applyFont="1"/>
    <xf numFmtId="0" fontId="2" fillId="0" borderId="0" xfId="0" applyFont="1"/>
    <xf numFmtId="0" fontId="4"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[specifications_some_numbers_february.xlsx]assessment per view!PivotTable1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pivotFmt>
    </c:pivotFmts>
    <c:plotArea>
      <c:layout/>
      <c:barChart>
        <c:barDir val="col"/>
        <c:grouping val="clustered"/>
        <c:varyColors val="0"/>
        <c:ser>
          <c:idx val="0"/>
          <c:order val="0"/>
          <c:tx>
            <c:strRef>
              <c:f>'assessment per view'!$B$3</c:f>
              <c:strCache>
                <c:ptCount val="1"/>
                <c:pt idx="0">
                  <c:v>Sum of Tech Application</c:v>
                </c:pt>
              </c:strCache>
            </c:strRef>
          </c:tx>
          <c:spPr>
            <a:solidFill>
              <a:schemeClr val="accent1"/>
            </a:solidFill>
            <a:ln>
              <a:noFill/>
            </a:ln>
            <a:effectLst/>
          </c:spPr>
          <c:invertIfNegative val="0"/>
          <c:cat>
            <c:multiLvlStrRef>
              <c:f>'assessment per view'!$A$4:$A$9</c:f>
              <c:multiLvlStrCache>
                <c:ptCount val="4"/>
                <c:lvl>
                  <c:pt idx="0">
                    <c:v>0</c:v>
                  </c:pt>
                  <c:pt idx="1">
                    <c:v>1</c:v>
                  </c:pt>
                  <c:pt idx="2">
                    <c:v>2</c:v>
                  </c:pt>
                  <c:pt idx="3">
                    <c:v>3</c:v>
                  </c:pt>
                </c:lvl>
                <c:lvl>
                  <c:pt idx="0">
                    <c:v>Specification</c:v>
                  </c:pt>
                </c:lvl>
              </c:multiLvlStrCache>
            </c:multiLvlStrRef>
          </c:cat>
          <c:val>
            <c:numRef>
              <c:f>'assessment per view'!$B$4:$B$9</c:f>
              <c:numCache>
                <c:formatCode>General</c:formatCode>
                <c:ptCount val="4"/>
                <c:pt idx="0">
                  <c:v>894</c:v>
                </c:pt>
                <c:pt idx="1">
                  <c:v>132</c:v>
                </c:pt>
                <c:pt idx="2">
                  <c:v>64</c:v>
                </c:pt>
                <c:pt idx="3">
                  <c:v>6</c:v>
                </c:pt>
              </c:numCache>
            </c:numRef>
          </c:val>
          <c:extLst>
            <c:ext xmlns:c16="http://schemas.microsoft.com/office/drawing/2014/chart" uri="{C3380CC4-5D6E-409C-BE32-E72D297353CC}">
              <c16:uniqueId val="{00000000-2452-48FB-B8A7-55FD984CCDB4}"/>
            </c:ext>
          </c:extLst>
        </c:ser>
        <c:ser>
          <c:idx val="1"/>
          <c:order val="1"/>
          <c:tx>
            <c:strRef>
              <c:f>'assessment per view'!$C$3</c:f>
              <c:strCache>
                <c:ptCount val="1"/>
                <c:pt idx="0">
                  <c:v>Sum of Tech Infrastructure</c:v>
                </c:pt>
              </c:strCache>
            </c:strRef>
          </c:tx>
          <c:spPr>
            <a:solidFill>
              <a:srgbClr val="00B0F0"/>
            </a:solidFill>
            <a:ln>
              <a:noFill/>
            </a:ln>
            <a:effectLst/>
          </c:spPr>
          <c:invertIfNegative val="0"/>
          <c:cat>
            <c:multiLvlStrRef>
              <c:f>'assessment per view'!$A$4:$A$9</c:f>
              <c:multiLvlStrCache>
                <c:ptCount val="4"/>
                <c:lvl>
                  <c:pt idx="0">
                    <c:v>0</c:v>
                  </c:pt>
                  <c:pt idx="1">
                    <c:v>1</c:v>
                  </c:pt>
                  <c:pt idx="2">
                    <c:v>2</c:v>
                  </c:pt>
                  <c:pt idx="3">
                    <c:v>3</c:v>
                  </c:pt>
                </c:lvl>
                <c:lvl>
                  <c:pt idx="0">
                    <c:v>Specification</c:v>
                  </c:pt>
                </c:lvl>
              </c:multiLvlStrCache>
            </c:multiLvlStrRef>
          </c:cat>
          <c:val>
            <c:numRef>
              <c:f>'assessment per view'!$C$4:$C$9</c:f>
              <c:numCache>
                <c:formatCode>General</c:formatCode>
                <c:ptCount val="4"/>
                <c:pt idx="0">
                  <c:v>187</c:v>
                </c:pt>
                <c:pt idx="1">
                  <c:v>49</c:v>
                </c:pt>
                <c:pt idx="2">
                  <c:v>4</c:v>
                </c:pt>
                <c:pt idx="3">
                  <c:v>6</c:v>
                </c:pt>
              </c:numCache>
            </c:numRef>
          </c:val>
          <c:extLst>
            <c:ext xmlns:c16="http://schemas.microsoft.com/office/drawing/2014/chart" uri="{C3380CC4-5D6E-409C-BE32-E72D297353CC}">
              <c16:uniqueId val="{00000001-2452-48FB-B8A7-55FD984CCDB4}"/>
            </c:ext>
          </c:extLst>
        </c:ser>
        <c:ser>
          <c:idx val="2"/>
          <c:order val="2"/>
          <c:tx>
            <c:strRef>
              <c:f>'assessment per view'!$D$3</c:f>
              <c:strCache>
                <c:ptCount val="1"/>
                <c:pt idx="0">
                  <c:v>Sum of Legal View</c:v>
                </c:pt>
              </c:strCache>
            </c:strRef>
          </c:tx>
          <c:spPr>
            <a:solidFill>
              <a:schemeClr val="accent3"/>
            </a:solidFill>
            <a:ln>
              <a:noFill/>
            </a:ln>
            <a:effectLst/>
          </c:spPr>
          <c:invertIfNegative val="0"/>
          <c:cat>
            <c:multiLvlStrRef>
              <c:f>'assessment per view'!$A$4:$A$9</c:f>
              <c:multiLvlStrCache>
                <c:ptCount val="4"/>
                <c:lvl>
                  <c:pt idx="0">
                    <c:v>0</c:v>
                  </c:pt>
                  <c:pt idx="1">
                    <c:v>1</c:v>
                  </c:pt>
                  <c:pt idx="2">
                    <c:v>2</c:v>
                  </c:pt>
                  <c:pt idx="3">
                    <c:v>3</c:v>
                  </c:pt>
                </c:lvl>
                <c:lvl>
                  <c:pt idx="0">
                    <c:v>Specification</c:v>
                  </c:pt>
                </c:lvl>
              </c:multiLvlStrCache>
            </c:multiLvlStrRef>
          </c:cat>
          <c:val>
            <c:numRef>
              <c:f>'assessment per view'!$D$4:$D$9</c:f>
              <c:numCache>
                <c:formatCode>General</c:formatCode>
                <c:ptCount val="4"/>
                <c:pt idx="0">
                  <c:v>135</c:v>
                </c:pt>
                <c:pt idx="1">
                  <c:v>16</c:v>
                </c:pt>
                <c:pt idx="2">
                  <c:v>18</c:v>
                </c:pt>
                <c:pt idx="3">
                  <c:v>0</c:v>
                </c:pt>
              </c:numCache>
            </c:numRef>
          </c:val>
          <c:extLst>
            <c:ext xmlns:c16="http://schemas.microsoft.com/office/drawing/2014/chart" uri="{C3380CC4-5D6E-409C-BE32-E72D297353CC}">
              <c16:uniqueId val="{00000002-2452-48FB-B8A7-55FD984CCDB4}"/>
            </c:ext>
          </c:extLst>
        </c:ser>
        <c:ser>
          <c:idx val="3"/>
          <c:order val="3"/>
          <c:tx>
            <c:strRef>
              <c:f>'assessment per view'!$E$3</c:f>
              <c:strCache>
                <c:ptCount val="1"/>
                <c:pt idx="0">
                  <c:v>Sum of Organisational View</c:v>
                </c:pt>
              </c:strCache>
            </c:strRef>
          </c:tx>
          <c:spPr>
            <a:solidFill>
              <a:schemeClr val="accent4"/>
            </a:solidFill>
            <a:ln>
              <a:noFill/>
            </a:ln>
            <a:effectLst/>
          </c:spPr>
          <c:invertIfNegative val="0"/>
          <c:cat>
            <c:multiLvlStrRef>
              <c:f>'assessment per view'!$A$4:$A$9</c:f>
              <c:multiLvlStrCache>
                <c:ptCount val="4"/>
                <c:lvl>
                  <c:pt idx="0">
                    <c:v>0</c:v>
                  </c:pt>
                  <c:pt idx="1">
                    <c:v>1</c:v>
                  </c:pt>
                  <c:pt idx="2">
                    <c:v>2</c:v>
                  </c:pt>
                  <c:pt idx="3">
                    <c:v>3</c:v>
                  </c:pt>
                </c:lvl>
                <c:lvl>
                  <c:pt idx="0">
                    <c:v>Specification</c:v>
                  </c:pt>
                </c:lvl>
              </c:multiLvlStrCache>
            </c:multiLvlStrRef>
          </c:cat>
          <c:val>
            <c:numRef>
              <c:f>'assessment per view'!$E$4:$E$9</c:f>
              <c:numCache>
                <c:formatCode>General</c:formatCode>
                <c:ptCount val="4"/>
                <c:pt idx="0">
                  <c:v>108</c:v>
                </c:pt>
                <c:pt idx="1">
                  <c:v>23</c:v>
                </c:pt>
                <c:pt idx="2">
                  <c:v>5</c:v>
                </c:pt>
                <c:pt idx="3">
                  <c:v>0</c:v>
                </c:pt>
              </c:numCache>
            </c:numRef>
          </c:val>
          <c:extLst>
            <c:ext xmlns:c16="http://schemas.microsoft.com/office/drawing/2014/chart" uri="{C3380CC4-5D6E-409C-BE32-E72D297353CC}">
              <c16:uniqueId val="{00000003-2452-48FB-B8A7-55FD984CCDB4}"/>
            </c:ext>
          </c:extLst>
        </c:ser>
        <c:ser>
          <c:idx val="4"/>
          <c:order val="4"/>
          <c:tx>
            <c:strRef>
              <c:f>'assessment per view'!$F$3</c:f>
              <c:strCache>
                <c:ptCount val="1"/>
                <c:pt idx="0">
                  <c:v>Sum of Semantic View</c:v>
                </c:pt>
              </c:strCache>
            </c:strRef>
          </c:tx>
          <c:spPr>
            <a:solidFill>
              <a:srgbClr val="C00000"/>
            </a:solidFill>
            <a:ln>
              <a:noFill/>
            </a:ln>
            <a:effectLst/>
          </c:spPr>
          <c:invertIfNegative val="0"/>
          <c:cat>
            <c:multiLvlStrRef>
              <c:f>'assessment per view'!$A$4:$A$9</c:f>
              <c:multiLvlStrCache>
                <c:ptCount val="4"/>
                <c:lvl>
                  <c:pt idx="0">
                    <c:v>0</c:v>
                  </c:pt>
                  <c:pt idx="1">
                    <c:v>1</c:v>
                  </c:pt>
                  <c:pt idx="2">
                    <c:v>2</c:v>
                  </c:pt>
                  <c:pt idx="3">
                    <c:v>3</c:v>
                  </c:pt>
                </c:lvl>
                <c:lvl>
                  <c:pt idx="0">
                    <c:v>Specification</c:v>
                  </c:pt>
                </c:lvl>
              </c:multiLvlStrCache>
            </c:multiLvlStrRef>
          </c:cat>
          <c:val>
            <c:numRef>
              <c:f>'assessment per view'!$F$4:$F$9</c:f>
              <c:numCache>
                <c:formatCode>General</c:formatCode>
                <c:ptCount val="4"/>
                <c:pt idx="0">
                  <c:v>544</c:v>
                </c:pt>
                <c:pt idx="1">
                  <c:v>60</c:v>
                </c:pt>
                <c:pt idx="2">
                  <c:v>86</c:v>
                </c:pt>
                <c:pt idx="3">
                  <c:v>2</c:v>
                </c:pt>
              </c:numCache>
            </c:numRef>
          </c:val>
          <c:extLst>
            <c:ext xmlns:c16="http://schemas.microsoft.com/office/drawing/2014/chart" uri="{C3380CC4-5D6E-409C-BE32-E72D297353CC}">
              <c16:uniqueId val="{00000004-2452-48FB-B8A7-55FD984CCDB4}"/>
            </c:ext>
          </c:extLst>
        </c:ser>
        <c:dLbls>
          <c:showLegendKey val="0"/>
          <c:showVal val="0"/>
          <c:showCatName val="0"/>
          <c:showSerName val="0"/>
          <c:showPercent val="0"/>
          <c:showBubbleSize val="0"/>
        </c:dLbls>
        <c:gapWidth val="219"/>
        <c:overlap val="-27"/>
        <c:axId val="1215676031"/>
        <c:axId val="1215676991"/>
      </c:barChart>
      <c:catAx>
        <c:axId val="1215676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15676991"/>
        <c:crosses val="autoZero"/>
        <c:auto val="1"/>
        <c:lblAlgn val="ctr"/>
        <c:lblOffset val="100"/>
        <c:noMultiLvlLbl val="0"/>
      </c:catAx>
      <c:valAx>
        <c:axId val="12156769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15676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88900</xdr:colOff>
      <xdr:row>11</xdr:row>
      <xdr:rowOff>69850</xdr:rowOff>
    </xdr:from>
    <xdr:to>
      <xdr:col>7</xdr:col>
      <xdr:colOff>234950</xdr:colOff>
      <xdr:row>29</xdr:row>
      <xdr:rowOff>171450</xdr:rowOff>
    </xdr:to>
    <xdr:graphicFrame macro="">
      <xdr:nvGraphicFramePr>
        <xdr:cNvPr id="3" name="Chart 2">
          <a:extLst>
            <a:ext uri="{FF2B5EF4-FFF2-40B4-BE49-F238E27FC236}">
              <a16:creationId xmlns:a16="http://schemas.microsoft.com/office/drawing/2014/main" id="{5AD2AB5E-C927-13E0-FC7C-CEA3726A0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io Bravo Candel" refreshedDate="46071.446956481479" createdVersion="8" refreshedVersion="8" minRefreshableVersion="3" recordCount="866" xr:uid="{0ECA766B-A4BB-425C-97DC-F5D00FA0D121}">
  <cacheSource type="worksheet">
    <worksheetSource ref="A1:N867" sheet="1er Intento"/>
  </cacheSource>
  <cacheFields count="14">
    <cacheField name="Type" numFmtId="0">
      <sharedItems count="4">
        <s v="Specification"/>
        <s v="Standard"/>
        <s v="Family"/>
        <s v="ApplicationProfile"/>
      </sharedItems>
    </cacheField>
    <cacheField name="Title" numFmtId="0">
      <sharedItems longText="1"/>
    </cacheField>
    <cacheField name="Acronym" numFmtId="0">
      <sharedItems containsBlank="1"/>
    </cacheField>
    <cacheField name="Alternative" numFmtId="0">
      <sharedItems containsBlank="1"/>
    </cacheField>
    <cacheField name="Maintainer" numFmtId="0">
      <sharedItems/>
    </cacheField>
    <cacheField name="Version" numFmtId="0">
      <sharedItems/>
    </cacheField>
    <cacheField name="Previous Version" numFmtId="0">
      <sharedItems containsNonDate="0" containsString="0" containsBlank="1"/>
    </cacheField>
    <cacheField name="View" numFmtId="0">
      <sharedItems count="21">
        <s v="Semantic View"/>
        <s v="Tech Infrastructure"/>
        <s v="Organisational View"/>
        <s v="Legal View, Organisational View"/>
        <s v="Tech Infrastructure, Organisational View"/>
        <s v="Tech Application, Semantic View"/>
        <s v="Tech Infrastructure, Tech Application"/>
        <s v="Tech Application"/>
        <s v="Tech Infrastructure, Semantic View"/>
        <s v="Legal View"/>
        <s v="Tech Application, Organisational View, Semantic View"/>
        <s v="Tech Infrastructure, Tech Application, Semantic View"/>
        <s v=""/>
        <s v="Tech Application, Organisational View"/>
        <s v="Tech Application, Legal View, Organisational View"/>
        <s v="Organisational View, Semantic View"/>
        <s v="Legal View, Semantic View"/>
        <s v="Tech Application, Legal View, Semantic View"/>
        <s v="Legal View, Organisational View, Semantic View"/>
        <s v="Tech Infrastructure, Tech Application, Organisational View"/>
        <s v="Tech Application, Legal View, Organisational View, Semantic View"/>
      </sharedItems>
    </cacheField>
    <cacheField name="Tech Infrastructure" numFmtId="0">
      <sharedItems containsSemiMixedTypes="0" containsString="0" containsNumber="1" containsInteger="1" minValue="0" maxValue="7" count="8">
        <n v="0"/>
        <n v="1"/>
        <n v="2"/>
        <n v="7"/>
        <n v="6"/>
        <n v="4"/>
        <n v="3"/>
        <n v="5"/>
      </sharedItems>
    </cacheField>
    <cacheField name="Tech Application" numFmtId="0">
      <sharedItems containsSemiMixedTypes="0" containsString="0" containsNumber="1" containsInteger="1" minValue="0" maxValue="11" count="10">
        <n v="0"/>
        <n v="2"/>
        <n v="4"/>
        <n v="3"/>
        <n v="6"/>
        <n v="1"/>
        <n v="5"/>
        <n v="7"/>
        <n v="8"/>
        <n v="11"/>
      </sharedItems>
    </cacheField>
    <cacheField name="Legal View" numFmtId="0">
      <sharedItems containsSemiMixedTypes="0" containsString="0" containsNumber="1" containsInteger="1" minValue="0" maxValue="9"/>
    </cacheField>
    <cacheField name="Organisational View" numFmtId="0">
      <sharedItems containsSemiMixedTypes="0" containsString="0" containsNumber="1" containsInteger="1" minValue="0" maxValue="14"/>
    </cacheField>
    <cacheField name="Semantic View" numFmtId="0">
      <sharedItems containsSemiMixedTypes="0" containsString="0" containsNumber="1" containsInteger="1" minValue="0" maxValue="14"/>
    </cacheField>
    <cacheField name="CAMSSA Count" numFmtId="0">
      <sharedItems containsSemiMixedTypes="0" containsString="0" containsNumber="1" containsInteger="1" minValue="0" maxValue="3" count="4">
        <n v="0"/>
        <n v="1"/>
        <n v="2"/>
        <n v="3"/>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6">
  <r>
    <x v="0"/>
    <s v="Schema.org v29.2.0"/>
    <m/>
    <m/>
    <s v="Schema.org"/>
    <s v="29.2.0"/>
    <m/>
    <x v="0"/>
    <x v="0"/>
    <x v="0"/>
    <n v="0"/>
    <n v="0"/>
    <n v="1"/>
    <x v="0"/>
  </r>
  <r>
    <x v="0"/>
    <s v="A Framework for Multicast in Network Virtualization over Layer 3 RFC 8293"/>
    <m/>
    <s v="RFC 8293"/>
    <s v="IETF"/>
    <s v="2.0.0"/>
    <m/>
    <x v="1"/>
    <x v="1"/>
    <x v="0"/>
    <n v="0"/>
    <n v="0"/>
    <n v="0"/>
    <x v="0"/>
  </r>
  <r>
    <x v="0"/>
    <s v="The Atom Syndication Format (RFC 4287)"/>
    <s v="Atom"/>
    <s v="RFC 4287"/>
    <s v="IETF"/>
    <s v="1.0.0"/>
    <m/>
    <x v="0"/>
    <x v="0"/>
    <x v="0"/>
    <n v="0"/>
    <n v="0"/>
    <n v="2"/>
    <x v="0"/>
  </r>
  <r>
    <x v="0"/>
    <s v="Multi-access Edge Computing (MEC); IoT API (ETSI GS MEC 033)"/>
    <s v="MEC IoT API"/>
    <s v="ETSI GS MEC 033"/>
    <s v="ETSI"/>
    <s v="3.1.1"/>
    <m/>
    <x v="1"/>
    <x v="2"/>
    <x v="0"/>
    <n v="0"/>
    <n v="0"/>
    <n v="0"/>
    <x v="0"/>
  </r>
  <r>
    <x v="0"/>
    <s v="EU Catalogue of Services"/>
    <m/>
    <m/>
    <s v="EC"/>
    <s v="1.0.0"/>
    <m/>
    <x v="2"/>
    <x v="0"/>
    <x v="0"/>
    <n v="0"/>
    <n v="1"/>
    <n v="0"/>
    <x v="0"/>
  </r>
  <r>
    <x v="0"/>
    <s v="Monitoring and Control MIB for Power and Energy (RFC 7460)"/>
    <m/>
    <s v="RFC 7460"/>
    <s v="IETF"/>
    <s v="1.0.0"/>
    <m/>
    <x v="1"/>
    <x v="1"/>
    <x v="0"/>
    <n v="0"/>
    <n v="0"/>
    <n v="0"/>
    <x v="0"/>
  </r>
  <r>
    <x v="0"/>
    <s v="COMMUNICATION FROM THE COMMISSION TO THE EUROPEAN PARLIAMENT, THE COUNCIL, THE EUROPEAN ECONOMIC AND SOCIAL COMMITTEE AND THE COMMITTEE OF THE REGIONS - European Interoperability Framework – Implementation Strategy"/>
    <m/>
    <m/>
    <s v="OP"/>
    <s v="1.0.0"/>
    <m/>
    <x v="3"/>
    <x v="0"/>
    <x v="0"/>
    <n v="2"/>
    <n v="1"/>
    <n v="0"/>
    <x v="0"/>
  </r>
  <r>
    <x v="0"/>
    <s v="ITU-T X.1603 Data security requirements for the monitoring service of cloud computing"/>
    <m/>
    <s v="ITU-T X.1603"/>
    <s v="ITU"/>
    <s v="1.0.0"/>
    <m/>
    <x v="4"/>
    <x v="1"/>
    <x v="0"/>
    <n v="0"/>
    <n v="1"/>
    <n v="0"/>
    <x v="0"/>
  </r>
  <r>
    <x v="0"/>
    <s v="Smart Data Models (SDM)"/>
    <s v="SDM"/>
    <m/>
    <s v="SDM"/>
    <s v="1.0.0"/>
    <m/>
    <x v="5"/>
    <x v="0"/>
    <x v="1"/>
    <n v="0"/>
    <n v="0"/>
    <n v="1"/>
    <x v="0"/>
  </r>
  <r>
    <x v="0"/>
    <s v="Transport Layer Security 1.3 (TLS 1.3)"/>
    <s v="TLS"/>
    <m/>
    <s v="IETF"/>
    <s v="1.3.0"/>
    <m/>
    <x v="6"/>
    <x v="3"/>
    <x v="2"/>
    <n v="0"/>
    <n v="0"/>
    <n v="0"/>
    <x v="1"/>
  </r>
  <r>
    <x v="0"/>
    <s v="CLARIN Concept Registry (CCR)"/>
    <s v="CCR"/>
    <m/>
    <s v="CLARIN"/>
    <s v="1.0.0"/>
    <m/>
    <x v="0"/>
    <x v="0"/>
    <x v="0"/>
    <n v="0"/>
    <n v="0"/>
    <n v="4"/>
    <x v="0"/>
  </r>
  <r>
    <x v="0"/>
    <s v="Internet Calendaring and Scheduling Core Object Specification (iCalendar)"/>
    <m/>
    <s v="iCalendar"/>
    <s v="IETF"/>
    <s v="10.0.0"/>
    <m/>
    <x v="7"/>
    <x v="0"/>
    <x v="2"/>
    <n v="0"/>
    <n v="0"/>
    <n v="0"/>
    <x v="1"/>
  </r>
  <r>
    <x v="0"/>
    <s v="Smart Applications Reference Ontology (SAREF) (ETSI TS 103 673)"/>
    <s v="SAREF"/>
    <s v="ETSI TS 103 673"/>
    <s v="ETSI"/>
    <s v="3.1.1"/>
    <m/>
    <x v="8"/>
    <x v="2"/>
    <x v="0"/>
    <n v="0"/>
    <n v="0"/>
    <n v="1"/>
    <x v="1"/>
  </r>
  <r>
    <x v="0"/>
    <s v="Security and Privacy Controls for Information Systems and Organizations (NIST SP 800-53)"/>
    <m/>
    <s v="NIST SP 800-53"/>
    <s v="NIST"/>
    <s v="1.0.0"/>
    <m/>
    <x v="7"/>
    <x v="0"/>
    <x v="3"/>
    <n v="0"/>
    <n v="0"/>
    <n v="0"/>
    <x v="0"/>
  </r>
  <r>
    <x v="0"/>
    <s v="Q.5026 : Signalling requirements and protocol for providing network-oriented data integrity verification service based on blockchain in IMT-2020 networks"/>
    <m/>
    <s v="ITU-T Q.5026"/>
    <s v="ITU"/>
    <s v="1.0.0"/>
    <m/>
    <x v="7"/>
    <x v="0"/>
    <x v="1"/>
    <n v="0"/>
    <n v="0"/>
    <n v="0"/>
    <x v="0"/>
  </r>
  <r>
    <x v="0"/>
    <s v="OGC Catalogue Services"/>
    <s v="OGC CSW"/>
    <m/>
    <s v="OGC"/>
    <s v="3.0.0"/>
    <m/>
    <x v="7"/>
    <x v="0"/>
    <x v="4"/>
    <n v="0"/>
    <n v="0"/>
    <n v="0"/>
    <x v="0"/>
  </r>
  <r>
    <x v="0"/>
    <s v="GUIDELINES AND TEMPLATES FOR AGREEMENTS BETWEEN PUBLIC ADMINISTRATIONS"/>
    <m/>
    <m/>
    <s v="EC"/>
    <s v="1.0.0"/>
    <m/>
    <x v="2"/>
    <x v="0"/>
    <x v="0"/>
    <n v="0"/>
    <n v="1"/>
    <n v="0"/>
    <x v="0"/>
  </r>
  <r>
    <x v="0"/>
    <s v="Web Services Security (WSS, WS-Security)"/>
    <s v="WSS"/>
    <m/>
    <s v="OASIS"/>
    <s v="1.1.0"/>
    <m/>
    <x v="7"/>
    <x v="0"/>
    <x v="1"/>
    <n v="0"/>
    <n v="0"/>
    <n v="0"/>
    <x v="1"/>
  </r>
  <r>
    <x v="0"/>
    <s v="Peppol Directory"/>
    <m/>
    <m/>
    <s v="PEPPOL"/>
    <s v="1.1.1"/>
    <m/>
    <x v="7"/>
    <x v="0"/>
    <x v="5"/>
    <n v="0"/>
    <n v="0"/>
    <n v="0"/>
    <x v="0"/>
  </r>
  <r>
    <x v="0"/>
    <s v="User-Managed Access 2.0 (UMA)"/>
    <s v="UMA"/>
    <m/>
    <s v="Kantara Initiative"/>
    <s v="2.0.0"/>
    <m/>
    <x v="7"/>
    <x v="0"/>
    <x v="3"/>
    <n v="0"/>
    <n v="0"/>
    <n v="0"/>
    <x v="0"/>
  </r>
  <r>
    <x v="0"/>
    <s v="Directive 2014/55/EU of the European Parliament and of the Council of 16 April 2014 on electronic invoicing in public procurement Text with EEA relevance"/>
    <m/>
    <m/>
    <s v="OP"/>
    <s v="L 133/1"/>
    <m/>
    <x v="9"/>
    <x v="0"/>
    <x v="0"/>
    <n v="1"/>
    <n v="0"/>
    <n v="0"/>
    <x v="0"/>
  </r>
  <r>
    <x v="0"/>
    <s v="Cyber Security (CYBER); A Verifiable Credentials extension using  Attribute-Based Encryption (ETSI TS 103 964)"/>
    <m/>
    <s v="ETSI TS 103 964"/>
    <s v="ETSI"/>
    <s v="1.1.1"/>
    <m/>
    <x v="7"/>
    <x v="0"/>
    <x v="2"/>
    <n v="0"/>
    <n v="0"/>
    <n v="0"/>
    <x v="0"/>
  </r>
  <r>
    <x v="0"/>
    <s v="Fast Healthcare Interoperability Resources (FHIR)"/>
    <s v="FHIR"/>
    <m/>
    <s v="Health Level Seven International (HL7)"/>
    <s v="5.0.0"/>
    <m/>
    <x v="7"/>
    <x v="0"/>
    <x v="1"/>
    <n v="0"/>
    <n v="0"/>
    <n v="0"/>
    <x v="0"/>
  </r>
  <r>
    <x v="0"/>
    <s v="The EU cybersecurity certification framework"/>
    <m/>
    <m/>
    <s v="EC"/>
    <s v="1.0.0"/>
    <m/>
    <x v="2"/>
    <x v="0"/>
    <x v="0"/>
    <n v="0"/>
    <n v="1"/>
    <n v="0"/>
    <x v="0"/>
  </r>
  <r>
    <x v="0"/>
    <s v="eDelivery BDX Location profile (eDelivery BDXL)"/>
    <s v="BDXL"/>
    <s v="BDX Location"/>
    <s v="EC"/>
    <s v="1.6.0"/>
    <m/>
    <x v="10"/>
    <x v="0"/>
    <x v="3"/>
    <n v="0"/>
    <n v="1"/>
    <n v="3"/>
    <x v="0"/>
  </r>
  <r>
    <x v="0"/>
    <s v="Protocol Buffers (Protobuf)"/>
    <m/>
    <s v="Protobuf"/>
    <s v="protobuf.dev"/>
    <s v="3.0.0"/>
    <m/>
    <x v="7"/>
    <x v="0"/>
    <x v="1"/>
    <n v="0"/>
    <n v="0"/>
    <n v="0"/>
    <x v="0"/>
  </r>
  <r>
    <x v="0"/>
    <s v="XSLT"/>
    <s v="XSLT"/>
    <m/>
    <s v="W3C"/>
    <s v="3.0.0"/>
    <m/>
    <x v="7"/>
    <x v="0"/>
    <x v="1"/>
    <n v="0"/>
    <n v="0"/>
    <n v="0"/>
    <x v="2"/>
  </r>
  <r>
    <x v="0"/>
    <s v="CX-0006 Registration and Initial Onboarding v2.0.1"/>
    <m/>
    <s v="CX-0006"/>
    <s v="CATENA-X"/>
    <s v="2.0.1"/>
    <m/>
    <x v="5"/>
    <x v="0"/>
    <x v="3"/>
    <n v="0"/>
    <n v="0"/>
    <n v="1"/>
    <x v="0"/>
  </r>
  <r>
    <x v="0"/>
    <s v="X.1148 : Framework of de-identification process for telecommunication service providers"/>
    <m/>
    <s v="ITU-T X.1148"/>
    <s v="ITU"/>
    <s v="1.0.0"/>
    <m/>
    <x v="7"/>
    <x v="0"/>
    <x v="4"/>
    <n v="0"/>
    <n v="0"/>
    <n v="0"/>
    <x v="0"/>
  </r>
  <r>
    <x v="0"/>
    <s v="Electronic Signatures and Infrastructures (ESI); CAdES digital signatures; Part 2: Extended CAdES signatures (ETSI EN 319 122-2)"/>
    <s v="CAdES"/>
    <s v="ETSI EN 319 122-2"/>
    <s v="ETSI"/>
    <s v="1.1.1"/>
    <m/>
    <x v="7"/>
    <x v="0"/>
    <x v="2"/>
    <n v="0"/>
    <n v="0"/>
    <n v="0"/>
    <x v="0"/>
  </r>
  <r>
    <x v="0"/>
    <s v="JavaScript Object Notation (JSON) (ECMA-404)"/>
    <s v="JSON"/>
    <s v="ECMA-404"/>
    <s v="Ecma"/>
    <s v="2.0.0"/>
    <m/>
    <x v="0"/>
    <x v="0"/>
    <x v="0"/>
    <n v="0"/>
    <n v="0"/>
    <n v="2"/>
    <x v="2"/>
  </r>
  <r>
    <x v="0"/>
    <s v="OAuth 2.0 Authorization Server Metadata"/>
    <m/>
    <s v="OAuth"/>
    <s v="IETF"/>
    <s v="2.0.0"/>
    <m/>
    <x v="6"/>
    <x v="1"/>
    <x v="3"/>
    <n v="0"/>
    <n v="0"/>
    <n v="0"/>
    <x v="0"/>
  </r>
  <r>
    <x v="0"/>
    <s v="Machine-to-Machine communications (M2M); Impact of Smart City Activity on IoT Environment (ETSI TR 103 290)"/>
    <m/>
    <s v="ETSI TR 103 290"/>
    <s v="ETSI"/>
    <s v="1.1.1"/>
    <m/>
    <x v="11"/>
    <x v="1"/>
    <x v="1"/>
    <n v="0"/>
    <n v="0"/>
    <n v="1"/>
    <x v="0"/>
  </r>
  <r>
    <x v="0"/>
    <s v="Core Public Organisation Vocabulary (CPOV)"/>
    <s v="CPOV"/>
    <m/>
    <s v="EC"/>
    <s v="2.0.0"/>
    <m/>
    <x v="0"/>
    <x v="0"/>
    <x v="0"/>
    <n v="0"/>
    <n v="0"/>
    <n v="2"/>
    <x v="2"/>
  </r>
  <r>
    <x v="0"/>
    <s v="Context Information Management (CIM); NGSI-LD API (ETSI GR CIM 018)"/>
    <s v="NGSI-LD API"/>
    <s v="ETSI GR CIM 018"/>
    <s v="ETSI"/>
    <s v="1.1.1"/>
    <m/>
    <x v="7"/>
    <x v="0"/>
    <x v="1"/>
    <n v="0"/>
    <n v="0"/>
    <n v="0"/>
    <x v="0"/>
  </r>
  <r>
    <x v="0"/>
    <s v="Universally Unique IDentifier (UUID) URN Namespace (RFC 4122)"/>
    <s v="UUDI"/>
    <s v="RFC 4122"/>
    <s v="IETF"/>
    <s v="1.0.0"/>
    <m/>
    <x v="7"/>
    <x v="0"/>
    <x v="1"/>
    <n v="0"/>
    <n v="0"/>
    <n v="0"/>
    <x v="0"/>
  </r>
  <r>
    <x v="0"/>
    <s v="GAIA-X Policy Rules Conformity Document"/>
    <m/>
    <m/>
    <s v="GAIA-X"/>
    <s v="23.10.0"/>
    <m/>
    <x v="0"/>
    <x v="0"/>
    <x v="0"/>
    <n v="0"/>
    <n v="0"/>
    <n v="2"/>
    <x v="0"/>
  </r>
  <r>
    <x v="0"/>
    <s v="eIDAS SAML message format"/>
    <s v="SAML"/>
    <m/>
    <s v="EC"/>
    <s v="1.2.0"/>
    <m/>
    <x v="6"/>
    <x v="1"/>
    <x v="6"/>
    <n v="0"/>
    <n v="0"/>
    <n v="0"/>
    <x v="0"/>
  </r>
  <r>
    <x v="0"/>
    <s v="MyData Service Linking Specification"/>
    <m/>
    <m/>
    <s v="HIIT"/>
    <s v="1.2.1"/>
    <m/>
    <x v="7"/>
    <x v="0"/>
    <x v="3"/>
    <n v="0"/>
    <n v="0"/>
    <n v="0"/>
    <x v="0"/>
  </r>
  <r>
    <x v="0"/>
    <s v="DOLCE-Ultralite"/>
    <m/>
    <m/>
    <s v="ODP"/>
    <s v="3.34.0"/>
    <m/>
    <x v="0"/>
    <x v="0"/>
    <x v="0"/>
    <n v="0"/>
    <n v="0"/>
    <n v="1"/>
    <x v="0"/>
  </r>
  <r>
    <x v="0"/>
    <s v="Application Security Verification Standard (ASVS)"/>
    <s v="ASVS"/>
    <m/>
    <s v="OWASP SAMM"/>
    <s v="4.0.3"/>
    <m/>
    <x v="7"/>
    <x v="0"/>
    <x v="5"/>
    <n v="0"/>
    <n v="0"/>
    <n v="0"/>
    <x v="0"/>
  </r>
  <r>
    <x v="0"/>
    <s v="2011/130/EU: Commission Decision of 25 February 2011 establishing minimum requirements for the cross-border processing of documents signed electronically by competent authorities under Directive 2006/123/EC of the European Parliament and of the Council on services in the internal market (notified under document C(2011) 1081)"/>
    <m/>
    <s v="Decision 2011/130/EU"/>
    <s v="EC"/>
    <s v="L 53/66"/>
    <m/>
    <x v="9"/>
    <x v="0"/>
    <x v="0"/>
    <n v="5"/>
    <n v="0"/>
    <n v="0"/>
    <x v="0"/>
  </r>
  <r>
    <x v="0"/>
    <s v="AS4 Interoperability Profile for Four-Corner Networks"/>
    <s v="AS4"/>
    <m/>
    <s v="OASIS"/>
    <s v="1.0.0"/>
    <m/>
    <x v="7"/>
    <x v="0"/>
    <x v="1"/>
    <n v="0"/>
    <n v="0"/>
    <n v="0"/>
    <x v="0"/>
  </r>
  <r>
    <x v="0"/>
    <s v="FIREWARE Catalogue"/>
    <m/>
    <m/>
    <s v="FIWARE"/>
    <s v="8.4.0"/>
    <m/>
    <x v="7"/>
    <x v="0"/>
    <x v="1"/>
    <n v="0"/>
    <n v="0"/>
    <n v="0"/>
    <x v="0"/>
  </r>
  <r>
    <x v="0"/>
    <s v="ETSI TS 103 523-2 CYBER; Middlebox Security Protocol; Part 2: Transport layer MSP, profile for fine grained access control"/>
    <s v="CYBER"/>
    <s v="ETSI TS 103 523-2 CYBER"/>
    <s v="ETSI"/>
    <s v="1.1.1"/>
    <m/>
    <x v="7"/>
    <x v="0"/>
    <x v="1"/>
    <n v="0"/>
    <n v="0"/>
    <n v="0"/>
    <x v="0"/>
  </r>
  <r>
    <x v="0"/>
    <s v="BIS eDocuments guide for pre-award"/>
    <m/>
    <m/>
    <s v="PEPPOL"/>
    <s v="1.2.0"/>
    <m/>
    <x v="12"/>
    <x v="0"/>
    <x v="0"/>
    <n v="0"/>
    <n v="0"/>
    <n v="0"/>
    <x v="0"/>
  </r>
  <r>
    <x v="0"/>
    <s v="ITU-T X.1606 Security requirements for communication as a service application environments"/>
    <m/>
    <s v="ITU-T X.1606"/>
    <s v="ITU"/>
    <s v="1.0.0"/>
    <m/>
    <x v="4"/>
    <x v="1"/>
    <x v="0"/>
    <n v="0"/>
    <n v="1"/>
    <n v="0"/>
    <x v="0"/>
  </r>
  <r>
    <x v="0"/>
    <s v="Business Partner Data Pool API (BPM - 003 Business Partner Data Pool API)"/>
    <s v="BPDM API"/>
    <s v="BPM - 003"/>
    <s v="CATENA-X"/>
    <s v="2.1.0"/>
    <m/>
    <x v="7"/>
    <x v="0"/>
    <x v="3"/>
    <n v="0"/>
    <n v="0"/>
    <n v="0"/>
    <x v="0"/>
  </r>
  <r>
    <x v="0"/>
    <s v="oneM2M Functional Architecture"/>
    <m/>
    <m/>
    <s v="oneM2M"/>
    <s v="5.6.0"/>
    <m/>
    <x v="7"/>
    <x v="0"/>
    <x v="1"/>
    <n v="0"/>
    <n v="0"/>
    <n v="0"/>
    <x v="0"/>
  </r>
  <r>
    <x v="0"/>
    <s v="Extensible Authentication Protocol (EAP) (RFC 3748)"/>
    <s v="EAP"/>
    <s v="RFC 3748"/>
    <s v="IETF"/>
    <s v="1.0.0"/>
    <m/>
    <x v="7"/>
    <x v="0"/>
    <x v="1"/>
    <n v="0"/>
    <n v="0"/>
    <n v="0"/>
    <x v="0"/>
  </r>
  <r>
    <x v="0"/>
    <s v="ETSI TS 103 523-3 CYBER; Middlebox Security Protocol; Part 3: Profile for enterprise network and data centre access control"/>
    <s v="CYBER"/>
    <s v="ETSI TS 103 523-3 CYBER"/>
    <s v="ETSI"/>
    <s v="1.3.1"/>
    <m/>
    <x v="7"/>
    <x v="0"/>
    <x v="1"/>
    <n v="0"/>
    <n v="0"/>
    <n v="0"/>
    <x v="0"/>
  </r>
  <r>
    <x v="0"/>
    <s v="Web Services Business Process Execution Language (WS-BPEL) v2.0"/>
    <s v="WS-BPEL"/>
    <m/>
    <s v="OASIS"/>
    <s v="2.0.0"/>
    <m/>
    <x v="12"/>
    <x v="0"/>
    <x v="0"/>
    <n v="0"/>
    <n v="0"/>
    <n v="0"/>
    <x v="0"/>
  </r>
  <r>
    <x v="0"/>
    <s v="PROV Family"/>
    <s v="PROV"/>
    <m/>
    <s v="W3C"/>
    <s v="1.0.0"/>
    <m/>
    <x v="0"/>
    <x v="0"/>
    <x v="0"/>
    <n v="0"/>
    <n v="0"/>
    <n v="8"/>
    <x v="1"/>
  </r>
  <r>
    <x v="0"/>
    <s v="CACAO Security Playbooks Version 1.0"/>
    <s v="CACAO"/>
    <m/>
    <s v="OASIS"/>
    <s v="1.0.0"/>
    <m/>
    <x v="10"/>
    <x v="0"/>
    <x v="2"/>
    <n v="0"/>
    <n v="1"/>
    <n v="1"/>
    <x v="0"/>
  </r>
  <r>
    <x v="0"/>
    <s v="The EU Cybersecurity Act"/>
    <m/>
    <s v="Regulation 2019/881/EU"/>
    <s v="EC"/>
    <s v="L 151/15"/>
    <m/>
    <x v="2"/>
    <x v="0"/>
    <x v="0"/>
    <n v="0"/>
    <n v="1"/>
    <n v="0"/>
    <x v="0"/>
  </r>
  <r>
    <x v="0"/>
    <s v="Common Procurement Vocabulary (CPV)"/>
    <s v="CPV"/>
    <m/>
    <s v="OP"/>
    <s v="1.0.0"/>
    <m/>
    <x v="0"/>
    <x v="0"/>
    <x v="0"/>
    <n v="0"/>
    <n v="0"/>
    <n v="1"/>
    <x v="0"/>
  </r>
  <r>
    <x v="0"/>
    <s v="Better regulation &quot;Toolbox&quot;"/>
    <m/>
    <m/>
    <s v="OP"/>
    <s v="SWD(2021) 305 final"/>
    <m/>
    <x v="9"/>
    <x v="0"/>
    <x v="0"/>
    <n v="9"/>
    <n v="0"/>
    <n v="0"/>
    <x v="2"/>
  </r>
  <r>
    <x v="0"/>
    <s v="Electronic Signatures and Infrastructures (ESI); Registered Electronic Mail (REM); Part 2: Data requirements, Formats and Signatures for REM (ETSI TS 102 640-2)"/>
    <s v="REM"/>
    <s v="ETSI TS 102 640-2"/>
    <s v="ETSI"/>
    <s v="2.2.1"/>
    <m/>
    <x v="7"/>
    <x v="0"/>
    <x v="5"/>
    <n v="0"/>
    <n v="0"/>
    <n v="0"/>
    <x v="0"/>
  </r>
  <r>
    <x v="0"/>
    <s v="X.1058 : Information technology - Security techniques - Code of practice for personally identifiable information protection"/>
    <m/>
    <s v="ITU-T X.1058"/>
    <s v="ITU"/>
    <s v="1.0.0"/>
    <m/>
    <x v="13"/>
    <x v="0"/>
    <x v="1"/>
    <n v="0"/>
    <n v="1"/>
    <n v="0"/>
    <x v="0"/>
  </r>
  <r>
    <x v="0"/>
    <s v="EBSI Trust Model"/>
    <m/>
    <m/>
    <s v="EC"/>
    <s v="1.0.0"/>
    <m/>
    <x v="7"/>
    <x v="0"/>
    <x v="5"/>
    <n v="0"/>
    <n v="0"/>
    <n v="0"/>
    <x v="0"/>
  </r>
  <r>
    <x v="0"/>
    <s v="Core Location Vocabulary 2.0.0"/>
    <s v="CLV"/>
    <m/>
    <s v="EC"/>
    <s v="2.0.0"/>
    <m/>
    <x v="0"/>
    <x v="0"/>
    <x v="0"/>
    <n v="0"/>
    <n v="0"/>
    <n v="6"/>
    <x v="0"/>
  </r>
  <r>
    <x v="0"/>
    <s v="SLA for Open API Initiative Specification (SLA4OAI)"/>
    <s v="SLA4OAI"/>
    <m/>
    <s v="ISA Group"/>
    <s v="0.10.0"/>
    <m/>
    <x v="7"/>
    <x v="0"/>
    <x v="1"/>
    <n v="0"/>
    <n v="0"/>
    <n v="0"/>
    <x v="0"/>
  </r>
  <r>
    <x v="0"/>
    <s v="REGULATION OF THE EUROPEAN PARLIAMENT AND OF THE COUNCIL laying down measures for a high level of public sector interoperability across the Union (Interoperable Europe Act)"/>
    <s v="IEA"/>
    <s v="Interoperable Europe Act"/>
    <s v="EC"/>
    <s v="1.0.0"/>
    <m/>
    <x v="9"/>
    <x v="0"/>
    <x v="0"/>
    <n v="4"/>
    <n v="0"/>
    <n v="0"/>
    <x v="0"/>
  </r>
  <r>
    <x v="0"/>
    <s v="JSON Schema"/>
    <m/>
    <m/>
    <s v="JSON SCHEMA"/>
    <s v="2.0.0"/>
    <m/>
    <x v="0"/>
    <x v="0"/>
    <x v="0"/>
    <n v="0"/>
    <n v="0"/>
    <n v="2"/>
    <x v="0"/>
  </r>
  <r>
    <x v="0"/>
    <s v="IEC-CEN ELEC Frankfurt Agreement"/>
    <m/>
    <m/>
    <s v="CEN-CENELEC"/>
    <s v="1.0.0"/>
    <m/>
    <x v="7"/>
    <x v="0"/>
    <x v="1"/>
    <n v="0"/>
    <n v="0"/>
    <n v="0"/>
    <x v="0"/>
  </r>
  <r>
    <x v="0"/>
    <s v="Extensible Access Control Markup Language (XACML)"/>
    <s v="XACML"/>
    <m/>
    <s v="OASIS"/>
    <s v="3.0.0"/>
    <m/>
    <x v="14"/>
    <x v="0"/>
    <x v="3"/>
    <n v="2"/>
    <n v="1"/>
    <n v="0"/>
    <x v="2"/>
  </r>
  <r>
    <x v="0"/>
    <s v="ITU-T X.1605 Security requirements of public infrastructure as a service (IaaS) in cloud computing"/>
    <m/>
    <s v="ITU-T X.1605"/>
    <s v="ITU"/>
    <s v="1.0.0"/>
    <m/>
    <x v="1"/>
    <x v="2"/>
    <x v="0"/>
    <n v="0"/>
    <n v="0"/>
    <n v="0"/>
    <x v="0"/>
  </r>
  <r>
    <x v="0"/>
    <s v="ISO/IEC 18384-2:2016 Information technology — Reference Architecture for Service Oriented Architecture (SOA RA) — Part 2: Reference Architecture for SOA Solutions"/>
    <s v="SOA RA"/>
    <s v="ISO/IEC 18384-2"/>
    <s v="ISO"/>
    <s v="1.0.0"/>
    <m/>
    <x v="1"/>
    <x v="1"/>
    <x v="0"/>
    <n v="0"/>
    <n v="0"/>
    <n v="0"/>
    <x v="0"/>
  </r>
  <r>
    <x v="0"/>
    <s v="3-Clause BSD License"/>
    <m/>
    <m/>
    <s v="Open Source"/>
    <s v="3.0.0"/>
    <m/>
    <x v="7"/>
    <x v="0"/>
    <x v="5"/>
    <n v="0"/>
    <n v="0"/>
    <n v="0"/>
    <x v="0"/>
  </r>
  <r>
    <x v="0"/>
    <s v="Security methodology for the use of identity-based cryptography in support of Internet of things (IoT) services over telecommunication networks (ITU-T X.1365)"/>
    <m/>
    <m/>
    <s v="ITU"/>
    <s v="1.0.0"/>
    <m/>
    <x v="7"/>
    <x v="0"/>
    <x v="2"/>
    <n v="0"/>
    <n v="0"/>
    <n v="0"/>
    <x v="0"/>
  </r>
  <r>
    <x v="0"/>
    <s v="OpenPeppol eDEC Code Lists"/>
    <m/>
    <m/>
    <s v="PEPPOL"/>
    <s v="8.1.0"/>
    <m/>
    <x v="0"/>
    <x v="0"/>
    <x v="0"/>
    <n v="0"/>
    <n v="0"/>
    <n v="1"/>
    <x v="0"/>
  </r>
  <r>
    <x v="0"/>
    <s v="Attribute-based Access Control (ABAC)"/>
    <s v="ABAC"/>
    <m/>
    <s v="NIST"/>
    <s v="1.0.0"/>
    <m/>
    <x v="7"/>
    <x v="0"/>
    <x v="3"/>
    <n v="0"/>
    <n v="0"/>
    <n v="0"/>
    <x v="0"/>
  </r>
  <r>
    <x v="0"/>
    <s v="ISO/IEC 38505-2: Information technology - Governance of IT - Part2: Implications of ISO/IEC38505-1 for Data Management"/>
    <m/>
    <s v="ISO/IEC 38505-2"/>
    <s v="ISO"/>
    <s v="1.0.0"/>
    <m/>
    <x v="2"/>
    <x v="0"/>
    <x v="0"/>
    <n v="0"/>
    <n v="1"/>
    <n v="0"/>
    <x v="0"/>
  </r>
  <r>
    <x v="0"/>
    <s v="Web Coverage Service (WCS)"/>
    <s v="WCS"/>
    <m/>
    <s v="OGC"/>
    <s v="2.1.0"/>
    <m/>
    <x v="7"/>
    <x v="0"/>
    <x v="5"/>
    <n v="0"/>
    <n v="0"/>
    <n v="0"/>
    <x v="0"/>
  </r>
  <r>
    <x v="0"/>
    <s v="International Standard on Assurance Engagements 3402 (ISAE 3402)"/>
    <m/>
    <s v="ISAE 3402"/>
    <s v="IAASB"/>
    <s v="1.0.0"/>
    <m/>
    <x v="2"/>
    <x v="0"/>
    <x v="0"/>
    <n v="0"/>
    <n v="1"/>
    <n v="0"/>
    <x v="1"/>
  </r>
  <r>
    <x v="0"/>
    <s v="Web of Things (WoT)"/>
    <s v="WoT"/>
    <m/>
    <s v="W3C"/>
    <s v="1.0.0"/>
    <m/>
    <x v="7"/>
    <x v="0"/>
    <x v="1"/>
    <n v="0"/>
    <n v="0"/>
    <n v="0"/>
    <x v="0"/>
  </r>
  <r>
    <x v="0"/>
    <s v="Electronic Signatures and Trust Infrastructures (ESI); Policy and security requirements for Trust Service Providers issuing certificates; Part 1: General requirements (ETSI EN 319 411-1)"/>
    <m/>
    <s v="ETSI EN 319 411-1"/>
    <s v="ETSI"/>
    <s v="1.5.1"/>
    <m/>
    <x v="7"/>
    <x v="0"/>
    <x v="2"/>
    <n v="0"/>
    <n v="0"/>
    <n v="0"/>
    <x v="0"/>
  </r>
  <r>
    <x v="0"/>
    <s v="Markdown Syntax for Object Notation (MSON)"/>
    <s v="MSON"/>
    <m/>
    <s v="Apiary"/>
    <s v="1.0.0"/>
    <m/>
    <x v="5"/>
    <x v="0"/>
    <x v="1"/>
    <n v="0"/>
    <n v="0"/>
    <n v="4"/>
    <x v="0"/>
  </r>
  <r>
    <x v="0"/>
    <s v="QUIC: A UDP-Based Multiplexed and Secure Transport"/>
    <s v="QUIC"/>
    <m/>
    <s v="IETF"/>
    <s v="34.0.0"/>
    <m/>
    <x v="7"/>
    <x v="0"/>
    <x v="1"/>
    <n v="0"/>
    <n v="0"/>
    <n v="0"/>
    <x v="0"/>
  </r>
  <r>
    <x v="0"/>
    <s v="eID building block"/>
    <m/>
    <m/>
    <s v="EC"/>
    <s v="1.0.0"/>
    <m/>
    <x v="13"/>
    <x v="0"/>
    <x v="5"/>
    <n v="0"/>
    <n v="1"/>
    <n v="0"/>
    <x v="0"/>
  </r>
  <r>
    <x v="0"/>
    <s v="SmartM2M; SAREF: Ontology Support for  Urban Digital Twins and usage guidelines (ETSI TS 103 828)"/>
    <m/>
    <s v="ETSI TS 103 828"/>
    <s v="ETSI"/>
    <s v="1.1.1"/>
    <m/>
    <x v="10"/>
    <x v="0"/>
    <x v="1"/>
    <n v="0"/>
    <n v="1"/>
    <n v="1"/>
    <x v="0"/>
  </r>
  <r>
    <x v="0"/>
    <s v="My Data Ontology (MDO)"/>
    <s v="MDO"/>
    <m/>
    <s v="CUBRC"/>
    <s v="1.0.0"/>
    <m/>
    <x v="5"/>
    <x v="0"/>
    <x v="1"/>
    <n v="0"/>
    <n v="0"/>
    <n v="7"/>
    <x v="0"/>
  </r>
  <r>
    <x v="0"/>
    <s v="ETSI EN 319 412-3"/>
    <m/>
    <s v="ETSI EN 319 412-3"/>
    <s v="ETSI"/>
    <s v="1.3.1"/>
    <m/>
    <x v="5"/>
    <x v="0"/>
    <x v="3"/>
    <n v="0"/>
    <n v="0"/>
    <n v="2"/>
    <x v="0"/>
  </r>
  <r>
    <x v="0"/>
    <s v="CYBER Middlebox Security Protocol Part 1: MSP Framework and Template Requirements"/>
    <s v="CYBER"/>
    <s v="ETSI TS 103 523-1"/>
    <s v="ETSI"/>
    <s v="1.1.1"/>
    <m/>
    <x v="1"/>
    <x v="1"/>
    <x v="0"/>
    <n v="0"/>
    <n v="0"/>
    <n v="0"/>
    <x v="0"/>
  </r>
  <r>
    <x v="0"/>
    <s v="Service Requirements for Layer 2 Provider-Provisioned Virtual Private Networks"/>
    <s v="L2VPNs"/>
    <m/>
    <s v="IETF"/>
    <s v="7.0.0"/>
    <m/>
    <x v="1"/>
    <x v="1"/>
    <x v="0"/>
    <n v="0"/>
    <n v="0"/>
    <n v="0"/>
    <x v="0"/>
  </r>
  <r>
    <x v="0"/>
    <s v="Directive 2006/123/EC of the European Parliament and of the Council of 12 December 2006 on services in the internal market"/>
    <m/>
    <s v="Directive 2006/123/EC"/>
    <s v="OP"/>
    <s v="L 376/36"/>
    <m/>
    <x v="9"/>
    <x v="0"/>
    <x v="0"/>
    <n v="1"/>
    <n v="0"/>
    <n v="0"/>
    <x v="0"/>
  </r>
  <r>
    <x v="0"/>
    <s v="87/598/EEC: Commission Recommendation of 8 December 1987 on a European Code of Conduct relating to electronic payment (Relations between financial institutions, traders and service establishments, and consumers)"/>
    <m/>
    <s v="Recommendation 87/598/EEC"/>
    <s v="EC"/>
    <s v="L 365"/>
    <m/>
    <x v="9"/>
    <x v="0"/>
    <x v="0"/>
    <n v="1"/>
    <n v="0"/>
    <n v="0"/>
    <x v="0"/>
  </r>
  <r>
    <x v="0"/>
    <s v="Extensible Forms Description Language (XFDL)"/>
    <s v="XFDL"/>
    <m/>
    <s v="W3C"/>
    <s v="4.0.0"/>
    <m/>
    <x v="7"/>
    <x v="0"/>
    <x v="1"/>
    <n v="0"/>
    <n v="0"/>
    <n v="0"/>
    <x v="1"/>
  </r>
  <r>
    <x v="0"/>
    <s v="Company Attribute Verification (IAM - 004 Company Attribute Verification)"/>
    <m/>
    <s v="IAM - 004"/>
    <s v="CATENA-X"/>
    <s v="2.1.0"/>
    <m/>
    <x v="7"/>
    <x v="0"/>
    <x v="1"/>
    <n v="0"/>
    <n v="0"/>
    <n v="0"/>
    <x v="0"/>
  </r>
  <r>
    <x v="0"/>
    <s v="DCAT-AP High Value Datasets (HVD)"/>
    <s v="HVD"/>
    <m/>
    <s v="W3C"/>
    <s v="2.2.0"/>
    <m/>
    <x v="0"/>
    <x v="0"/>
    <x v="0"/>
    <n v="0"/>
    <n v="0"/>
    <n v="4"/>
    <x v="0"/>
  </r>
  <r>
    <x v="0"/>
    <s v="AMQP Claims-based Security"/>
    <s v="AMQP CBS"/>
    <m/>
    <s v="OASIS"/>
    <s v="1.0.0"/>
    <m/>
    <x v="13"/>
    <x v="0"/>
    <x v="1"/>
    <n v="0"/>
    <n v="1"/>
    <n v="0"/>
    <x v="0"/>
  </r>
  <r>
    <x v="0"/>
    <s v="Standard for Public Code"/>
    <m/>
    <m/>
    <s v="EC"/>
    <s v="0.2.2"/>
    <m/>
    <x v="12"/>
    <x v="0"/>
    <x v="0"/>
    <n v="0"/>
    <n v="0"/>
    <n v="0"/>
    <x v="0"/>
  </r>
  <r>
    <x v="0"/>
    <s v="ISO/IEC/IEEE 24748-3:2020 Systems and software engineering — Life cycle management Part 3: Guidelines for the application of ISO/IEC/IEEE 12207 (software life cycle processes)"/>
    <m/>
    <s v="ISO/IEC/IEEE 24748-3:2020"/>
    <s v="ISO"/>
    <s v="1.0.0"/>
    <m/>
    <x v="1"/>
    <x v="2"/>
    <x v="0"/>
    <n v="0"/>
    <n v="0"/>
    <n v="0"/>
    <x v="0"/>
  </r>
  <r>
    <x v="0"/>
    <s v="Java Specification Requests (JSRs)"/>
    <s v="JSRs"/>
    <m/>
    <s v="JCP"/>
    <s v="2.11.0"/>
    <m/>
    <x v="1"/>
    <x v="4"/>
    <x v="0"/>
    <n v="0"/>
    <n v="0"/>
    <n v="0"/>
    <x v="0"/>
  </r>
  <r>
    <x v="0"/>
    <s v="Wheat Data Interoperability Guidelines"/>
    <m/>
    <m/>
    <s v="RDA"/>
    <s v="1.0.0"/>
    <m/>
    <x v="12"/>
    <x v="0"/>
    <x v="0"/>
    <n v="0"/>
    <n v="0"/>
    <n v="0"/>
    <x v="0"/>
  </r>
  <r>
    <x v="0"/>
    <s v="CX-0007 Minimal Data Provider Service Offering v1.1.1"/>
    <m/>
    <s v="CX-0007"/>
    <s v="CATENA-X"/>
    <s v="1.1.1"/>
    <m/>
    <x v="7"/>
    <x v="0"/>
    <x v="2"/>
    <n v="0"/>
    <n v="0"/>
    <n v="0"/>
    <x v="0"/>
  </r>
  <r>
    <x v="0"/>
    <s v="Semantically Interlinked Online Communities"/>
    <s v="SIOC"/>
    <m/>
    <s v="W3C"/>
    <s v="1.0.0"/>
    <m/>
    <x v="0"/>
    <x v="0"/>
    <x v="0"/>
    <n v="0"/>
    <n v="0"/>
    <n v="1"/>
    <x v="0"/>
  </r>
  <r>
    <x v="0"/>
    <s v="eDelivery SMP - 2.0"/>
    <m/>
    <m/>
    <s v="EC"/>
    <s v="2.0.0"/>
    <m/>
    <x v="7"/>
    <x v="0"/>
    <x v="1"/>
    <n v="0"/>
    <n v="0"/>
    <n v="0"/>
    <x v="0"/>
  </r>
  <r>
    <x v="0"/>
    <s v="Application Performance Index"/>
    <s v="APDEX"/>
    <m/>
    <s v="APDEX Alliance"/>
    <s v="1.1.0"/>
    <m/>
    <x v="1"/>
    <x v="1"/>
    <x v="0"/>
    <n v="0"/>
    <n v="0"/>
    <n v="0"/>
    <x v="0"/>
  </r>
  <r>
    <x v="0"/>
    <s v="Open Virtualization Format"/>
    <s v="OVF"/>
    <m/>
    <s v="DMTF"/>
    <s v="2.1.1"/>
    <m/>
    <x v="1"/>
    <x v="1"/>
    <x v="0"/>
    <n v="0"/>
    <n v="0"/>
    <n v="0"/>
    <x v="0"/>
  </r>
  <r>
    <x v="0"/>
    <s v="Task Execution Service (TES) API"/>
    <s v="TES"/>
    <m/>
    <s v="GA4GH"/>
    <s v="1.0.0"/>
    <m/>
    <x v="1"/>
    <x v="4"/>
    <x v="0"/>
    <n v="0"/>
    <n v="0"/>
    <n v="0"/>
    <x v="0"/>
  </r>
  <r>
    <x v="0"/>
    <s v="Languages, Countries, and Codes (LCC)"/>
    <s v="LCC"/>
    <m/>
    <s v="OMG"/>
    <s v="1.2.0"/>
    <m/>
    <x v="0"/>
    <x v="0"/>
    <x v="0"/>
    <n v="0"/>
    <n v="0"/>
    <n v="2"/>
    <x v="0"/>
  </r>
  <r>
    <x v="0"/>
    <s v="Portable Document Format v 1.7 (PDF 1.7)"/>
    <s v="PDF"/>
    <m/>
    <s v="ISO"/>
    <s v="1.7.0"/>
    <m/>
    <x v="12"/>
    <x v="0"/>
    <x v="0"/>
    <n v="0"/>
    <n v="0"/>
    <n v="0"/>
    <x v="0"/>
  </r>
  <r>
    <x v="0"/>
    <s v="Information technology — Governance of IT for the organization (ISO/IEC 38500:2015)"/>
    <m/>
    <s v="ISO/IEC 38500"/>
    <s v="ISO"/>
    <s v="1.0.0"/>
    <m/>
    <x v="2"/>
    <x v="0"/>
    <x v="0"/>
    <n v="0"/>
    <n v="2"/>
    <n v="0"/>
    <x v="0"/>
  </r>
  <r>
    <x v="0"/>
    <s v="Transformational Government Framework Version 2.0"/>
    <s v="TGF"/>
    <m/>
    <s v="OASIS"/>
    <s v="2.0.0"/>
    <m/>
    <x v="2"/>
    <x v="0"/>
    <x v="0"/>
    <n v="0"/>
    <n v="14"/>
    <n v="0"/>
    <x v="1"/>
  </r>
  <r>
    <x v="0"/>
    <s v="ISO/IEC 7498-1:1994 Information technology — Open Systems Interconnection"/>
    <s v="OSI"/>
    <s v="ISO/IEC 7498-1"/>
    <s v="ISO"/>
    <s v="1.0.0"/>
    <m/>
    <x v="13"/>
    <x v="0"/>
    <x v="3"/>
    <n v="0"/>
    <n v="2"/>
    <n v="0"/>
    <x v="2"/>
  </r>
  <r>
    <x v="0"/>
    <s v="GITB Test Reporting Language (TRL)"/>
    <s v="TRL"/>
    <m/>
    <s v="EC"/>
    <s v="1.17.0"/>
    <m/>
    <x v="0"/>
    <x v="0"/>
    <x v="0"/>
    <n v="0"/>
    <n v="0"/>
    <n v="8"/>
    <x v="0"/>
  </r>
  <r>
    <x v="0"/>
    <s v="Framework for Layer 3 Provider-Provisioned Virtual Private Networks (PPVPNs)"/>
    <s v="PPVPNs"/>
    <m/>
    <s v="IETF"/>
    <s v="1.0.0"/>
    <m/>
    <x v="1"/>
    <x v="1"/>
    <x v="0"/>
    <n v="0"/>
    <n v="0"/>
    <n v="0"/>
    <x v="0"/>
  </r>
  <r>
    <x v="0"/>
    <s v="Performance-based Full Policy Cycle for the Digital Single Market"/>
    <m/>
    <m/>
    <s v="EC"/>
    <s v="1.0.0"/>
    <m/>
    <x v="9"/>
    <x v="0"/>
    <x v="0"/>
    <n v="2"/>
    <n v="0"/>
    <n v="0"/>
    <x v="0"/>
  </r>
  <r>
    <x v="0"/>
    <s v="OpenSource MANO"/>
    <s v="OSM"/>
    <m/>
    <s v="ETSI"/>
    <s v="11.0.0"/>
    <m/>
    <x v="7"/>
    <x v="0"/>
    <x v="1"/>
    <n v="0"/>
    <n v="0"/>
    <n v="0"/>
    <x v="0"/>
  </r>
  <r>
    <x v="0"/>
    <s v="Directive 2009/136/EC - EU Cookie Directive 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
    <m/>
    <s v="Directive 2009/136/EC"/>
    <s v="OP"/>
    <s v="L 337/11"/>
    <m/>
    <x v="9"/>
    <x v="0"/>
    <x v="0"/>
    <n v="1"/>
    <n v="0"/>
    <n v="0"/>
    <x v="0"/>
  </r>
  <r>
    <x v="0"/>
    <s v="IEEE/ISO/IEC 29119-2-2021 International Standard - Software and systems engineering - Software testing -- Part 2: Test processes"/>
    <m/>
    <s v="IEEE/ISO/IEC 29119-2-2021"/>
    <s v="IEEE"/>
    <s v="4.0.0"/>
    <m/>
    <x v="7"/>
    <x v="0"/>
    <x v="5"/>
    <n v="0"/>
    <n v="0"/>
    <n v="0"/>
    <x v="0"/>
  </r>
  <r>
    <x v="0"/>
    <s v="Layer 2 Tunneling Protocol (L2TP)"/>
    <s v="L2TP"/>
    <m/>
    <s v="IETF"/>
    <s v="5.0.0"/>
    <m/>
    <x v="1"/>
    <x v="1"/>
    <x v="0"/>
    <n v="0"/>
    <n v="0"/>
    <n v="0"/>
    <x v="0"/>
  </r>
  <r>
    <x v="0"/>
    <s v="Portable Network Graphics (PNG)"/>
    <s v="PNG"/>
    <m/>
    <s v="ISO"/>
    <s v="1.0.0"/>
    <m/>
    <x v="12"/>
    <x v="0"/>
    <x v="0"/>
    <n v="0"/>
    <n v="0"/>
    <n v="0"/>
    <x v="0"/>
  </r>
  <r>
    <x v="0"/>
    <s v="OpenGIS Catalogue Services Specification 2.0.2 - ISO Metadata Application Profile"/>
    <m/>
    <m/>
    <s v="OGC"/>
    <s v="1.0.2"/>
    <m/>
    <x v="7"/>
    <x v="0"/>
    <x v="1"/>
    <n v="0"/>
    <n v="0"/>
    <n v="0"/>
    <x v="0"/>
  </r>
  <r>
    <x v="0"/>
    <s v="XA+ specification"/>
    <s v="XA+"/>
    <m/>
    <s v="Open Group"/>
    <s v="2.0.0"/>
    <m/>
    <x v="1"/>
    <x v="2"/>
    <x v="0"/>
    <n v="0"/>
    <n v="0"/>
    <n v="0"/>
    <x v="0"/>
  </r>
  <r>
    <x v="0"/>
    <s v="Internet X.509 Public Key Infrastructure Certificate and Certificate Revocation List (CRL) Profile (RFC 5280)"/>
    <m/>
    <s v="RFC 5280"/>
    <s v="IETF"/>
    <s v="1.0.0"/>
    <m/>
    <x v="8"/>
    <x v="1"/>
    <x v="0"/>
    <n v="0"/>
    <n v="0"/>
    <n v="2"/>
    <x v="0"/>
  </r>
  <r>
    <x v="0"/>
    <s v="X.1403 : Security guidelines for using distributed ledger technology for decentralized identity management"/>
    <m/>
    <s v="ITU-T X.1403"/>
    <s v="ITU"/>
    <s v="1.0.0"/>
    <m/>
    <x v="6"/>
    <x v="1"/>
    <x v="3"/>
    <n v="0"/>
    <n v="0"/>
    <n v="0"/>
    <x v="0"/>
  </r>
  <r>
    <x v="0"/>
    <s v="GeoJSON Format (RFC 7946)"/>
    <s v="GeoJSON"/>
    <s v="RFC 7946"/>
    <s v="IETF"/>
    <s v="1.0.0"/>
    <m/>
    <x v="0"/>
    <x v="0"/>
    <x v="0"/>
    <n v="0"/>
    <n v="0"/>
    <n v="2"/>
    <x v="0"/>
  </r>
  <r>
    <x v="0"/>
    <s v="ISO/IEC 11179-1:2023 Information technology Metadata registries (MDR) Part 1: Framework"/>
    <s v="MDR"/>
    <s v="ISO/IEC 11179-1"/>
    <s v="ISO"/>
    <s v="4.0.0"/>
    <m/>
    <x v="0"/>
    <x v="0"/>
    <x v="0"/>
    <n v="0"/>
    <n v="0"/>
    <n v="1"/>
    <x v="0"/>
  </r>
  <r>
    <x v="0"/>
    <s v="EU Vocabularies Authority tables"/>
    <m/>
    <m/>
    <s v="OP"/>
    <s v="1.0.0"/>
    <m/>
    <x v="0"/>
    <x v="0"/>
    <x v="0"/>
    <n v="0"/>
    <n v="0"/>
    <n v="2"/>
    <x v="0"/>
  </r>
  <r>
    <x v="0"/>
    <s v="ITU-T X.1752: Security guidelines for big data infrastructure and platform"/>
    <m/>
    <s v="ITU-T X.1752"/>
    <s v="ITU"/>
    <s v="1.0.0"/>
    <m/>
    <x v="13"/>
    <x v="0"/>
    <x v="1"/>
    <n v="0"/>
    <n v="1"/>
    <n v="0"/>
    <x v="0"/>
  </r>
  <r>
    <x v="0"/>
    <s v="CloudEvents"/>
    <m/>
    <m/>
    <s v="CNCF"/>
    <s v="1.0.2"/>
    <m/>
    <x v="8"/>
    <x v="1"/>
    <x v="0"/>
    <n v="0"/>
    <n v="0"/>
    <n v="1"/>
    <x v="0"/>
  </r>
  <r>
    <x v="0"/>
    <s v="Risk Analysis and Assessment Modeling Language (RAAML)"/>
    <s v="RAAML"/>
    <m/>
    <s v="OMG"/>
    <s v="1.0.0"/>
    <m/>
    <x v="1"/>
    <x v="1"/>
    <x v="0"/>
    <n v="0"/>
    <n v="0"/>
    <n v="0"/>
    <x v="0"/>
  </r>
  <r>
    <x v="0"/>
    <s v="D&amp;S-001 EDC Discovery API"/>
    <m/>
    <m/>
    <s v="CATENA-X"/>
    <s v="2.1.0"/>
    <m/>
    <x v="7"/>
    <x v="0"/>
    <x v="5"/>
    <n v="0"/>
    <n v="0"/>
    <n v="0"/>
    <x v="0"/>
  </r>
  <r>
    <x v="0"/>
    <s v="eDelivery Access Point (AP) Domibus"/>
    <s v="AP"/>
    <s v="eDelivery AP Domibus"/>
    <s v="EC"/>
    <s v="4.2.7"/>
    <m/>
    <x v="1"/>
    <x v="5"/>
    <x v="0"/>
    <n v="0"/>
    <n v="0"/>
    <n v="0"/>
    <x v="1"/>
  </r>
  <r>
    <x v="0"/>
    <s v="ISO/IEC 14662:2010 Information technology — Open-edi reference model"/>
    <s v="Open-edi"/>
    <s v="ISO/IEC 14662:2010"/>
    <s v="ISO"/>
    <s v="3.0.0"/>
    <m/>
    <x v="0"/>
    <x v="0"/>
    <x v="0"/>
    <n v="0"/>
    <n v="0"/>
    <n v="1"/>
    <x v="0"/>
  </r>
  <r>
    <x v="0"/>
    <s v="Web Ontology Language (OWL2)"/>
    <s v="OWL2"/>
    <m/>
    <s v="W3C"/>
    <s v="2.0.0"/>
    <m/>
    <x v="0"/>
    <x v="0"/>
    <x v="0"/>
    <n v="0"/>
    <n v="0"/>
    <n v="3"/>
    <x v="1"/>
  </r>
  <r>
    <x v="0"/>
    <s v="ISO/IEC 19944-1:2020 - Cloud computing and distributed platforms ─ Data flow, data categories and data use — Part 1: Fundamentals"/>
    <m/>
    <s v="ISO/IEC 19944-1:2020"/>
    <s v="ISO"/>
    <s v="1.0.0"/>
    <m/>
    <x v="15"/>
    <x v="0"/>
    <x v="0"/>
    <n v="0"/>
    <n v="2"/>
    <n v="2"/>
    <x v="1"/>
  </r>
  <r>
    <x v="0"/>
    <s v="SmartM2M; Extension to SAREF;  Part 4: Smart Cities Domain (ETSI TS 103 410-4)"/>
    <m/>
    <s v="ETSI TS 103 410-4"/>
    <s v="ETSI"/>
    <s v="2.1.1"/>
    <m/>
    <x v="0"/>
    <x v="0"/>
    <x v="0"/>
    <n v="0"/>
    <n v="0"/>
    <n v="3"/>
    <x v="0"/>
  </r>
  <r>
    <x v="0"/>
    <s v="X.509: Information technology - Open Systems Interconnection - The Directory: Public-key and attribute certificate frameworks"/>
    <m/>
    <s v="Recommendation X.509 (10/19)"/>
    <s v="ITU"/>
    <s v="1.0.0"/>
    <m/>
    <x v="7"/>
    <x v="0"/>
    <x v="1"/>
    <n v="0"/>
    <n v="0"/>
    <n v="0"/>
    <x v="0"/>
  </r>
  <r>
    <x v="0"/>
    <s v="eIDAS Interoperability Architecture"/>
    <m/>
    <m/>
    <s v="EC"/>
    <s v="1.2.0"/>
    <m/>
    <x v="12"/>
    <x v="0"/>
    <x v="0"/>
    <n v="0"/>
    <n v="0"/>
    <n v="0"/>
    <x v="0"/>
  </r>
  <r>
    <x v="0"/>
    <s v="Data Quality Vocabulary (DQV)"/>
    <s v="DQV"/>
    <m/>
    <s v="W3C"/>
    <s v="0.8.0"/>
    <m/>
    <x v="5"/>
    <x v="0"/>
    <x v="1"/>
    <n v="0"/>
    <n v="0"/>
    <n v="10"/>
    <x v="1"/>
  </r>
  <r>
    <x v="0"/>
    <s v="Hypertext Transfer Protocol (HTTP) (RFCs 7230-7237)"/>
    <s v="HTTP"/>
    <s v="RFCs 7230-7237"/>
    <s v="IETF"/>
    <s v="1.1.0"/>
    <m/>
    <x v="7"/>
    <x v="0"/>
    <x v="1"/>
    <n v="0"/>
    <n v="0"/>
    <n v="0"/>
    <x v="2"/>
  </r>
  <r>
    <x v="0"/>
    <s v="Identity of Member Companies (IAM - 001 Identity of Member Companies)"/>
    <m/>
    <m/>
    <s v="CATENA-X"/>
    <s v="2.1.0"/>
    <m/>
    <x v="13"/>
    <x v="0"/>
    <x v="5"/>
    <n v="0"/>
    <n v="1"/>
    <n v="0"/>
    <x v="0"/>
  </r>
  <r>
    <x v="0"/>
    <s v="Linked Data Platform (LDP)"/>
    <s v="LDP"/>
    <m/>
    <s v="W3C"/>
    <s v="1.0.0"/>
    <m/>
    <x v="0"/>
    <x v="0"/>
    <x v="0"/>
    <n v="0"/>
    <n v="0"/>
    <n v="3"/>
    <x v="0"/>
  </r>
  <r>
    <x v="0"/>
    <s v="ETSI TS 103 523-5 CYBER; Middlebox Security Protocol; Part 5: CYBER; Middlebox Security Protocol; Part 5: Enterprise Network Security"/>
    <m/>
    <s v="ETSI TS 103 523-5"/>
    <s v="ETSI"/>
    <s v="1.1.1"/>
    <m/>
    <x v="2"/>
    <x v="0"/>
    <x v="0"/>
    <n v="0"/>
    <n v="2"/>
    <n v="0"/>
    <x v="0"/>
  </r>
  <r>
    <x v="0"/>
    <s v="Preservation Metadata: Implementation Strategies (PREMIS)"/>
    <s v="PREMIS"/>
    <m/>
    <s v="LoC"/>
    <s v="3.0.0"/>
    <m/>
    <x v="5"/>
    <x v="0"/>
    <x v="1"/>
    <n v="0"/>
    <n v="0"/>
    <n v="5"/>
    <x v="0"/>
  </r>
  <r>
    <x v="0"/>
    <s v="Event Stream Extensions for AMQP"/>
    <m/>
    <m/>
    <s v="OASIS"/>
    <s v="1.0.0"/>
    <m/>
    <x v="7"/>
    <x v="0"/>
    <x v="1"/>
    <n v="0"/>
    <n v="0"/>
    <n v="0"/>
    <x v="0"/>
  </r>
  <r>
    <x v="0"/>
    <s v="European Legislation Identifier (ELI)"/>
    <s v="ELI"/>
    <m/>
    <s v="OP"/>
    <s v="1.0.0"/>
    <m/>
    <x v="16"/>
    <x v="0"/>
    <x v="0"/>
    <n v="2"/>
    <n v="0"/>
    <n v="1"/>
    <x v="2"/>
  </r>
  <r>
    <x v="0"/>
    <s v="Y.4472 Open data application programming interfaces (APIs) for IoT data in smart cities and communities"/>
    <m/>
    <s v="Y.4472"/>
    <s v="ITU"/>
    <s v="1.0.0"/>
    <m/>
    <x v="6"/>
    <x v="2"/>
    <x v="5"/>
    <n v="0"/>
    <n v="0"/>
    <n v="0"/>
    <x v="0"/>
  </r>
  <r>
    <x v="0"/>
    <s v="Spatial Data on the Web Best Practices"/>
    <m/>
    <m/>
    <s v="W3C"/>
    <s v="1.0.0"/>
    <m/>
    <x v="7"/>
    <x v="0"/>
    <x v="1"/>
    <n v="0"/>
    <n v="0"/>
    <n v="0"/>
    <x v="0"/>
  </r>
  <r>
    <x v="0"/>
    <s v="Linked Open Data Vocabularies LOD Vocabularies"/>
    <m/>
    <s v="LOD Vocabularies"/>
    <s v="LOV"/>
    <s v="1.0.0"/>
    <m/>
    <x v="0"/>
    <x v="0"/>
    <x v="0"/>
    <n v="0"/>
    <n v="0"/>
    <n v="1"/>
    <x v="0"/>
  </r>
  <r>
    <x v="0"/>
    <s v="Resource Description Framework Schema (RDFS)"/>
    <s v="RDFS"/>
    <m/>
    <s v="W3C"/>
    <s v="1.1.0"/>
    <m/>
    <x v="0"/>
    <x v="0"/>
    <x v="0"/>
    <n v="0"/>
    <n v="0"/>
    <n v="6"/>
    <x v="0"/>
  </r>
  <r>
    <x v="0"/>
    <s v="Web Application Description Language (WADL)"/>
    <s v="WADL"/>
    <m/>
    <s v="W3C"/>
    <s v="1.0.0"/>
    <m/>
    <x v="7"/>
    <x v="0"/>
    <x v="1"/>
    <n v="0"/>
    <n v="0"/>
    <n v="0"/>
    <x v="0"/>
  </r>
  <r>
    <x v="0"/>
    <s v="Core Public Service Vocabulary Application Profile (CPSV-AP) 3.2.0"/>
    <s v="CPSV-AP"/>
    <m/>
    <s v="EC"/>
    <s v="3.2.0"/>
    <m/>
    <x v="10"/>
    <x v="0"/>
    <x v="3"/>
    <n v="0"/>
    <n v="1"/>
    <n v="14"/>
    <x v="0"/>
  </r>
  <r>
    <x v="0"/>
    <s v="Confidentiality Metadata Label Syntax"/>
    <m/>
    <m/>
    <s v="NATO"/>
    <s v="1.0.0"/>
    <m/>
    <x v="0"/>
    <x v="0"/>
    <x v="0"/>
    <n v="0"/>
    <n v="0"/>
    <n v="3"/>
    <x v="0"/>
  </r>
  <r>
    <x v="0"/>
    <s v="CAdES (CMS Advanced Electronic Signature) Baseline Profile"/>
    <s v="CAdES"/>
    <m/>
    <s v="ETSI"/>
    <s v="2.2.1"/>
    <m/>
    <x v="7"/>
    <x v="0"/>
    <x v="6"/>
    <n v="0"/>
    <n v="0"/>
    <n v="0"/>
    <x v="1"/>
  </r>
  <r>
    <x v="0"/>
    <s v="COMMISSION IMPLEMENTING REGULATION (EU) 2015/1501 on the interoperability framework pursuant to Article 12(8) of Regulation (EU) No 910/2014 of the European Parliament and of the Council on electronic identification and trust services for electronic transactions in the internal market"/>
    <m/>
    <s v="Regulation 2015/1501/EU"/>
    <s v="OP"/>
    <s v="L 235/1"/>
    <m/>
    <x v="9"/>
    <x v="0"/>
    <x v="0"/>
    <n v="5"/>
    <n v="0"/>
    <n v="0"/>
    <x v="0"/>
  </r>
  <r>
    <x v="0"/>
    <s v="ODRL Vocabulary &amp; Expression 2.2"/>
    <s v="ODRL"/>
    <m/>
    <s v="W3C"/>
    <s v="2.2.0"/>
    <m/>
    <x v="17"/>
    <x v="0"/>
    <x v="5"/>
    <n v="5"/>
    <n v="0"/>
    <n v="1"/>
    <x v="2"/>
  </r>
  <r>
    <x v="0"/>
    <s v="Semantic Treehouse"/>
    <m/>
    <m/>
    <s v="TNO"/>
    <s v="2.19.1"/>
    <m/>
    <x v="5"/>
    <x v="0"/>
    <x v="3"/>
    <n v="0"/>
    <n v="0"/>
    <n v="1"/>
    <x v="0"/>
  </r>
  <r>
    <x v="0"/>
    <s v="ISO 15489-1:2016 Information and documentation — Records management — Part 1: Concepts and principles"/>
    <m/>
    <s v="ISO 15489-1"/>
    <s v="ISO"/>
    <s v="2.0.0"/>
    <m/>
    <x v="7"/>
    <x v="0"/>
    <x v="1"/>
    <n v="0"/>
    <n v="0"/>
    <n v="0"/>
    <x v="0"/>
  </r>
  <r>
    <x v="0"/>
    <s v="Peppol Transport Infrastructure Service Metadata Publishing (Peppol SMP)"/>
    <s v="SMP"/>
    <m/>
    <s v="PEPPOL"/>
    <s v="1.2.0"/>
    <m/>
    <x v="7"/>
    <x v="0"/>
    <x v="1"/>
    <n v="0"/>
    <n v="0"/>
    <n v="0"/>
    <x v="0"/>
  </r>
  <r>
    <x v="0"/>
    <s v="Peppol Policy for Transport Security"/>
    <m/>
    <m/>
    <s v="PEPPOL"/>
    <s v="1.1.0"/>
    <m/>
    <x v="7"/>
    <x v="0"/>
    <x v="5"/>
    <n v="0"/>
    <n v="0"/>
    <n v="0"/>
    <x v="0"/>
  </r>
  <r>
    <x v="0"/>
    <s v="Digital Single Market - Modernising VAT for cross border e-Commerce - Explanatory Notes on VAT e-commerce rules"/>
    <m/>
    <m/>
    <s v="OP"/>
    <s v="September 2020"/>
    <m/>
    <x v="9"/>
    <x v="0"/>
    <x v="0"/>
    <n v="1"/>
    <n v="0"/>
    <n v="0"/>
    <x v="0"/>
  </r>
  <r>
    <x v="0"/>
    <s v="REGULATION OF THE EUROPEAN PARLIAMENT AND OF THE COUNCIL on European data governance"/>
    <m/>
    <m/>
    <s v="OP"/>
    <s v="1.0.0"/>
    <m/>
    <x v="18"/>
    <x v="0"/>
    <x v="0"/>
    <n v="1"/>
    <n v="3"/>
    <n v="6"/>
    <x v="0"/>
  </r>
  <r>
    <x v="0"/>
    <s v="Universal Description, Discovery, and Integration (UDDI)"/>
    <s v="UDDI"/>
    <m/>
    <s v="OASIS"/>
    <s v="3.0.2"/>
    <m/>
    <x v="7"/>
    <x v="0"/>
    <x v="3"/>
    <n v="0"/>
    <n v="0"/>
    <n v="0"/>
    <x v="1"/>
  </r>
  <r>
    <x v="0"/>
    <s v="ISO/IEC/IEEE 24748-2:2024 Systems and software engineering — Life cycle management Part 2: Guidelines for the application of ISO/IEC/IEEE 15288 (system life cycle processes)"/>
    <m/>
    <s v="ISO/IEC/IEEE 24748"/>
    <s v="ISO"/>
    <s v="2.0.0"/>
    <m/>
    <x v="1"/>
    <x v="2"/>
    <x v="0"/>
    <n v="0"/>
    <n v="0"/>
    <n v="0"/>
    <x v="0"/>
  </r>
  <r>
    <x v="0"/>
    <s v="Electronic Signatures and Infrastructures (ESI); CAdES digital signatures; Part 1: Building blocks and CAdES baseline signatures (ETSI EN 319 122-1)"/>
    <s v="CAdES"/>
    <s v="ETSI EN 319 122-1"/>
    <s v="ETSI"/>
    <s v="1.2.1"/>
    <m/>
    <x v="7"/>
    <x v="0"/>
    <x v="2"/>
    <n v="0"/>
    <n v="0"/>
    <n v="0"/>
    <x v="0"/>
  </r>
  <r>
    <x v="0"/>
    <s v="OpenID for Verifiable Presentations (OID4VP)"/>
    <s v="OID4VP"/>
    <m/>
    <s v="OpenID Foundation"/>
    <s v="2.0.0"/>
    <m/>
    <x v="6"/>
    <x v="1"/>
    <x v="5"/>
    <n v="0"/>
    <n v="0"/>
    <n v="0"/>
    <x v="0"/>
  </r>
  <r>
    <x v="0"/>
    <s v="Syslog Protocol"/>
    <m/>
    <m/>
    <s v="IETF"/>
    <s v="23.0.0"/>
    <m/>
    <x v="1"/>
    <x v="5"/>
    <x v="0"/>
    <n v="0"/>
    <n v="0"/>
    <n v="0"/>
    <x v="1"/>
  </r>
  <r>
    <x v="0"/>
    <s v="SOAP 1.2"/>
    <s v="SOAP"/>
    <m/>
    <s v="W3C"/>
    <s v="1.2.0"/>
    <m/>
    <x v="7"/>
    <x v="0"/>
    <x v="2"/>
    <n v="0"/>
    <n v="0"/>
    <n v="0"/>
    <x v="2"/>
  </r>
  <r>
    <x v="0"/>
    <s v="eDelivery ebCore Party Id"/>
    <m/>
    <m/>
    <s v="EC"/>
    <s v="1.4.0"/>
    <m/>
    <x v="0"/>
    <x v="0"/>
    <x v="0"/>
    <n v="0"/>
    <n v="0"/>
    <n v="1"/>
    <x v="0"/>
  </r>
  <r>
    <x v="0"/>
    <s v="ISO/IEC 18045:2022 Information security, cybersecurity and privacy protection — Evaluation criteria for IT security — Methodology for IT security evaluation"/>
    <m/>
    <s v="ISO/IEC 18045:2022"/>
    <s v="ISO"/>
    <s v="1"/>
    <m/>
    <x v="7"/>
    <x v="0"/>
    <x v="7"/>
    <n v="0"/>
    <n v="0"/>
    <n v="0"/>
    <x v="0"/>
  </r>
  <r>
    <x v="0"/>
    <s v="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m/>
    <s v="Regulation 2015/1502/EU"/>
    <s v="EC"/>
    <s v="L 235/7"/>
    <m/>
    <x v="9"/>
    <x v="0"/>
    <x v="0"/>
    <n v="5"/>
    <n v="0"/>
    <n v="0"/>
    <x v="0"/>
  </r>
  <r>
    <x v="0"/>
    <s v="X.1252 : Baseline identity management terms and definitions"/>
    <m/>
    <s v="ITU-T X.1252"/>
    <s v="ITU"/>
    <s v="1.0.0"/>
    <m/>
    <x v="6"/>
    <x v="1"/>
    <x v="6"/>
    <n v="0"/>
    <n v="0"/>
    <n v="0"/>
    <x v="0"/>
  </r>
  <r>
    <x v="0"/>
    <s v="E-ARK Archival Information Packages (AIP)"/>
    <s v="AIP"/>
    <m/>
    <s v="DILCIS Board"/>
    <s v="2.1.0"/>
    <m/>
    <x v="7"/>
    <x v="0"/>
    <x v="1"/>
    <n v="0"/>
    <n v="0"/>
    <n v="0"/>
    <x v="0"/>
  </r>
  <r>
    <x v="0"/>
    <s v="Core Accessibility API Mappings"/>
    <m/>
    <m/>
    <s v="W3C"/>
    <s v="1.1.0"/>
    <m/>
    <x v="7"/>
    <x v="0"/>
    <x v="5"/>
    <n v="0"/>
    <n v="0"/>
    <n v="0"/>
    <x v="0"/>
  </r>
  <r>
    <x v="0"/>
    <s v="ISO/IEC 19763 Series Information technology — Metamodel framework for interoperability (MFI)"/>
    <s v="MFI"/>
    <s v="ISO/IEC 19763 MFI"/>
    <s v="ISO"/>
    <s v="1.0.0"/>
    <m/>
    <x v="0"/>
    <x v="0"/>
    <x v="0"/>
    <n v="0"/>
    <n v="0"/>
    <n v="2"/>
    <x v="0"/>
  </r>
  <r>
    <x v="0"/>
    <s v="Web Share API"/>
    <m/>
    <m/>
    <s v="W3C"/>
    <s v="0.9.0"/>
    <m/>
    <x v="7"/>
    <x v="0"/>
    <x v="1"/>
    <n v="0"/>
    <n v="0"/>
    <n v="0"/>
    <x v="0"/>
  </r>
  <r>
    <x v="0"/>
    <s v="OpenID4VC High-Assurance Interoperability Profile (HAIP) with SD-JWT VC"/>
    <m/>
    <s v="OpenID4VC HAIP"/>
    <s v="OpenID"/>
    <s v="1.0.0"/>
    <m/>
    <x v="1"/>
    <x v="1"/>
    <x v="0"/>
    <n v="0"/>
    <n v="0"/>
    <n v="0"/>
    <x v="0"/>
  </r>
  <r>
    <x v="0"/>
    <s v="Cyber Security for Consumer Internet of Things Baseline Requirements (EN 303 645 3.1.3)"/>
    <m/>
    <s v="EN 303 645"/>
    <s v="ETSI"/>
    <s v="3.1.3"/>
    <m/>
    <x v="2"/>
    <x v="0"/>
    <x v="0"/>
    <n v="0"/>
    <n v="2"/>
    <n v="0"/>
    <x v="0"/>
  </r>
  <r>
    <x v="0"/>
    <s v="XML Schema Definition Language (XSD) 1.1 Part 1: Structures"/>
    <s v="XSD"/>
    <m/>
    <s v="W3C"/>
    <s v="1.1.0"/>
    <m/>
    <x v="0"/>
    <x v="0"/>
    <x v="0"/>
    <n v="0"/>
    <n v="0"/>
    <n v="3"/>
    <x v="2"/>
  </r>
  <r>
    <x v="0"/>
    <s v="System for Cross-domain Identity Management (SCIM) Protocol (RFC 7644)"/>
    <s v="SCIM"/>
    <s v="RFC 7644"/>
    <s v="IETF"/>
    <s v="22.0.0"/>
    <m/>
    <x v="6"/>
    <x v="2"/>
    <x v="4"/>
    <n v="0"/>
    <n v="0"/>
    <n v="0"/>
    <x v="0"/>
  </r>
  <r>
    <x v="0"/>
    <s v="data.europe.eu (DEU)"/>
    <s v="DEU"/>
    <m/>
    <s v="OP"/>
    <s v="1.0.0"/>
    <m/>
    <x v="8"/>
    <x v="1"/>
    <x v="0"/>
    <n v="0"/>
    <n v="0"/>
    <n v="2"/>
    <x v="0"/>
  </r>
  <r>
    <x v="0"/>
    <s v="Directive 2014/23/EU of the European Parliament and of the Council of 26 February 2014 on the award of concession contracts Text with EEA relevance"/>
    <m/>
    <s v="Directive 2014/23/EU"/>
    <s v="OP"/>
    <s v="L 94/1"/>
    <m/>
    <x v="9"/>
    <x v="0"/>
    <x v="0"/>
    <n v="1"/>
    <n v="0"/>
    <n v="0"/>
    <x v="0"/>
  </r>
  <r>
    <x v="0"/>
    <s v="OData"/>
    <s v="OData"/>
    <m/>
    <s v="OASIS"/>
    <s v="4.1.0"/>
    <m/>
    <x v="7"/>
    <x v="0"/>
    <x v="1"/>
    <n v="0"/>
    <n v="0"/>
    <n v="0"/>
    <x v="1"/>
  </r>
  <r>
    <x v="0"/>
    <s v="Securing Artificial Intelligence (SAI); AI Threat Ontology and definitions (ETSI TS 104 050)"/>
    <m/>
    <s v="ETSI TS 104 050"/>
    <s v="ETSI"/>
    <s v="1.1.1"/>
    <m/>
    <x v="15"/>
    <x v="0"/>
    <x v="0"/>
    <n v="0"/>
    <n v="1"/>
    <n v="3"/>
    <x v="0"/>
  </r>
  <r>
    <x v="0"/>
    <s v="IEEE P3652.1, Guide for Architectural Framework and Application of Federated Machine Learning"/>
    <m/>
    <s v="IEEE P3652.1"/>
    <s v="IEEE"/>
    <s v="1.0.0"/>
    <m/>
    <x v="4"/>
    <x v="1"/>
    <x v="0"/>
    <n v="0"/>
    <n v="1"/>
    <n v="0"/>
    <x v="0"/>
  </r>
  <r>
    <x v="0"/>
    <s v="ETSI TS 133 501 5G; Security architecture and procedures for 5G System (3GPP TS 33.501 version 18.6.0 Release 18)"/>
    <s v="ETSI TS 133 501 5G"/>
    <m/>
    <s v="ETSI"/>
    <s v="18.6.0"/>
    <m/>
    <x v="6"/>
    <x v="1"/>
    <x v="1"/>
    <n v="0"/>
    <n v="0"/>
    <n v="0"/>
    <x v="0"/>
  </r>
  <r>
    <x v="0"/>
    <s v="IDSA Rulebook"/>
    <m/>
    <m/>
    <s v="IDSA"/>
    <s v="2.0.0"/>
    <m/>
    <x v="0"/>
    <x v="0"/>
    <x v="0"/>
    <n v="0"/>
    <n v="0"/>
    <n v="2"/>
    <x v="0"/>
  </r>
  <r>
    <x v="0"/>
    <s v="EDC (SOV-001 Eclipse Data Space Connector)"/>
    <s v="EDC"/>
    <m/>
    <s v="CATENA-X"/>
    <s v="1.0.0"/>
    <m/>
    <x v="7"/>
    <x v="0"/>
    <x v="5"/>
    <n v="0"/>
    <n v="0"/>
    <n v="0"/>
    <x v="0"/>
  </r>
  <r>
    <x v="0"/>
    <s v="Electronic Signatures and Infrastructures (ESI); Registered Electronic Mail (REM) Services; Part 3: Formats (ETSI EN 319 532-3)"/>
    <m/>
    <s v="ETSI EN 319 532-3"/>
    <s v="ETSI"/>
    <s v="1.2.1"/>
    <m/>
    <x v="12"/>
    <x v="0"/>
    <x v="0"/>
    <n v="0"/>
    <n v="0"/>
    <n v="0"/>
    <x v="0"/>
  </r>
  <r>
    <x v="0"/>
    <s v="eProcurement Ontology"/>
    <s v="ePO"/>
    <m/>
    <s v="EC"/>
    <s v="3.0.0"/>
    <m/>
    <x v="0"/>
    <x v="0"/>
    <x v="0"/>
    <n v="0"/>
    <n v="0"/>
    <n v="1"/>
    <x v="0"/>
  </r>
  <r>
    <x v="0"/>
    <s v="REGULATION (EU) 2018/1725 OF THE EUROPEAN PARLIAMENT AND OF THE COUNCIL of 23 October 2018 on the protection of natural persons with regard to the processing of personal data by the Union institutions, bodies, offices and agencies and on the free movement of such data, and repealing Regulation (EC) No 45/2001 and Decision No 1247/2002/EC"/>
    <m/>
    <m/>
    <s v="OP"/>
    <s v="L 295/39"/>
    <m/>
    <x v="0"/>
    <x v="0"/>
    <x v="0"/>
    <n v="0"/>
    <n v="0"/>
    <n v="1"/>
    <x v="0"/>
  </r>
  <r>
    <x v="0"/>
    <s v="Workflow Execution Service (WES) API"/>
    <s v="WES API"/>
    <m/>
    <s v="GA4GH"/>
    <s v="1.0.0"/>
    <m/>
    <x v="1"/>
    <x v="5"/>
    <x v="0"/>
    <n v="0"/>
    <n v="0"/>
    <n v="0"/>
    <x v="0"/>
  </r>
  <r>
    <x v="0"/>
    <s v="EPUB"/>
    <s v="EPUB"/>
    <m/>
    <s v="W3C"/>
    <s v="3.2.0"/>
    <m/>
    <x v="16"/>
    <x v="0"/>
    <x v="0"/>
    <n v="1"/>
    <n v="0"/>
    <n v="1"/>
    <x v="0"/>
  </r>
  <r>
    <x v="0"/>
    <s v="Cascading Style Sheets (CSS) v2.1"/>
    <s v="CSS"/>
    <m/>
    <s v="W3C"/>
    <s v="2.1.0"/>
    <m/>
    <x v="12"/>
    <x v="0"/>
    <x v="0"/>
    <n v="0"/>
    <n v="0"/>
    <n v="0"/>
    <x v="0"/>
  </r>
  <r>
    <x v="0"/>
    <s v="ITU-T Y.3605  Big data reference architecture"/>
    <m/>
    <s v="ITU-T Y.3605"/>
    <s v="ITU"/>
    <s v="1.0.0"/>
    <m/>
    <x v="7"/>
    <x v="0"/>
    <x v="1"/>
    <n v="0"/>
    <n v="0"/>
    <n v="0"/>
    <x v="0"/>
  </r>
  <r>
    <x v="0"/>
    <s v="DIRECTIVE (EU) 2015/2366 OF THE EUROPEAN PARLIAMENT AND OF THE COUNCIL of 25 November 2015 on payment services in the internal market, amending Directives 2002/65/EC, 2009/110/EC and 2013/36/EU and Regulation (EU) No 1093/2010, and repealing Directive 2007/64/EC"/>
    <m/>
    <s v="Directive 2015/2366/EU"/>
    <s v="OP"/>
    <s v="L 337/35"/>
    <m/>
    <x v="9"/>
    <x v="0"/>
    <x v="0"/>
    <n v="5"/>
    <n v="0"/>
    <n v="0"/>
    <x v="0"/>
  </r>
  <r>
    <x v="0"/>
    <s v="CSV on the Web"/>
    <s v="CSVW"/>
    <m/>
    <s v="CSV on the Web Working Group"/>
    <s v="1.0.0"/>
    <m/>
    <x v="5"/>
    <x v="0"/>
    <x v="1"/>
    <n v="0"/>
    <n v="0"/>
    <n v="2"/>
    <x v="0"/>
  </r>
  <r>
    <x v="0"/>
    <s v="Key performance indicators for smart sustainable cities to assess the achievement of sustainable development goals"/>
    <m/>
    <s v="ITU-T Y.4903"/>
    <s v="ITU"/>
    <s v="2.0.0"/>
    <m/>
    <x v="2"/>
    <x v="0"/>
    <x v="0"/>
    <n v="0"/>
    <n v="2"/>
    <n v="0"/>
    <x v="0"/>
  </r>
  <r>
    <x v="0"/>
    <s v="OWL-based Web Service Ontology (OWL-S)"/>
    <s v="OWL-S"/>
    <m/>
    <s v="W3C"/>
    <s v="1.0.0"/>
    <m/>
    <x v="0"/>
    <x v="0"/>
    <x v="0"/>
    <n v="0"/>
    <n v="0"/>
    <n v="2"/>
    <x v="0"/>
  </r>
  <r>
    <x v="0"/>
    <s v="G8 Open Data Charter"/>
    <m/>
    <m/>
    <s v="ODC"/>
    <s v="1.0.0"/>
    <m/>
    <x v="2"/>
    <x v="0"/>
    <x v="0"/>
    <n v="0"/>
    <n v="1"/>
    <n v="0"/>
    <x v="0"/>
  </r>
  <r>
    <x v="0"/>
    <s v="ISO/IEC 27000:2018 Information technology — Security techniques — Information security management systems — Overview and vocabulary"/>
    <m/>
    <s v="ISO/IEC 27000:2018"/>
    <s v="ISO"/>
    <s v="5.0.0"/>
    <m/>
    <x v="4"/>
    <x v="1"/>
    <x v="0"/>
    <n v="0"/>
    <n v="2"/>
    <n v="0"/>
    <x v="0"/>
  </r>
  <r>
    <x v="0"/>
    <s v="IDSA Dataspace Protocol"/>
    <m/>
    <m/>
    <s v="IDSA"/>
    <s v="1.0.0"/>
    <m/>
    <x v="7"/>
    <x v="0"/>
    <x v="7"/>
    <n v="0"/>
    <n v="0"/>
    <n v="0"/>
    <x v="1"/>
  </r>
  <r>
    <x v="0"/>
    <s v="Comma-Separated Values (CSV) (RFC 4180)"/>
    <s v="CSV"/>
    <s v="RFC 4180"/>
    <s v="IETF"/>
    <s v="5.0.0"/>
    <m/>
    <x v="0"/>
    <x v="0"/>
    <x v="0"/>
    <n v="0"/>
    <n v="0"/>
    <n v="2"/>
    <x v="2"/>
  </r>
  <r>
    <x v="0"/>
    <s v="File Transfer Protocol (FTP) (RFC 959)"/>
    <s v="FTP"/>
    <s v="RFC 959"/>
    <s v="IETF"/>
    <s v="1.0.0"/>
    <m/>
    <x v="6"/>
    <x v="5"/>
    <x v="1"/>
    <n v="0"/>
    <n v="0"/>
    <n v="0"/>
    <x v="2"/>
  </r>
  <r>
    <x v="0"/>
    <s v="Domain-based Message Authentication, Reporting &amp; Conformance (DMARC)"/>
    <s v="DMARC"/>
    <m/>
    <s v="IETF"/>
    <s v="13.0.0"/>
    <m/>
    <x v="5"/>
    <x v="0"/>
    <x v="1"/>
    <n v="0"/>
    <n v="0"/>
    <n v="3"/>
    <x v="0"/>
  </r>
  <r>
    <x v="0"/>
    <s v="Code List Representation (genericode)"/>
    <m/>
    <s v="genericode"/>
    <s v="OASIS"/>
    <s v="1.0.0"/>
    <m/>
    <x v="0"/>
    <x v="0"/>
    <x v="0"/>
    <n v="0"/>
    <n v="0"/>
    <n v="3"/>
    <x v="1"/>
  </r>
  <r>
    <x v="0"/>
    <s v="Software Independent Archival of Relational Databases (SIARD) format specification"/>
    <s v="SIARD"/>
    <m/>
    <s v="SAF"/>
    <s v="2.2.0"/>
    <m/>
    <x v="7"/>
    <x v="0"/>
    <x v="1"/>
    <n v="0"/>
    <n v="0"/>
    <n v="0"/>
    <x v="0"/>
  </r>
  <r>
    <x v="0"/>
    <s v="Research Data Repository Interoperability Recommendations"/>
    <m/>
    <m/>
    <s v="RDA"/>
    <s v="None"/>
    <m/>
    <x v="12"/>
    <x v="0"/>
    <x v="0"/>
    <n v="0"/>
    <n v="0"/>
    <n v="0"/>
    <x v="0"/>
  </r>
  <r>
    <x v="0"/>
    <s v="ISO/TS 10020:2022 Quality management systems - Organizational change management - Processes"/>
    <m/>
    <s v="ISO/TS 10020:2022"/>
    <s v="ISO"/>
    <s v="1.0.0"/>
    <m/>
    <x v="2"/>
    <x v="0"/>
    <x v="0"/>
    <n v="0"/>
    <n v="1"/>
    <n v="0"/>
    <x v="0"/>
  </r>
  <r>
    <x v="0"/>
    <s v="Accessibility requirements for ICT products and services (EN 301 549)"/>
    <m/>
    <s v="EN 301 549"/>
    <s v="ETSI"/>
    <s v="3.2.1"/>
    <m/>
    <x v="2"/>
    <x v="0"/>
    <x v="0"/>
    <n v="0"/>
    <n v="1"/>
    <n v="0"/>
    <x v="0"/>
  </r>
  <r>
    <x v="0"/>
    <s v="Storage Management Initiative Specification (SMI-S)"/>
    <s v="SMI-S"/>
    <m/>
    <s v="SNIA"/>
    <s v="1.8.0"/>
    <m/>
    <x v="1"/>
    <x v="2"/>
    <x v="0"/>
    <n v="0"/>
    <n v="0"/>
    <n v="0"/>
    <x v="0"/>
  </r>
  <r>
    <x v="0"/>
    <s v="Data Catalog Vocabulary (DCAT) - Version 3"/>
    <s v="DCAT"/>
    <m/>
    <s v="W3C"/>
    <s v="3.0.0"/>
    <m/>
    <x v="5"/>
    <x v="0"/>
    <x v="2"/>
    <n v="0"/>
    <n v="0"/>
    <n v="10"/>
    <x v="0"/>
  </r>
  <r>
    <x v="0"/>
    <s v="Statistical Data and Metadata Exchange (SDMX)"/>
    <s v="SDMX"/>
    <m/>
    <s v="SDMX Initiative"/>
    <s v="3.0.0"/>
    <m/>
    <x v="0"/>
    <x v="0"/>
    <x v="0"/>
    <n v="0"/>
    <n v="0"/>
    <n v="1"/>
    <x v="0"/>
  </r>
  <r>
    <x v="0"/>
    <s v="CEN/CWA 18125 :2024 ‘Trusted Data Transaction'"/>
    <m/>
    <s v="Trusted Data Transaction"/>
    <s v="CEN-CENELEC"/>
    <s v="1.0.0"/>
    <m/>
    <x v="0"/>
    <x v="0"/>
    <x v="0"/>
    <n v="0"/>
    <n v="0"/>
    <n v="4"/>
    <x v="0"/>
  </r>
  <r>
    <x v="0"/>
    <s v="Internet Protocol Security (IPSec)"/>
    <s v="IPSec"/>
    <m/>
    <s v="IETF"/>
    <s v="6.0.0"/>
    <m/>
    <x v="6"/>
    <x v="1"/>
    <x v="1"/>
    <n v="0"/>
    <n v="0"/>
    <n v="0"/>
    <x v="3"/>
  </r>
  <r>
    <x v="0"/>
    <s v="X.509 Internet Public Key Infrastructure Online Certificate Status Protocol - OCSP"/>
    <s v="OCSP"/>
    <s v="RFC 6960"/>
    <s v="IETF"/>
    <s v="8.0.0"/>
    <m/>
    <x v="7"/>
    <x v="0"/>
    <x v="5"/>
    <n v="0"/>
    <n v="0"/>
    <n v="0"/>
    <x v="1"/>
  </r>
  <r>
    <x v="0"/>
    <s v="MyData Data Connection Specification"/>
    <m/>
    <m/>
    <s v="HIIT"/>
    <s v="1.2.1"/>
    <m/>
    <x v="7"/>
    <x v="0"/>
    <x v="3"/>
    <n v="0"/>
    <n v="0"/>
    <n v="0"/>
    <x v="0"/>
  </r>
  <r>
    <x v="0"/>
    <s v="Geography Markup Language (GML)"/>
    <s v="GML"/>
    <m/>
    <s v="OGC"/>
    <s v="3.3.0"/>
    <m/>
    <x v="0"/>
    <x v="0"/>
    <x v="0"/>
    <n v="0"/>
    <n v="0"/>
    <n v="4"/>
    <x v="0"/>
  </r>
  <r>
    <x v="0"/>
    <s v="Security framework for the Internet of things based on the gateway model"/>
    <m/>
    <s v="ITU-T X.1361"/>
    <s v="ITU"/>
    <s v="1.0.0"/>
    <m/>
    <x v="12"/>
    <x v="0"/>
    <x v="0"/>
    <n v="0"/>
    <n v="0"/>
    <n v="0"/>
    <x v="0"/>
  </r>
  <r>
    <x v="0"/>
    <s v="ITU-T X.1604 Security requirements of network as a service (NaaS) in cloud computing"/>
    <m/>
    <s v="ITU-T X.1604"/>
    <s v="ITU"/>
    <s v="1.0.0"/>
    <m/>
    <x v="4"/>
    <x v="1"/>
    <x v="0"/>
    <n v="0"/>
    <n v="1"/>
    <n v="0"/>
    <x v="0"/>
  </r>
  <r>
    <x v="0"/>
    <s v="DNS Queries over HTTPS (DoH) RFC 8484"/>
    <s v="DoH"/>
    <s v="RFC 8484"/>
    <s v="IETF"/>
    <s v="14.0.0"/>
    <m/>
    <x v="6"/>
    <x v="1"/>
    <x v="5"/>
    <n v="0"/>
    <n v="0"/>
    <n v="0"/>
    <x v="1"/>
  </r>
  <r>
    <x v="0"/>
    <s v="Data on the Web Best Practices W3C"/>
    <s v="DWBP"/>
    <m/>
    <s v="W3C"/>
    <s v="1.0.0"/>
    <m/>
    <x v="12"/>
    <x v="0"/>
    <x v="0"/>
    <n v="0"/>
    <n v="0"/>
    <n v="0"/>
    <x v="0"/>
  </r>
  <r>
    <x v="0"/>
    <s v="Electronic Signatures and Trust Infrastructures (ESI); Policy and security requirements for  Trust Service Providers issuing certificates; Part 2: Requirements for trust service providers issuing EU qualified certificates (ETSI EN 319 411-2)"/>
    <m/>
    <s v="ETSI EN 319 411-2"/>
    <s v="ETSI"/>
    <s v="2.6.1"/>
    <m/>
    <x v="7"/>
    <x v="0"/>
    <x v="2"/>
    <n v="0"/>
    <n v="0"/>
    <n v="0"/>
    <x v="0"/>
  </r>
  <r>
    <x v="0"/>
    <s v="Electronic Signatures and Infrastructures (ESI); Trust Service Provider Conformity Assessment; Part 1: Requirements for conformity assessment bodies assessing Trust Service Providers"/>
    <m/>
    <m/>
    <s v="ETSI"/>
    <s v="2.3.1"/>
    <m/>
    <x v="7"/>
    <x v="0"/>
    <x v="5"/>
    <n v="0"/>
    <n v="0"/>
    <n v="0"/>
    <x v="0"/>
  </r>
  <r>
    <x v="0"/>
    <s v="OSLC Tracked Resource Set Version 3.0"/>
    <s v="OSLC TRS"/>
    <m/>
    <s v="OASIS"/>
    <s v="3.0.0"/>
    <m/>
    <x v="6"/>
    <x v="1"/>
    <x v="5"/>
    <n v="0"/>
    <n v="0"/>
    <n v="0"/>
    <x v="0"/>
  </r>
  <r>
    <x v="0"/>
    <s v="European Interoperability Reference Architecture (EIRA) v3.1.0"/>
    <s v="EIRA"/>
    <m/>
    <s v="EC"/>
    <s v="3.1.0"/>
    <m/>
    <x v="13"/>
    <x v="0"/>
    <x v="5"/>
    <n v="0"/>
    <n v="1"/>
    <n v="0"/>
    <x v="0"/>
  </r>
  <r>
    <x v="0"/>
    <s v="iShare Trust Framework"/>
    <m/>
    <m/>
    <s v="iShare"/>
    <s v="2.0.1"/>
    <m/>
    <x v="19"/>
    <x v="1"/>
    <x v="6"/>
    <n v="0"/>
    <n v="1"/>
    <n v="0"/>
    <x v="0"/>
  </r>
  <r>
    <x v="0"/>
    <s v="XML Security Policy Information File (SPIF) format"/>
    <s v="SPIF"/>
    <m/>
    <s v="XMLSPIF.org"/>
    <s v="1.0.0"/>
    <m/>
    <x v="0"/>
    <x v="0"/>
    <x v="0"/>
    <n v="0"/>
    <n v="0"/>
    <n v="2"/>
    <x v="0"/>
  </r>
  <r>
    <x v="0"/>
    <s v="Regulation (EU) 2023/2854 of the European Parliament and of the Council of 13 December 2023 on harmonised rules on fair access to and use of data and amending Regulation (EU) 2017/2394 and Directive (EU) 2020/1828 (Data Act)"/>
    <m/>
    <m/>
    <s v="European Parliament. Council of the European Union."/>
    <s v="1.0.0"/>
    <m/>
    <x v="9"/>
    <x v="0"/>
    <x v="0"/>
    <n v="3"/>
    <n v="0"/>
    <n v="0"/>
    <x v="0"/>
  </r>
  <r>
    <x v="0"/>
    <s v="Filesystem Hierarchy Standard (FHS)"/>
    <s v="FHS"/>
    <m/>
    <s v="Linux Foundation"/>
    <s v="4.0.0"/>
    <m/>
    <x v="6"/>
    <x v="1"/>
    <x v="1"/>
    <n v="0"/>
    <n v="0"/>
    <n v="0"/>
    <x v="0"/>
  </r>
  <r>
    <x v="0"/>
    <s v="vCard Format Specification"/>
    <s v="vCard"/>
    <m/>
    <s v="IETF"/>
    <s v="4.0.0"/>
    <m/>
    <x v="7"/>
    <x v="0"/>
    <x v="1"/>
    <n v="0"/>
    <n v="0"/>
    <n v="0"/>
    <x v="0"/>
  </r>
  <r>
    <x v="0"/>
    <s v="Transmission Control Protocol (TCP) Specification"/>
    <s v="TCP"/>
    <m/>
    <s v="IETF"/>
    <s v="28.0.0"/>
    <m/>
    <x v="7"/>
    <x v="0"/>
    <x v="1"/>
    <n v="0"/>
    <n v="0"/>
    <n v="0"/>
    <x v="0"/>
  </r>
  <r>
    <x v="0"/>
    <s v="AMQP Filter Expressions"/>
    <m/>
    <m/>
    <s v="OASIS"/>
    <s v="1.0.0"/>
    <m/>
    <x v="0"/>
    <x v="0"/>
    <x v="0"/>
    <n v="0"/>
    <n v="0"/>
    <n v="1"/>
    <x v="0"/>
  </r>
  <r>
    <x v="0"/>
    <s v="ETL specification"/>
    <s v="ETL"/>
    <m/>
    <s v="DataSF"/>
    <s v="1.0.0"/>
    <m/>
    <x v="7"/>
    <x v="0"/>
    <x v="1"/>
    <n v="0"/>
    <n v="0"/>
    <n v="0"/>
    <x v="0"/>
  </r>
  <r>
    <x v="0"/>
    <s v="GAIA-X Federated Services Continuous Automated Monitoring Compliance Specification (working draft)"/>
    <s v="GXFS CAM"/>
    <m/>
    <s v="GAIA-X"/>
    <s v="working draft"/>
    <m/>
    <x v="6"/>
    <x v="1"/>
    <x v="1"/>
    <n v="0"/>
    <n v="0"/>
    <n v="0"/>
    <x v="0"/>
  </r>
  <r>
    <x v="0"/>
    <s v="Peppol Continuous Transaction Controls (Peppol CTC) Reference Document"/>
    <m/>
    <m/>
    <s v="PEPPOL"/>
    <s v="1.0.0"/>
    <m/>
    <x v="8"/>
    <x v="2"/>
    <x v="0"/>
    <n v="0"/>
    <n v="0"/>
    <n v="2"/>
    <x v="0"/>
  </r>
  <r>
    <x v="0"/>
    <s v="ISO/IEC 38505-1: Information technology - Governance of IT - Part 1: Application of ISO/IEC 38500 to the governance of data"/>
    <m/>
    <s v="ISO/IEC 38505-1"/>
    <s v="ISO"/>
    <s v="1.0.0"/>
    <m/>
    <x v="2"/>
    <x v="0"/>
    <x v="0"/>
    <n v="0"/>
    <n v="1"/>
    <n v="0"/>
    <x v="0"/>
  </r>
  <r>
    <x v="0"/>
    <s v="IEEE 7002 - Standard for Data Privacy Process"/>
    <m/>
    <s v="IEEE 7002"/>
    <s v="IEEE"/>
    <s v="1.0.0"/>
    <m/>
    <x v="7"/>
    <x v="0"/>
    <x v="1"/>
    <n v="0"/>
    <n v="0"/>
    <n v="0"/>
    <x v="0"/>
  </r>
  <r>
    <x v="0"/>
    <s v="Concise Binary Object Representation (CBOR) Tags for Date (RFC 8943)"/>
    <s v="CBOR"/>
    <s v="RFC 8943"/>
    <s v="IETF"/>
    <s v="1.0.0"/>
    <m/>
    <x v="0"/>
    <x v="0"/>
    <x v="0"/>
    <n v="0"/>
    <n v="0"/>
    <n v="1"/>
    <x v="0"/>
  </r>
  <r>
    <x v="0"/>
    <s v="User Agent Accessibility Guidelines (UAAG)"/>
    <s v="UAAG"/>
    <m/>
    <s v="W3C"/>
    <s v="2.0.0"/>
    <m/>
    <x v="12"/>
    <x v="0"/>
    <x v="0"/>
    <n v="0"/>
    <n v="0"/>
    <n v="0"/>
    <x v="0"/>
  </r>
  <r>
    <x v="0"/>
    <s v="Internet X.509 Public Key Infrastructure Certificate Policy and Certification Practices Framework (RFC 3647)"/>
    <m/>
    <s v="RFC 3647"/>
    <s v="IETF"/>
    <s v="1.0.0"/>
    <m/>
    <x v="0"/>
    <x v="0"/>
    <x v="0"/>
    <n v="0"/>
    <n v="0"/>
    <n v="2"/>
    <x v="0"/>
  </r>
  <r>
    <x v="0"/>
    <s v="Secure Shell Protocol (SSH)"/>
    <s v="SSH"/>
    <m/>
    <s v="IETF"/>
    <s v="1.0.0"/>
    <m/>
    <x v="7"/>
    <x v="0"/>
    <x v="1"/>
    <n v="0"/>
    <n v="0"/>
    <n v="0"/>
    <x v="0"/>
  </r>
  <r>
    <x v="0"/>
    <s v="Apache License version 2"/>
    <m/>
    <m/>
    <s v="Apache Software Foundation"/>
    <s v="2.0.0"/>
    <m/>
    <x v="7"/>
    <x v="0"/>
    <x v="5"/>
    <n v="0"/>
    <n v="0"/>
    <n v="0"/>
    <x v="0"/>
  </r>
  <r>
    <x v="0"/>
    <s v="Kerberos"/>
    <m/>
    <m/>
    <s v="MIT"/>
    <s v="1.20.0"/>
    <m/>
    <x v="7"/>
    <x v="0"/>
    <x v="1"/>
    <n v="0"/>
    <n v="0"/>
    <n v="0"/>
    <x v="0"/>
  </r>
  <r>
    <x v="0"/>
    <s v="IPv6 over BLUETOOTH(R) Low Energy"/>
    <m/>
    <s v="RFC 7668"/>
    <s v="IETF"/>
    <s v="1.0.0"/>
    <m/>
    <x v="6"/>
    <x v="1"/>
    <x v="3"/>
    <n v="0"/>
    <n v="0"/>
    <n v="0"/>
    <x v="0"/>
  </r>
  <r>
    <x v="0"/>
    <s v="DIRECTIVE (EU) 2018/1972 OF THE EUROPEAN PARLIAMENT AND OF THE COUNCIL of 11 December 2018 establishing the European Electronic Communications Code"/>
    <m/>
    <s v="Directive 2018/1972/EU"/>
    <s v="OP"/>
    <s v="L 321/36"/>
    <m/>
    <x v="9"/>
    <x v="0"/>
    <x v="0"/>
    <n v="5"/>
    <n v="0"/>
    <n v="0"/>
    <x v="0"/>
  </r>
  <r>
    <x v="0"/>
    <s v="Regulation (EC) No 45/2001 of the European Parliament and of the Council of 18 December 2000 on the protection of individuals with regard to the processing of personal data by the Community institutions and bodies and on the free movement of such data"/>
    <m/>
    <m/>
    <s v="OP"/>
    <s v="L 008"/>
    <m/>
    <x v="0"/>
    <x v="0"/>
    <x v="0"/>
    <n v="0"/>
    <n v="0"/>
    <n v="6"/>
    <x v="0"/>
  </r>
  <r>
    <x v="0"/>
    <s v="Observing Resources in the Constrained Application Protocol (CoAP) (RFC 7641)"/>
    <m/>
    <m/>
    <s v="IETF"/>
    <s v="1.0.0"/>
    <m/>
    <x v="6"/>
    <x v="2"/>
    <x v="1"/>
    <n v="0"/>
    <n v="0"/>
    <n v="0"/>
    <x v="0"/>
  </r>
  <r>
    <x v="0"/>
    <s v="Software Package Data Exchange (SPDX)"/>
    <s v="SPDX"/>
    <m/>
    <s v="Linux Foundation"/>
    <s v="3.0.0"/>
    <m/>
    <x v="5"/>
    <x v="0"/>
    <x v="1"/>
    <n v="0"/>
    <n v="0"/>
    <n v="1"/>
    <x v="0"/>
  </r>
  <r>
    <x v="0"/>
    <s v="OGC Training Data Markup Language for Artificial Intelligence (TrainingDML-AI) Part 1: Conceptual Model Standard."/>
    <m/>
    <s v="TrainingDML-AI"/>
    <s v="OGC"/>
    <s v="1.0.0"/>
    <m/>
    <x v="6"/>
    <x v="1"/>
    <x v="1"/>
    <n v="0"/>
    <n v="0"/>
    <n v="0"/>
    <x v="1"/>
  </r>
  <r>
    <x v="0"/>
    <s v="Improved Extensible Authentication Protocol Method for 3rd Generation Authentication and Key Agreement (EAP-AKA')"/>
    <m/>
    <s v="RFC 5448"/>
    <s v="IETF"/>
    <s v="1.0.0"/>
    <m/>
    <x v="7"/>
    <x v="0"/>
    <x v="2"/>
    <n v="0"/>
    <n v="0"/>
    <n v="0"/>
    <x v="0"/>
  </r>
  <r>
    <x v="0"/>
    <s v="Open Document Format for Office Applications (OpenDocument)"/>
    <m/>
    <s v="OpenDocument"/>
    <s v="OASIS"/>
    <s v="1.3.0"/>
    <m/>
    <x v="7"/>
    <x v="0"/>
    <x v="1"/>
    <n v="0"/>
    <n v="0"/>
    <n v="0"/>
    <x v="0"/>
  </r>
  <r>
    <x v="0"/>
    <s v="Office Open XML File Formats Part 3: Markup Compatibility and Extensibility"/>
    <m/>
    <s v="ISO/IEC 29500-3:2015"/>
    <s v="ISO"/>
    <s v="4.0.0"/>
    <m/>
    <x v="7"/>
    <x v="0"/>
    <x v="2"/>
    <n v="0"/>
    <n v="0"/>
    <n v="0"/>
    <x v="0"/>
  </r>
  <r>
    <x v="0"/>
    <s v="Ontology Design Patterns (ODP)"/>
    <s v="ODP"/>
    <m/>
    <s v="ODP"/>
    <s v="1.0.0"/>
    <m/>
    <x v="0"/>
    <x v="0"/>
    <x v="0"/>
    <n v="0"/>
    <n v="0"/>
    <n v="2"/>
    <x v="0"/>
  </r>
  <r>
    <x v="0"/>
    <s v="JSON-LD"/>
    <s v="JSON-LD"/>
    <m/>
    <s v="W3C"/>
    <s v="1.1.0"/>
    <m/>
    <x v="0"/>
    <x v="0"/>
    <x v="0"/>
    <n v="0"/>
    <n v="0"/>
    <n v="3"/>
    <x v="0"/>
  </r>
  <r>
    <x v="0"/>
    <s v="Open Trip Model"/>
    <s v="OTM"/>
    <m/>
    <s v="SIMACAN"/>
    <s v="5.0.0"/>
    <m/>
    <x v="7"/>
    <x v="0"/>
    <x v="3"/>
    <n v="0"/>
    <n v="0"/>
    <n v="0"/>
    <x v="0"/>
  </r>
  <r>
    <x v="0"/>
    <s v="Data Distribution Service (DDS)"/>
    <s v="DDS"/>
    <m/>
    <s v="OMG"/>
    <s v="1.4.0"/>
    <m/>
    <x v="6"/>
    <x v="1"/>
    <x v="1"/>
    <n v="0"/>
    <n v="0"/>
    <n v="0"/>
    <x v="0"/>
  </r>
  <r>
    <x v="0"/>
    <s v="Peppol Policy for use of identifiers"/>
    <m/>
    <m/>
    <s v="PEPPOL"/>
    <s v="4.1.0"/>
    <m/>
    <x v="5"/>
    <x v="0"/>
    <x v="1"/>
    <n v="0"/>
    <n v="0"/>
    <n v="1"/>
    <x v="0"/>
  </r>
  <r>
    <x v="0"/>
    <s v="EBSI - Verifiable Credentials Status Framework (EBSI-VC SF)"/>
    <s v="EBSI-VC SF"/>
    <m/>
    <s v="EC"/>
    <s v="3.0.0"/>
    <m/>
    <x v="1"/>
    <x v="1"/>
    <x v="0"/>
    <n v="0"/>
    <n v="0"/>
    <n v="0"/>
    <x v="0"/>
  </r>
  <r>
    <x v="0"/>
    <s v="ISO/IEC 27001 INFORMATION SECURITY MANAGEMENT"/>
    <m/>
    <s v="ISO/IEC 27001:2022"/>
    <s v="ISO"/>
    <s v="2.0.0"/>
    <m/>
    <x v="2"/>
    <x v="0"/>
    <x v="0"/>
    <n v="0"/>
    <n v="2"/>
    <n v="0"/>
    <x v="1"/>
  </r>
  <r>
    <x v="0"/>
    <s v="RDF Mapping Language (RML)"/>
    <s v="RML"/>
    <m/>
    <s v="W3C"/>
    <s v="1.1.0"/>
    <m/>
    <x v="5"/>
    <x v="0"/>
    <x v="1"/>
    <n v="0"/>
    <n v="0"/>
    <n v="6"/>
    <x v="0"/>
  </r>
  <r>
    <x v="0"/>
    <s v="Business Document Naming and Design Rules (BDNDR)"/>
    <s v="BDNDR"/>
    <m/>
    <s v="OASIS"/>
    <s v="1.1.0"/>
    <m/>
    <x v="5"/>
    <x v="0"/>
    <x v="1"/>
    <n v="0"/>
    <n v="0"/>
    <n v="4"/>
    <x v="0"/>
  </r>
  <r>
    <x v="0"/>
    <s v="Basic Digital Government API EU framework"/>
    <m/>
    <m/>
    <s v="EC"/>
    <s v="1.0.0"/>
    <m/>
    <x v="7"/>
    <x v="0"/>
    <x v="1"/>
    <n v="0"/>
    <n v="0"/>
    <n v="0"/>
    <x v="0"/>
  </r>
  <r>
    <x v="0"/>
    <s v="Concise Binary Object Representation (CBOR) (RFC 8949)"/>
    <s v="CBOR"/>
    <s v="RFC 8949"/>
    <s v="IETF"/>
    <s v="1.0.0"/>
    <m/>
    <x v="0"/>
    <x v="0"/>
    <x v="0"/>
    <n v="0"/>
    <n v="0"/>
    <n v="1"/>
    <x v="0"/>
  </r>
  <r>
    <x v="0"/>
    <s v="Electronic Signatures and Infrastructures (ESI); PAdES digital signatures; Part 2: Additional PAdES signatures profiles (ETSI EN 319 142-2)"/>
    <s v="PAdES"/>
    <s v="ETSI EN 319 142-2"/>
    <s v="ETSI"/>
    <s v="1.1.1"/>
    <m/>
    <x v="7"/>
    <x v="0"/>
    <x v="2"/>
    <n v="0"/>
    <n v="0"/>
    <n v="0"/>
    <x v="0"/>
  </r>
  <r>
    <x v="0"/>
    <s v="Asset Administration Shell (AAS) specification - Part 1 Metamodel"/>
    <s v="AAS"/>
    <m/>
    <s v="Platform Industrie 4.0"/>
    <s v="3.0.1"/>
    <m/>
    <x v="0"/>
    <x v="0"/>
    <x v="0"/>
    <n v="0"/>
    <n v="0"/>
    <n v="5"/>
    <x v="1"/>
  </r>
  <r>
    <x v="0"/>
    <s v="ESCO"/>
    <s v="ESCO"/>
    <m/>
    <s v="OP"/>
    <s v="2.1.0"/>
    <m/>
    <x v="0"/>
    <x v="0"/>
    <x v="0"/>
    <n v="0"/>
    <n v="0"/>
    <n v="1"/>
    <x v="0"/>
  </r>
  <r>
    <x v="0"/>
    <s v="SAML 2.0 - Security Assertion Markup Language"/>
    <s v="SAML"/>
    <m/>
    <s v="OASIS"/>
    <s v="2.0.0"/>
    <m/>
    <x v="7"/>
    <x v="0"/>
    <x v="6"/>
    <n v="0"/>
    <n v="0"/>
    <n v="0"/>
    <x v="2"/>
  </r>
  <r>
    <x v="0"/>
    <s v="Sensor Observation Service (SOS)"/>
    <s v="SOS"/>
    <m/>
    <s v="OGC"/>
    <s v="2.0.0"/>
    <m/>
    <x v="7"/>
    <x v="0"/>
    <x v="6"/>
    <n v="0"/>
    <n v="0"/>
    <n v="0"/>
    <x v="0"/>
  </r>
  <r>
    <x v="0"/>
    <s v="Issuing Agency (BPM - 002 Issuing Agency)"/>
    <m/>
    <m/>
    <s v="CATENA-X"/>
    <s v="2.1.0"/>
    <m/>
    <x v="7"/>
    <x v="0"/>
    <x v="1"/>
    <n v="0"/>
    <n v="0"/>
    <n v="0"/>
    <x v="0"/>
  </r>
  <r>
    <x v="0"/>
    <s v="Single Integrated Metadata Structure (SIMS)"/>
    <s v="SIMS"/>
    <m/>
    <s v="EC"/>
    <s v="2.0.0"/>
    <m/>
    <x v="0"/>
    <x v="0"/>
    <x v="0"/>
    <n v="0"/>
    <n v="0"/>
    <n v="1"/>
    <x v="0"/>
  </r>
  <r>
    <x v="0"/>
    <s v="RPKI Architecture"/>
    <m/>
    <m/>
    <s v="IETF"/>
    <s v="13.0.0"/>
    <m/>
    <x v="7"/>
    <x v="0"/>
    <x v="3"/>
    <n v="0"/>
    <n v="0"/>
    <n v="0"/>
    <x v="0"/>
  </r>
  <r>
    <x v="0"/>
    <s v="Capability Maturity Model Integration (CMMI)"/>
    <s v="CMMI"/>
    <m/>
    <s v="ISACA"/>
    <s v="2.0.0"/>
    <m/>
    <x v="7"/>
    <x v="0"/>
    <x v="5"/>
    <n v="0"/>
    <n v="0"/>
    <n v="0"/>
    <x v="0"/>
  </r>
  <r>
    <x v="0"/>
    <s v="EN 16931-1:2017+A1:2019/AC:2020"/>
    <m/>
    <s v="EN 16931-1:2017+A1:2019/AC:2020"/>
    <s v="ETSI"/>
    <s v="1.0.0"/>
    <m/>
    <x v="5"/>
    <x v="0"/>
    <x v="1"/>
    <n v="0"/>
    <n v="0"/>
    <n v="5"/>
    <x v="0"/>
  </r>
  <r>
    <x v="0"/>
    <s v="UTF-16"/>
    <s v="UTF-16"/>
    <m/>
    <s v="IETF"/>
    <s v="4.0.0"/>
    <m/>
    <x v="0"/>
    <x v="0"/>
    <x v="0"/>
    <n v="0"/>
    <n v="0"/>
    <n v="8"/>
    <x v="0"/>
  </r>
  <r>
    <x v="0"/>
    <s v="Regulation (EU) 2018/1724 of the European Parliament and of the Council of 2 October 2018 establishing a single digital gateway to provide access to information, to procedures and to assistance and problem-solving services (Single Digital Gateway)"/>
    <s v="SDG"/>
    <m/>
    <s v="OP"/>
    <s v="1.0.0"/>
    <m/>
    <x v="3"/>
    <x v="0"/>
    <x v="0"/>
    <n v="5"/>
    <n v="4"/>
    <n v="0"/>
    <x v="0"/>
  </r>
  <r>
    <x v="0"/>
    <s v="Network Functions Virtualisation (NFV); Infrastructure Overview (NFVI)"/>
    <s v="NFVI"/>
    <m/>
    <s v="ETSI"/>
    <s v="5.0.0"/>
    <m/>
    <x v="12"/>
    <x v="0"/>
    <x v="0"/>
    <n v="0"/>
    <n v="0"/>
    <n v="0"/>
    <x v="0"/>
  </r>
  <r>
    <x v="0"/>
    <s v="COMMUNICATION FROM THE COMMISSION TO THE EUROPEAN PARLIAMENT, THE COUNCIL, THE EUROPEAN ECONOMIC AND SOCIAL COMMITTEE AND THE COMMITTEE OF THE REGIONS - A Quality Framework for Services of General Interest in Europe"/>
    <m/>
    <m/>
    <s v="OP"/>
    <s v="1.0.0"/>
    <m/>
    <x v="2"/>
    <x v="0"/>
    <x v="0"/>
    <n v="0"/>
    <n v="1"/>
    <n v="0"/>
    <x v="0"/>
  </r>
  <r>
    <x v="0"/>
    <s v="Access Control Paradigm (IAM - 003 IAM &amp; Access Control Paradigm)"/>
    <m/>
    <s v="IAM-003"/>
    <s v="CATENA-X"/>
    <s v="2.1.0"/>
    <m/>
    <x v="7"/>
    <x v="0"/>
    <x v="5"/>
    <n v="0"/>
    <n v="0"/>
    <n v="0"/>
    <x v="0"/>
  </r>
  <r>
    <x v="0"/>
    <s v="Directive 2014/24/EU of the European Parliament and of the Council of 26 February 2014 on public procurement and repealing Directive 2004/18/EC Text with EEA relevance"/>
    <m/>
    <s v="Directive 2014/24/EU"/>
    <s v="OP"/>
    <s v="L 94/65"/>
    <m/>
    <x v="9"/>
    <x v="0"/>
    <x v="0"/>
    <n v="1"/>
    <n v="0"/>
    <n v="0"/>
    <x v="0"/>
  </r>
  <r>
    <x v="0"/>
    <s v="Identifier service requirements for the interoperability of smart city applications"/>
    <m/>
    <s v="ITU-T Y.4805"/>
    <s v="ITU"/>
    <s v="1.0.0"/>
    <m/>
    <x v="12"/>
    <x v="0"/>
    <x v="0"/>
    <n v="0"/>
    <n v="0"/>
    <n v="0"/>
    <x v="0"/>
  </r>
  <r>
    <x v="0"/>
    <s v="OASIS Heimdall Data Format"/>
    <s v="OHDF"/>
    <m/>
    <s v="OASIS"/>
    <s v="1.0.0"/>
    <m/>
    <x v="13"/>
    <x v="0"/>
    <x v="1"/>
    <n v="0"/>
    <n v="1"/>
    <n v="0"/>
    <x v="0"/>
  </r>
  <r>
    <x v="0"/>
    <s v="Domibus v5.1.7"/>
    <m/>
    <m/>
    <s v="EC"/>
    <s v="5.1.7"/>
    <m/>
    <x v="6"/>
    <x v="5"/>
    <x v="1"/>
    <n v="0"/>
    <n v="0"/>
    <n v="0"/>
    <x v="0"/>
  </r>
  <r>
    <x v="0"/>
    <s v="Semantically Interlinked Online Communities (SIOC) Core Ontology Specification"/>
    <s v="SIOC"/>
    <m/>
    <s v="SIOC"/>
    <s v="1.0.0"/>
    <m/>
    <x v="0"/>
    <x v="0"/>
    <x v="0"/>
    <n v="0"/>
    <n v="0"/>
    <n v="2"/>
    <x v="0"/>
  </r>
  <r>
    <x v="0"/>
    <s v="ISO 3166-1:2020 Codes for the representation of names of countries and their subdivisions -- Part 1: Country codes"/>
    <m/>
    <s v="ISO 3166-1"/>
    <s v="ISO"/>
    <s v="None"/>
    <m/>
    <x v="12"/>
    <x v="0"/>
    <x v="0"/>
    <n v="0"/>
    <n v="0"/>
    <n v="0"/>
    <x v="0"/>
  </r>
  <r>
    <x v="0"/>
    <s v="OCF Specification"/>
    <s v="OCF"/>
    <m/>
    <s v="Open Connectivity Foundation"/>
    <s v="2.2.5"/>
    <m/>
    <x v="7"/>
    <x v="0"/>
    <x v="1"/>
    <n v="0"/>
    <n v="0"/>
    <n v="0"/>
    <x v="0"/>
  </r>
  <r>
    <x v="0"/>
    <s v="Proof Key for Code Exchange (PKCE)"/>
    <s v="PKCE"/>
    <m/>
    <s v="IETF"/>
    <s v="1.0.0"/>
    <m/>
    <x v="6"/>
    <x v="1"/>
    <x v="4"/>
    <n v="0"/>
    <n v="0"/>
    <n v="0"/>
    <x v="0"/>
  </r>
  <r>
    <x v="0"/>
    <s v="NATO Core Metadata Specification (NCMS)"/>
    <s v="NCMS"/>
    <m/>
    <s v="NATO"/>
    <s v="1.0.0"/>
    <m/>
    <x v="5"/>
    <x v="0"/>
    <x v="1"/>
    <n v="0"/>
    <n v="0"/>
    <n v="2"/>
    <x v="0"/>
  </r>
  <r>
    <x v="0"/>
    <s v="Stichting Elektronische Transacties Uitzendbranche (SETU specifications)"/>
    <s v="SETU"/>
    <m/>
    <s v="Stichting Elektronische Transacties Uitzendbranche"/>
    <s v="1.0.0"/>
    <m/>
    <x v="7"/>
    <x v="0"/>
    <x v="1"/>
    <n v="0"/>
    <n v="0"/>
    <n v="0"/>
    <x v="0"/>
  </r>
  <r>
    <x v="0"/>
    <s v="RapidIO(TM) interconnect specification"/>
    <m/>
    <m/>
    <s v="RapidIO"/>
    <s v="4.1.0"/>
    <m/>
    <x v="1"/>
    <x v="1"/>
    <x v="0"/>
    <n v="0"/>
    <n v="0"/>
    <n v="0"/>
    <x v="0"/>
  </r>
  <r>
    <x v="0"/>
    <s v="Shapes Constraint Language (SHACL)"/>
    <s v="SHACL"/>
    <m/>
    <s v="W3C"/>
    <s v="1.2.0"/>
    <m/>
    <x v="5"/>
    <x v="0"/>
    <x v="3"/>
    <n v="0"/>
    <n v="0"/>
    <n v="2"/>
    <x v="2"/>
  </r>
  <r>
    <x v="0"/>
    <s v="ISO/IEC 20802-1:2016 Information technology — Open data protocol (OData) v4.0 Part 1: Core"/>
    <s v="ISO/IEC 20802-1:2016"/>
    <m/>
    <s v="ISO"/>
    <s v="1"/>
    <m/>
    <x v="7"/>
    <x v="0"/>
    <x v="2"/>
    <n v="0"/>
    <n v="0"/>
    <n v="0"/>
    <x v="0"/>
  </r>
  <r>
    <x v="0"/>
    <s v="Extended Log File Format"/>
    <m/>
    <m/>
    <s v="W3C"/>
    <s v="Working Draft"/>
    <m/>
    <x v="6"/>
    <x v="1"/>
    <x v="1"/>
    <n v="0"/>
    <n v="0"/>
    <n v="0"/>
    <x v="0"/>
  </r>
  <r>
    <x v="0"/>
    <s v="Real-Time Transport Protocol (RTP) RFC 3550"/>
    <s v="RTP"/>
    <m/>
    <s v="IETF"/>
    <s v="12.0.0"/>
    <m/>
    <x v="1"/>
    <x v="2"/>
    <x v="0"/>
    <n v="0"/>
    <n v="0"/>
    <n v="0"/>
    <x v="0"/>
  </r>
  <r>
    <x v="0"/>
    <s v="IoT Big Data Harmonised Data Model"/>
    <m/>
    <m/>
    <s v="GSMA"/>
    <s v="5.0.0"/>
    <m/>
    <x v="5"/>
    <x v="0"/>
    <x v="3"/>
    <n v="0"/>
    <n v="0"/>
    <n v="2"/>
    <x v="0"/>
  </r>
  <r>
    <x v="0"/>
    <s v="ISO/IEC 19757-3:2016 Information technology -- Document Schema Definition Languages (DSDL) -- Part 3: Rule-based validation -- Schematron"/>
    <s v="DSDL"/>
    <m/>
    <s v="ISO"/>
    <s v="2.0.0"/>
    <m/>
    <x v="7"/>
    <x v="0"/>
    <x v="1"/>
    <n v="0"/>
    <n v="0"/>
    <n v="0"/>
    <x v="0"/>
  </r>
  <r>
    <x v="0"/>
    <s v="Sender Policy Framework (SPF) for Authorizing Use of Domains in Email"/>
    <m/>
    <m/>
    <s v="IETF"/>
    <s v="1.0.0"/>
    <m/>
    <x v="7"/>
    <x v="0"/>
    <x v="1"/>
    <n v="0"/>
    <n v="0"/>
    <n v="0"/>
    <x v="0"/>
  </r>
  <r>
    <x v="0"/>
    <s v="IANA Link Relations (RFC 8288, Web Linking)"/>
    <m/>
    <s v="RFC 8288"/>
    <s v="IETF"/>
    <s v="1.0.0"/>
    <m/>
    <x v="0"/>
    <x v="0"/>
    <x v="0"/>
    <n v="0"/>
    <n v="0"/>
    <n v="4"/>
    <x v="0"/>
  </r>
  <r>
    <x v="0"/>
    <s v="ESPD data model"/>
    <s v="ESPD-EDM"/>
    <m/>
    <s v="OP"/>
    <s v="3.0.1"/>
    <m/>
    <x v="7"/>
    <x v="0"/>
    <x v="1"/>
    <n v="0"/>
    <n v="0"/>
    <n v="0"/>
    <x v="1"/>
  </r>
  <r>
    <x v="0"/>
    <s v="EPCIS 2.0 Standard"/>
    <s v="EPCIS"/>
    <m/>
    <s v="GS1"/>
    <s v="2.0.0"/>
    <m/>
    <x v="7"/>
    <x v="0"/>
    <x v="1"/>
    <n v="0"/>
    <n v="0"/>
    <n v="0"/>
    <x v="0"/>
  </r>
  <r>
    <x v="0"/>
    <s v="IDS Clearing House (IDS-CH)"/>
    <s v="IDS-CH"/>
    <m/>
    <s v="IDSA"/>
    <s v="1.0.0"/>
    <m/>
    <x v="6"/>
    <x v="1"/>
    <x v="4"/>
    <n v="0"/>
    <n v="0"/>
    <n v="0"/>
    <x v="0"/>
  </r>
  <r>
    <x v="0"/>
    <s v="Minimal interoperability mechanisms for smart and sustainable cities and communities"/>
    <m/>
    <s v="ITU-T Y.4505"/>
    <s v="ITU"/>
    <s v="1.0.0"/>
    <m/>
    <x v="12"/>
    <x v="0"/>
    <x v="0"/>
    <n v="0"/>
    <n v="0"/>
    <n v="0"/>
    <x v="0"/>
  </r>
  <r>
    <x v="0"/>
    <s v="Data Exchange Services"/>
    <m/>
    <m/>
    <s v="GAIA-X"/>
    <s v="1.0.0"/>
    <m/>
    <x v="7"/>
    <x v="0"/>
    <x v="2"/>
    <n v="0"/>
    <n v="0"/>
    <n v="0"/>
    <x v="0"/>
  </r>
  <r>
    <x v="0"/>
    <s v="Architectural Principles for a Quantum Internet"/>
    <m/>
    <s v="RFC 9340"/>
    <s v="IETF"/>
    <s v="1.0.0"/>
    <m/>
    <x v="12"/>
    <x v="0"/>
    <x v="0"/>
    <n v="0"/>
    <n v="0"/>
    <n v="0"/>
    <x v="0"/>
  </r>
  <r>
    <x v="0"/>
    <s v="AJAX"/>
    <s v="AJAX"/>
    <m/>
    <s v="jQuery Foundation"/>
    <s v="1.5.0"/>
    <m/>
    <x v="12"/>
    <x v="0"/>
    <x v="0"/>
    <n v="0"/>
    <n v="0"/>
    <n v="0"/>
    <x v="0"/>
  </r>
  <r>
    <x v="0"/>
    <s v="JSON Abstract Data Notation"/>
    <s v="JADN"/>
    <m/>
    <s v="OASIS"/>
    <s v="1.0.0"/>
    <m/>
    <x v="0"/>
    <x v="0"/>
    <x v="0"/>
    <n v="0"/>
    <n v="0"/>
    <n v="2"/>
    <x v="0"/>
  </r>
  <r>
    <x v="0"/>
    <s v="OAIS v3.0.0"/>
    <m/>
    <m/>
    <s v="ISO"/>
    <s v="3.0.0"/>
    <m/>
    <x v="5"/>
    <x v="0"/>
    <x v="2"/>
    <n v="0"/>
    <n v="0"/>
    <n v="1"/>
    <x v="0"/>
  </r>
  <r>
    <x v="0"/>
    <s v="Web Real-Time Communication (WebRTC)"/>
    <s v="WebRTC"/>
    <m/>
    <s v="W3C"/>
    <s v="1.0.0"/>
    <m/>
    <x v="7"/>
    <x v="0"/>
    <x v="1"/>
    <n v="0"/>
    <n v="0"/>
    <n v="0"/>
    <x v="0"/>
  </r>
  <r>
    <x v="0"/>
    <s v="HAProxy"/>
    <m/>
    <m/>
    <s v="haproxy.org"/>
    <s v="2.9.0"/>
    <m/>
    <x v="1"/>
    <x v="1"/>
    <x v="0"/>
    <n v="0"/>
    <n v="0"/>
    <n v="0"/>
    <x v="0"/>
  </r>
  <r>
    <x v="0"/>
    <s v="Commission Decision of 11 December 2006 establishing a list of standards and/or specifications for electronic communications networks, services and associated facilities and services and replacing all previous versions (notified under document number C(2006) 6364)"/>
    <m/>
    <m/>
    <s v="EC"/>
    <s v="1.0.0"/>
    <m/>
    <x v="9"/>
    <x v="0"/>
    <x v="0"/>
    <n v="5"/>
    <n v="0"/>
    <n v="0"/>
    <x v="0"/>
  </r>
  <r>
    <x v="0"/>
    <s v="Schema.org"/>
    <m/>
    <m/>
    <s v="Schema.org"/>
    <s v="14.0.0"/>
    <m/>
    <x v="0"/>
    <x v="0"/>
    <x v="0"/>
    <n v="0"/>
    <n v="0"/>
    <n v="1"/>
    <x v="1"/>
  </r>
  <r>
    <x v="0"/>
    <s v="Secure File Transfer Protocol (SFTP)"/>
    <s v="SFTP"/>
    <m/>
    <s v="IETF"/>
    <s v="Sep 1984"/>
    <m/>
    <x v="7"/>
    <x v="0"/>
    <x v="1"/>
    <n v="0"/>
    <n v="0"/>
    <n v="0"/>
    <x v="0"/>
  </r>
  <r>
    <x v="0"/>
    <s v="Structured Threat Information Expression"/>
    <s v="STIX"/>
    <m/>
    <s v="OASIS"/>
    <s v="2.1.0"/>
    <m/>
    <x v="5"/>
    <x v="0"/>
    <x v="5"/>
    <n v="0"/>
    <n v="0"/>
    <n v="1"/>
    <x v="0"/>
  </r>
  <r>
    <x v="0"/>
    <s v="REGULATION (EU) 2021/1153 OF THE EUROPEAN PARLIAMENT AND OF THE COUNCIL of 7 July 2021 establishing the Connecting Europe Facility and repealing Regulations (EU) No 1316/2013 and (EU) No 283/2014"/>
    <m/>
    <m/>
    <s v="OP"/>
    <s v="L 249/38"/>
    <m/>
    <x v="2"/>
    <x v="0"/>
    <x v="0"/>
    <n v="0"/>
    <n v="1"/>
    <n v="0"/>
    <x v="0"/>
  </r>
  <r>
    <x v="0"/>
    <s v="API Blueprint"/>
    <m/>
    <m/>
    <s v="API Blueprint"/>
    <s v="1.0.0"/>
    <m/>
    <x v="7"/>
    <x v="0"/>
    <x v="5"/>
    <n v="0"/>
    <n v="0"/>
    <n v="0"/>
    <x v="0"/>
  </r>
  <r>
    <x v="0"/>
    <s v="Domain Name System (DNS)"/>
    <s v="DNS"/>
    <m/>
    <s v="IETF"/>
    <s v="14.0.0"/>
    <m/>
    <x v="1"/>
    <x v="5"/>
    <x v="0"/>
    <n v="0"/>
    <n v="0"/>
    <n v="0"/>
    <x v="3"/>
  </r>
  <r>
    <x v="0"/>
    <s v="JSON-RPC"/>
    <m/>
    <m/>
    <s v="JSON SCHEMA"/>
    <s v="2.0.0"/>
    <m/>
    <x v="5"/>
    <x v="0"/>
    <x v="3"/>
    <n v="0"/>
    <n v="0"/>
    <n v="1"/>
    <x v="0"/>
  </r>
  <r>
    <x v="0"/>
    <s v="Dynamic Adaptive Streaming over HTTP (DASH)"/>
    <s v="DASH"/>
    <m/>
    <s v="ISO"/>
    <s v="5.0.0"/>
    <m/>
    <x v="1"/>
    <x v="1"/>
    <x v="0"/>
    <n v="0"/>
    <n v="0"/>
    <n v="0"/>
    <x v="0"/>
  </r>
  <r>
    <x v="0"/>
    <s v="Privacy Management Reference Model and Methodology (PMRM)"/>
    <s v="PMRM"/>
    <m/>
    <s v="OASIS"/>
    <s v="1.0.0"/>
    <m/>
    <x v="0"/>
    <x v="0"/>
    <x v="0"/>
    <n v="0"/>
    <n v="0"/>
    <n v="1"/>
    <x v="0"/>
  </r>
  <r>
    <x v="0"/>
    <s v="Context Information Management (CIM); NGSI-LD Information Model (ETSI GS CIM 006)"/>
    <m/>
    <s v="ETSI GS CIM 006"/>
    <s v="ETSI"/>
    <s v="1.2.1"/>
    <m/>
    <x v="5"/>
    <x v="0"/>
    <x v="5"/>
    <n v="0"/>
    <n v="0"/>
    <n v="1"/>
    <x v="1"/>
  </r>
  <r>
    <x v="0"/>
    <s v="ISO/IEC/IEEE 12207:2017 Systems and software engineering — Software life cycle processes"/>
    <m/>
    <s v="ISO/IEC/IEEE 12207:2017"/>
    <s v="ISO"/>
    <s v="1.0.0"/>
    <m/>
    <x v="1"/>
    <x v="2"/>
    <x v="0"/>
    <n v="0"/>
    <n v="0"/>
    <n v="0"/>
    <x v="0"/>
  </r>
  <r>
    <x v="0"/>
    <s v="SoftEther"/>
    <m/>
    <m/>
    <s v="SoftEther"/>
    <s v="5.1.0"/>
    <m/>
    <x v="1"/>
    <x v="1"/>
    <x v="0"/>
    <n v="0"/>
    <n v="0"/>
    <n v="0"/>
    <x v="0"/>
  </r>
  <r>
    <x v="0"/>
    <s v="GITB Test Description Language (TDL)"/>
    <s v="GITB TDL"/>
    <m/>
    <s v="EC"/>
    <s v="None"/>
    <m/>
    <x v="12"/>
    <x v="0"/>
    <x v="0"/>
    <n v="0"/>
    <n v="0"/>
    <n v="0"/>
    <x v="0"/>
  </r>
  <r>
    <x v="0"/>
    <s v="ISO/IEC 20802-2:2016 Information technology — Open data protocol (OData) v4.0 Part 2: OData JSON Format"/>
    <m/>
    <s v="ISO/IEC 20802-2:2016"/>
    <s v="ISO"/>
    <s v="1"/>
    <m/>
    <x v="6"/>
    <x v="1"/>
    <x v="1"/>
    <n v="0"/>
    <n v="0"/>
    <n v="0"/>
    <x v="0"/>
  </r>
  <r>
    <x v="0"/>
    <s v="Policy Requirements for Time-Stamping Authorities (TSAs) (RFC 3628)"/>
    <m/>
    <s v="RFC 3628"/>
    <s v="IETF"/>
    <s v="1.0.0"/>
    <m/>
    <x v="7"/>
    <x v="0"/>
    <x v="2"/>
    <n v="0"/>
    <n v="0"/>
    <n v="0"/>
    <x v="0"/>
  </r>
  <r>
    <x v="0"/>
    <s v="CLOUD; Test Descriptions for Cloud Interoperability (ETSI TS 103 142)"/>
    <m/>
    <s v="ETSI TS 103 142"/>
    <s v="ETSI"/>
    <s v="1.1.1"/>
    <m/>
    <x v="7"/>
    <x v="0"/>
    <x v="3"/>
    <n v="0"/>
    <n v="0"/>
    <n v="0"/>
    <x v="0"/>
  </r>
  <r>
    <x v="0"/>
    <s v="MyData Authorisation Specification"/>
    <m/>
    <m/>
    <s v="HIIT"/>
    <s v="1.2.1"/>
    <m/>
    <x v="1"/>
    <x v="6"/>
    <x v="0"/>
    <n v="0"/>
    <n v="0"/>
    <n v="0"/>
    <x v="0"/>
  </r>
  <r>
    <x v="0"/>
    <s v="Human Resources (HR) Open Standards"/>
    <m/>
    <m/>
    <s v="HR Open Standards"/>
    <s v="4.2.0"/>
    <m/>
    <x v="0"/>
    <x v="0"/>
    <x v="0"/>
    <n v="0"/>
    <n v="0"/>
    <n v="8"/>
    <x v="0"/>
  </r>
  <r>
    <x v="0"/>
    <s v="Experience Application Programming Interface (xAPI)"/>
    <s v="xAPI"/>
    <m/>
    <s v="ADL"/>
    <s v="2.0.0"/>
    <m/>
    <x v="7"/>
    <x v="0"/>
    <x v="5"/>
    <n v="0"/>
    <n v="0"/>
    <n v="0"/>
    <x v="0"/>
  </r>
  <r>
    <x v="0"/>
    <s v="X.1363 : Technical framework of personally identifiable information handling system in Internet of things environment"/>
    <m/>
    <s v="ITU-T X.1363"/>
    <s v="ITU"/>
    <s v="1.0.0"/>
    <m/>
    <x v="7"/>
    <x v="0"/>
    <x v="8"/>
    <n v="0"/>
    <n v="0"/>
    <n v="0"/>
    <x v="0"/>
  </r>
  <r>
    <x v="0"/>
    <s v="PEPPOL AS2 Profile"/>
    <m/>
    <m/>
    <s v="PEPPOL"/>
    <s v="2.0.0"/>
    <m/>
    <x v="7"/>
    <x v="0"/>
    <x v="1"/>
    <n v="0"/>
    <n v="0"/>
    <n v="0"/>
    <x v="0"/>
  </r>
  <r>
    <x v="0"/>
    <s v="UBL 2.3 JSON Alternative Representation"/>
    <m/>
    <m/>
    <s v="OASIS"/>
    <s v="1.0.0"/>
    <m/>
    <x v="0"/>
    <x v="0"/>
    <x v="0"/>
    <n v="0"/>
    <n v="0"/>
    <n v="2"/>
    <x v="0"/>
  </r>
  <r>
    <x v="0"/>
    <s v="Point-to-Point Tunneling Protocol (PPTP)"/>
    <s v="PPTP"/>
    <m/>
    <s v="IETF"/>
    <s v="10.0.0"/>
    <m/>
    <x v="1"/>
    <x v="1"/>
    <x v="0"/>
    <n v="0"/>
    <n v="0"/>
    <n v="0"/>
    <x v="0"/>
  </r>
  <r>
    <x v="0"/>
    <s v="ETSI TS 119 511 Electronic Signatures and Infrastructures (ESI); Policy and security requirements for trust service providers providing long-term preservation of digital signatures or general data using digital signature techniques"/>
    <m/>
    <s v="ETSI TS 119 511"/>
    <s v="ETSI"/>
    <s v="1.1.1"/>
    <m/>
    <x v="7"/>
    <x v="0"/>
    <x v="5"/>
    <n v="0"/>
    <n v="0"/>
    <n v="0"/>
    <x v="1"/>
  </r>
  <r>
    <x v="0"/>
    <s v="Geo-DCAT-AP"/>
    <s v="Geo-DCAT-AP"/>
    <m/>
    <s v="EC"/>
    <s v="2.0.0"/>
    <m/>
    <x v="0"/>
    <x v="0"/>
    <x v="0"/>
    <n v="0"/>
    <n v="0"/>
    <n v="1"/>
    <x v="0"/>
  </r>
  <r>
    <x v="0"/>
    <s v="ISO/IEC 30141:2018 Internet of Things (IoT) — Reference Architecture"/>
    <m/>
    <s v="ISO/IEC 30141:2018"/>
    <s v="ISO"/>
    <s v="1.0.0"/>
    <m/>
    <x v="0"/>
    <x v="0"/>
    <x v="0"/>
    <n v="0"/>
    <n v="0"/>
    <n v="2"/>
    <x v="0"/>
  </r>
  <r>
    <x v="0"/>
    <s v="Scalable Vector Graphics (SVG) v1.1 (Second Edition)"/>
    <s v="SVG"/>
    <m/>
    <s v="W3C"/>
    <s v="1.1.0"/>
    <m/>
    <x v="12"/>
    <x v="0"/>
    <x v="0"/>
    <n v="0"/>
    <n v="0"/>
    <n v="0"/>
    <x v="0"/>
  </r>
  <r>
    <x v="0"/>
    <s v="The Remote Framebuffer Protocol (RFB)"/>
    <s v="RFB"/>
    <m/>
    <s v="IETF"/>
    <s v="3.0.0"/>
    <m/>
    <x v="1"/>
    <x v="2"/>
    <x v="0"/>
    <n v="0"/>
    <n v="0"/>
    <n v="0"/>
    <x v="0"/>
  </r>
  <r>
    <x v="0"/>
    <s v="Online Access Act (OZG)"/>
    <s v="OZG"/>
    <m/>
    <s v="Government of Germany"/>
    <s v="1.0.0"/>
    <m/>
    <x v="9"/>
    <x v="0"/>
    <x v="0"/>
    <n v="1"/>
    <n v="0"/>
    <n v="0"/>
    <x v="0"/>
  </r>
  <r>
    <x v="0"/>
    <s v="X.1171 : Threats and requirements for protection of personally identifiable information in applications using tag-based identification"/>
    <m/>
    <s v="ITU-T X.1171"/>
    <s v="ITU"/>
    <s v="1.0.0"/>
    <m/>
    <x v="1"/>
    <x v="1"/>
    <x v="0"/>
    <n v="0"/>
    <n v="0"/>
    <n v="0"/>
    <x v="0"/>
  </r>
  <r>
    <x v="0"/>
    <s v="Trusted Automated Exchange of Intelligence Information"/>
    <s v="TAXII"/>
    <m/>
    <s v="OASIS"/>
    <s v="2.1.0"/>
    <m/>
    <x v="7"/>
    <x v="0"/>
    <x v="2"/>
    <n v="0"/>
    <n v="0"/>
    <n v="0"/>
    <x v="0"/>
  </r>
  <r>
    <x v="0"/>
    <s v="NIEM High-Level Version Architecture (HLVA)"/>
    <s v="HLVA"/>
    <m/>
    <s v="NTAC"/>
    <s v="5.0.0"/>
    <m/>
    <x v="7"/>
    <x v="0"/>
    <x v="1"/>
    <n v="0"/>
    <n v="0"/>
    <n v="0"/>
    <x v="0"/>
  </r>
  <r>
    <x v="0"/>
    <s v="Hydra Core Vocabulary"/>
    <m/>
    <m/>
    <s v="W3C"/>
    <s v="1.0.0"/>
    <m/>
    <x v="15"/>
    <x v="0"/>
    <x v="0"/>
    <n v="0"/>
    <n v="1"/>
    <n v="1"/>
    <x v="0"/>
  </r>
  <r>
    <x v="0"/>
    <s v="Extended Knowledge Organization System (XKOS)"/>
    <s v="XKOS"/>
    <m/>
    <s v="DDI Alliance"/>
    <s v="1.0.0"/>
    <m/>
    <x v="0"/>
    <x v="0"/>
    <x v="0"/>
    <n v="0"/>
    <n v="0"/>
    <n v="1"/>
    <x v="0"/>
  </r>
  <r>
    <x v="0"/>
    <s v="L2TP over IPSec using ESP transport mode (L2TP/IPSec)"/>
    <s v="L2TP/IPSec"/>
    <m/>
    <s v="IETF"/>
    <s v="2.0.0"/>
    <m/>
    <x v="1"/>
    <x v="1"/>
    <x v="0"/>
    <n v="0"/>
    <n v="0"/>
    <n v="0"/>
    <x v="0"/>
  </r>
  <r>
    <x v="0"/>
    <s v="HTML+RDFa"/>
    <s v="HTML+RDFa"/>
    <m/>
    <s v="W3C"/>
    <s v="1.1.0"/>
    <m/>
    <x v="0"/>
    <x v="0"/>
    <x v="0"/>
    <n v="0"/>
    <n v="0"/>
    <n v="2"/>
    <x v="0"/>
  </r>
  <r>
    <x v="0"/>
    <s v="X.1250 : Baseline capabilities for enhanced global identity management and interoperability"/>
    <m/>
    <s v="ITU-T X.1250"/>
    <s v="ITU"/>
    <s v="1.0.0"/>
    <m/>
    <x v="7"/>
    <x v="0"/>
    <x v="3"/>
    <n v="0"/>
    <n v="0"/>
    <n v="0"/>
    <x v="0"/>
  </r>
  <r>
    <x v="0"/>
    <s v="Decentralized Identifiers (DIDs) v1.0"/>
    <s v="DIDs"/>
    <m/>
    <s v="W3C"/>
    <s v="1.0.0"/>
    <m/>
    <x v="6"/>
    <x v="1"/>
    <x v="1"/>
    <n v="0"/>
    <n v="0"/>
    <n v="0"/>
    <x v="1"/>
  </r>
  <r>
    <x v="0"/>
    <s v="Socrata Open Data Server (SODA)"/>
    <s v="SODA"/>
    <m/>
    <s v="Socrata"/>
    <s v="1.0.0"/>
    <m/>
    <x v="6"/>
    <x v="1"/>
    <x v="3"/>
    <n v="0"/>
    <n v="0"/>
    <n v="0"/>
    <x v="0"/>
  </r>
  <r>
    <x v="0"/>
    <s v="E-ARK Submission Information Package (SIP)"/>
    <s v="E-ARK SIP"/>
    <m/>
    <s v="DILCIS Board"/>
    <s v="2.1.0"/>
    <m/>
    <x v="7"/>
    <x v="0"/>
    <x v="1"/>
    <n v="0"/>
    <n v="0"/>
    <n v="0"/>
    <x v="0"/>
  </r>
  <r>
    <x v="0"/>
    <s v="Cloud API Service Consistency (CASC) score"/>
    <s v="CASC"/>
    <m/>
    <s v="APImetrics"/>
    <s v="2.0.0"/>
    <m/>
    <x v="7"/>
    <x v="0"/>
    <x v="1"/>
    <n v="0"/>
    <n v="0"/>
    <n v="0"/>
    <x v="0"/>
  </r>
  <r>
    <x v="0"/>
    <s v="Requirements and reference architecture of a Security Gateway for the exchange of industry data and services (DIN SPEC 27070:2020-03)"/>
    <m/>
    <s v="DIN SPEC 27070:2020-03"/>
    <s v="IDSA"/>
    <s v="1.0.0"/>
    <m/>
    <x v="7"/>
    <x v="0"/>
    <x v="2"/>
    <n v="0"/>
    <n v="0"/>
    <n v="0"/>
    <x v="0"/>
  </r>
  <r>
    <x v="0"/>
    <s v="GXFSv2 ICAM"/>
    <m/>
    <m/>
    <s v="GAIA-X"/>
    <s v="24.7.0"/>
    <m/>
    <x v="7"/>
    <x v="0"/>
    <x v="6"/>
    <n v="0"/>
    <n v="0"/>
    <n v="0"/>
    <x v="0"/>
  </r>
  <r>
    <x v="0"/>
    <s v="Federated Catalogue"/>
    <m/>
    <m/>
    <s v="GAIA-X"/>
    <s v="22.10.0"/>
    <m/>
    <x v="5"/>
    <x v="0"/>
    <x v="1"/>
    <n v="0"/>
    <n v="0"/>
    <n v="1"/>
    <x v="0"/>
  </r>
  <r>
    <x v="0"/>
    <s v="Reactive WebSocket"/>
    <m/>
    <m/>
    <s v="Spring"/>
    <s v="1.0.0"/>
    <m/>
    <x v="7"/>
    <x v="0"/>
    <x v="3"/>
    <n v="0"/>
    <n v="0"/>
    <n v="0"/>
    <x v="0"/>
  </r>
  <r>
    <x v="0"/>
    <s v="Yet Another Markup Language (YAML)"/>
    <s v="YAML"/>
    <m/>
    <s v="yaml.org"/>
    <s v="1.2.2"/>
    <m/>
    <x v="1"/>
    <x v="6"/>
    <x v="0"/>
    <n v="0"/>
    <n v="0"/>
    <n v="0"/>
    <x v="1"/>
  </r>
  <r>
    <x v="0"/>
    <s v="Architectures and protocols for remote signature applications"/>
    <m/>
    <m/>
    <s v="CSC"/>
    <s v="1.0.0"/>
    <m/>
    <x v="7"/>
    <x v="0"/>
    <x v="1"/>
    <n v="0"/>
    <n v="0"/>
    <n v="0"/>
    <x v="0"/>
  </r>
  <r>
    <x v="0"/>
    <s v="Data Use Ontology (DUO)"/>
    <s v="DUO"/>
    <m/>
    <s v="GA4GH"/>
    <s v="1.0.0"/>
    <m/>
    <x v="0"/>
    <x v="0"/>
    <x v="0"/>
    <n v="0"/>
    <n v="0"/>
    <n v="3"/>
    <x v="0"/>
  </r>
  <r>
    <x v="0"/>
    <s v="Constrained Application Protocol (CoAP)"/>
    <m/>
    <s v="CoAP"/>
    <s v="IETF"/>
    <s v="Jun 14"/>
    <m/>
    <x v="7"/>
    <x v="0"/>
    <x v="1"/>
    <n v="0"/>
    <n v="0"/>
    <n v="0"/>
    <x v="0"/>
  </r>
  <r>
    <x v="0"/>
    <s v="System for Cross-domain Identity Management: Definitions, Overview, Concepts, and Requirements RFC 7642"/>
    <s v="SCIM"/>
    <s v="RFC 7642"/>
    <s v="IETF"/>
    <s v="8.0.0"/>
    <m/>
    <x v="7"/>
    <x v="0"/>
    <x v="1"/>
    <n v="0"/>
    <n v="0"/>
    <n v="0"/>
    <x v="1"/>
  </r>
  <r>
    <x v="0"/>
    <s v="IT4IT"/>
    <s v="IT4IT"/>
    <m/>
    <s v="Open Group"/>
    <s v="1.0.0"/>
    <m/>
    <x v="0"/>
    <x v="0"/>
    <x v="0"/>
    <n v="0"/>
    <n v="0"/>
    <n v="1"/>
    <x v="0"/>
  </r>
  <r>
    <x v="0"/>
    <s v="2011/833/EU: Commission Decision of 12 December 2011 on the reuse of Commission documents"/>
    <m/>
    <s v="Decision 2011/833/EU"/>
    <s v="EC"/>
    <s v="L 330/39"/>
    <m/>
    <x v="9"/>
    <x v="0"/>
    <x v="0"/>
    <n v="1"/>
    <n v="0"/>
    <n v="0"/>
    <x v="0"/>
  </r>
  <r>
    <x v="0"/>
    <s v="SPARQL 1.1 Graph Store HTTP Protocol"/>
    <m/>
    <m/>
    <s v="W3C"/>
    <s v="1.1.0"/>
    <m/>
    <x v="7"/>
    <x v="0"/>
    <x v="4"/>
    <n v="0"/>
    <n v="0"/>
    <n v="0"/>
    <x v="0"/>
  </r>
  <r>
    <x v="0"/>
    <s v="ETSI TS 103 744 CYBER; Quantum-safe Hybrid Key Exchanges"/>
    <m/>
    <s v="ETSI TS 103 744"/>
    <s v="ETSI"/>
    <s v="1.1.1"/>
    <m/>
    <x v="7"/>
    <x v="0"/>
    <x v="2"/>
    <n v="0"/>
    <n v="0"/>
    <n v="0"/>
    <x v="0"/>
  </r>
  <r>
    <x v="0"/>
    <s v="Core Assessment Vocabulary (CAV)"/>
    <s v="CAV"/>
    <m/>
    <s v="EC"/>
    <s v="1.1.0"/>
    <m/>
    <x v="0"/>
    <x v="0"/>
    <x v="0"/>
    <n v="0"/>
    <n v="0"/>
    <n v="10"/>
    <x v="0"/>
  </r>
  <r>
    <x v="0"/>
    <s v="UN/EDIFACT Syntax 3"/>
    <m/>
    <m/>
    <s v="UNECE"/>
    <s v="3.0.0"/>
    <m/>
    <x v="5"/>
    <x v="0"/>
    <x v="1"/>
    <n v="0"/>
    <n v="0"/>
    <n v="2"/>
    <x v="0"/>
  </r>
  <r>
    <x v="0"/>
    <s v="PSC Charter"/>
    <m/>
    <m/>
    <s v="EC"/>
    <s v="1.0.0"/>
    <m/>
    <x v="9"/>
    <x v="0"/>
    <x v="0"/>
    <n v="1"/>
    <n v="0"/>
    <n v="0"/>
    <x v="0"/>
  </r>
  <r>
    <x v="0"/>
    <s v="EUDI Wallet Architecture &amp; Reference Framework (EUDI RAF)"/>
    <s v="EUDI RAF"/>
    <m/>
    <s v="EC"/>
    <s v="1.0.0"/>
    <m/>
    <x v="7"/>
    <x v="0"/>
    <x v="1"/>
    <n v="0"/>
    <n v="0"/>
    <n v="0"/>
    <x v="0"/>
  </r>
  <r>
    <x v="0"/>
    <s v="ISO/IEC 9797-1:2011 Information technology - Security techniques - Message Authentication Codes (MACs) - Part 1: Mechanisms using a block cipher"/>
    <s v="MACs"/>
    <s v="ISO/IEC 9797-1:2011"/>
    <s v="ISO"/>
    <s v="2.0.0"/>
    <m/>
    <x v="7"/>
    <x v="0"/>
    <x v="5"/>
    <n v="0"/>
    <n v="0"/>
    <n v="0"/>
    <x v="0"/>
  </r>
  <r>
    <x v="0"/>
    <s v="Cipher-based Message Authentication Code (CMAC)"/>
    <s v="CMAC"/>
    <m/>
    <s v="NIST"/>
    <s v="1.0.0"/>
    <m/>
    <x v="7"/>
    <x v="0"/>
    <x v="1"/>
    <n v="0"/>
    <n v="0"/>
    <n v="0"/>
    <x v="0"/>
  </r>
  <r>
    <x v="0"/>
    <s v="HMAC: Keyed-Hashing for Message Authentication"/>
    <m/>
    <m/>
    <s v="IETF"/>
    <s v="1.0.0"/>
    <m/>
    <x v="5"/>
    <x v="0"/>
    <x v="1"/>
    <n v="0"/>
    <n v="0"/>
    <n v="1"/>
    <x v="0"/>
  </r>
  <r>
    <x v="0"/>
    <s v="Council Directive 2006/112/EC of 28 November 2006 on the common system of value added tax"/>
    <m/>
    <s v="Directive 2006/112/EC"/>
    <s v="OP"/>
    <s v="L 347/1"/>
    <m/>
    <x v="9"/>
    <x v="0"/>
    <x v="0"/>
    <n v="1"/>
    <n v="0"/>
    <n v="0"/>
    <x v="0"/>
  </r>
  <r>
    <x v="0"/>
    <s v="Ontology-Based Model of E-Governance"/>
    <m/>
    <m/>
    <s v="OP"/>
    <s v="1.0.0"/>
    <m/>
    <x v="15"/>
    <x v="0"/>
    <x v="0"/>
    <n v="0"/>
    <n v="1"/>
    <n v="1"/>
    <x v="0"/>
  </r>
  <r>
    <x v="0"/>
    <s v="CEN Workshop Agreement (CWA)"/>
    <s v="CWA"/>
    <m/>
    <s v="CEN-CENELEC"/>
    <s v="2.0.0"/>
    <m/>
    <x v="7"/>
    <x v="0"/>
    <x v="1"/>
    <n v="0"/>
    <n v="0"/>
    <n v="0"/>
    <x v="0"/>
  </r>
  <r>
    <x v="0"/>
    <s v="DIRECTIVE (EU) 2019/770 OF THE EUROPEAN PARLIAMENT AND OF THE COUNCIL of 20 May 2019 on certain aspects concerning contracts for the supply of digital content and digital services"/>
    <m/>
    <s v="Directive 2019/770/EU"/>
    <s v="OP"/>
    <s v="L 136/1"/>
    <m/>
    <x v="9"/>
    <x v="0"/>
    <x v="0"/>
    <n v="5"/>
    <n v="0"/>
    <n v="0"/>
    <x v="0"/>
  </r>
  <r>
    <x v="0"/>
    <s v="SmartM2M; Requirements and Guidelines for cross-domain data usability of IoT devices (ETSI TS 103 779)"/>
    <m/>
    <s v="ETSI TS 103 779"/>
    <s v="ETSI"/>
    <s v="1.1.1"/>
    <m/>
    <x v="11"/>
    <x v="1"/>
    <x v="1"/>
    <n v="0"/>
    <n v="0"/>
    <n v="1"/>
    <x v="0"/>
  </r>
  <r>
    <x v="0"/>
    <s v="The OpenContainers Runtime Spec"/>
    <m/>
    <m/>
    <s v="OCI"/>
    <s v="1.2.0"/>
    <m/>
    <x v="1"/>
    <x v="2"/>
    <x v="0"/>
    <n v="0"/>
    <n v="0"/>
    <n v="0"/>
    <x v="0"/>
  </r>
  <r>
    <x v="0"/>
    <s v="ISO/IEC 23736-4:2020 Information technology — Digital publishing — EPUB 3.0.1 — Part 4: Open container format"/>
    <s v="EPUB OCF"/>
    <s v="ISO/IEC 23736-4:2020"/>
    <s v="ISO"/>
    <s v="1.0.0"/>
    <m/>
    <x v="7"/>
    <x v="0"/>
    <x v="1"/>
    <n v="0"/>
    <n v="0"/>
    <n v="0"/>
    <x v="0"/>
  </r>
  <r>
    <x v="0"/>
    <s v="ECMAScript language specification"/>
    <m/>
    <m/>
    <s v="Ecma"/>
    <s v="13.0.0"/>
    <m/>
    <x v="12"/>
    <x v="0"/>
    <x v="0"/>
    <n v="0"/>
    <n v="0"/>
    <n v="0"/>
    <x v="0"/>
  </r>
  <r>
    <x v="0"/>
    <s v="ISO/IEC 30115:2018 Information technology — Redfish scalable platforms management API specification"/>
    <m/>
    <s v="ISO/IEC 30115:2018"/>
    <s v="ISO"/>
    <s v="1.2.0"/>
    <m/>
    <x v="1"/>
    <x v="1"/>
    <x v="0"/>
    <n v="0"/>
    <n v="0"/>
    <n v="0"/>
    <x v="0"/>
  </r>
  <r>
    <x v="0"/>
    <s v="CloudEvents v1.0.2"/>
    <m/>
    <m/>
    <s v="CNCF"/>
    <s v="1.0.2"/>
    <m/>
    <x v="0"/>
    <x v="0"/>
    <x v="0"/>
    <n v="0"/>
    <n v="0"/>
    <n v="3"/>
    <x v="0"/>
  </r>
  <r>
    <x v="0"/>
    <s v="Requirements and recommendations regarding the Digital Certificates used in eDelivery"/>
    <m/>
    <m/>
    <s v="EC"/>
    <s v="1.0.0"/>
    <m/>
    <x v="7"/>
    <x v="0"/>
    <x v="1"/>
    <n v="0"/>
    <n v="0"/>
    <n v="0"/>
    <x v="0"/>
  </r>
  <r>
    <x v="0"/>
    <s v="CYBER; Identity Management and Discovery for IoT (ETSI TS 103 486)"/>
    <m/>
    <s v="ETSI TS 103 486"/>
    <s v="ETSI"/>
    <s v="1.1.1"/>
    <m/>
    <x v="6"/>
    <x v="1"/>
    <x v="2"/>
    <n v="0"/>
    <n v="0"/>
    <n v="0"/>
    <x v="0"/>
  </r>
  <r>
    <x v="0"/>
    <s v="ITU-T Y.4464 Framework of blockchain of things as decentralized service platform"/>
    <m/>
    <s v="ITU-T Y.4464"/>
    <s v="ITU"/>
    <s v="1.0.0"/>
    <m/>
    <x v="7"/>
    <x v="0"/>
    <x v="1"/>
    <n v="0"/>
    <n v="0"/>
    <n v="0"/>
    <x v="0"/>
  </r>
  <r>
    <x v="0"/>
    <s v="EBSI - Verifiable Credentials (EBSI-VC)"/>
    <s v="EBSI-VC"/>
    <m/>
    <s v="EC"/>
    <s v="1.0.0"/>
    <m/>
    <x v="1"/>
    <x v="1"/>
    <x v="0"/>
    <n v="0"/>
    <n v="0"/>
    <n v="0"/>
    <x v="0"/>
  </r>
  <r>
    <x v="0"/>
    <s v="Universal 2nd Factor (U2F)"/>
    <s v="U2F"/>
    <m/>
    <s v="W3C"/>
    <s v="1.2.0"/>
    <m/>
    <x v="7"/>
    <x v="0"/>
    <x v="1"/>
    <n v="0"/>
    <n v="0"/>
    <n v="0"/>
    <x v="0"/>
  </r>
  <r>
    <x v="0"/>
    <s v="Electronic Signatures and Infrastructures (ESI); PAdES digital signatures; Part 1: Building blocks and PAdES baseline signatures (ETSI EN 319 142-1)"/>
    <s v="PAdES"/>
    <m/>
    <s v="ETSI"/>
    <s v="1.1.1"/>
    <m/>
    <x v="7"/>
    <x v="0"/>
    <x v="2"/>
    <n v="0"/>
    <n v="0"/>
    <n v="0"/>
    <x v="0"/>
  </r>
  <r>
    <x v="0"/>
    <s v="Electronic Signatures and Infrastructures (ESI); PAdES digital signatures; Part 1: Building blocks and PAdES baseline signatures (ETSI EN 319 142-1)"/>
    <s v="PAdES"/>
    <m/>
    <s v="ETSI"/>
    <s v="1.2.1"/>
    <m/>
    <x v="7"/>
    <x v="0"/>
    <x v="2"/>
    <n v="0"/>
    <n v="0"/>
    <n v="0"/>
    <x v="1"/>
  </r>
  <r>
    <x v="0"/>
    <s v="ITU-T Y.3653 Functional architecture of big data-driven networking"/>
    <m/>
    <s v="ITU-T Y.3653"/>
    <s v="ITU"/>
    <s v="1.0.0"/>
    <m/>
    <x v="7"/>
    <x v="0"/>
    <x v="1"/>
    <n v="0"/>
    <n v="0"/>
    <n v="0"/>
    <x v="0"/>
  </r>
  <r>
    <x v="0"/>
    <s v="European Interoperability Reference Architecture (EIRA) v6.1.0"/>
    <s v="EIRA"/>
    <m/>
    <s v="EC"/>
    <s v="6.1.0"/>
    <m/>
    <x v="13"/>
    <x v="0"/>
    <x v="5"/>
    <n v="0"/>
    <n v="1"/>
    <n v="0"/>
    <x v="1"/>
  </r>
  <r>
    <x v="0"/>
    <s v="DID resolution"/>
    <m/>
    <m/>
    <s v="W3C"/>
    <s v="1.0.0"/>
    <m/>
    <x v="1"/>
    <x v="1"/>
    <x v="0"/>
    <n v="0"/>
    <n v="0"/>
    <n v="0"/>
    <x v="0"/>
  </r>
  <r>
    <x v="0"/>
    <s v="ISO/IEC/IEEE 24774:2021 Systems and software engineering — Life cycle management — Specification for process description"/>
    <m/>
    <s v="ISO/IEC/IEEE 24774:2021"/>
    <s v="ISO"/>
    <s v="1.0.0"/>
    <m/>
    <x v="1"/>
    <x v="2"/>
    <x v="0"/>
    <n v="0"/>
    <n v="0"/>
    <n v="0"/>
    <x v="0"/>
  </r>
  <r>
    <x v="0"/>
    <s v="Electronic Signatures and Infrastructures (ESI); XAdES digital signatures; Part 2: Extended XAdES signatures (ETSI EN 319 132-2)"/>
    <s v="XAdES"/>
    <m/>
    <s v="ETSI"/>
    <s v="1.1.1"/>
    <m/>
    <x v="7"/>
    <x v="0"/>
    <x v="2"/>
    <n v="0"/>
    <n v="0"/>
    <n v="0"/>
    <x v="0"/>
  </r>
  <r>
    <x v="0"/>
    <s v="Circular public procurement of information and communication technologies"/>
    <m/>
    <s v="ITU-T L.1061"/>
    <s v="ITU"/>
    <s v="1.0.0"/>
    <m/>
    <x v="12"/>
    <x v="0"/>
    <x v="0"/>
    <n v="0"/>
    <n v="0"/>
    <n v="0"/>
    <x v="0"/>
  </r>
  <r>
    <x v="0"/>
    <s v="Open Archives Initiative Protocol for Metadata Harvesting OAI-PMH"/>
    <m/>
    <m/>
    <s v="OAI"/>
    <s v="2.0.0"/>
    <m/>
    <x v="5"/>
    <x v="0"/>
    <x v="2"/>
    <n v="0"/>
    <n v="0"/>
    <n v="2"/>
    <x v="0"/>
  </r>
  <r>
    <x v="0"/>
    <s v="GITB Messaging Service API"/>
    <m/>
    <m/>
    <s v="EC"/>
    <s v="1.4.0"/>
    <m/>
    <x v="7"/>
    <x v="0"/>
    <x v="1"/>
    <n v="0"/>
    <n v="0"/>
    <n v="0"/>
    <x v="0"/>
  </r>
  <r>
    <x v="0"/>
    <s v="Open Cloud Computing Interface (OCCI)"/>
    <s v="OCCI"/>
    <m/>
    <s v="OGF"/>
    <s v="1.2.0"/>
    <m/>
    <x v="7"/>
    <x v="0"/>
    <x v="3"/>
    <n v="0"/>
    <n v="0"/>
    <n v="0"/>
    <x v="0"/>
  </r>
  <r>
    <x v="0"/>
    <s v="RESTful API Modeling Language (RAML)"/>
    <m/>
    <m/>
    <s v="RAML"/>
    <s v="1.0.0"/>
    <m/>
    <x v="7"/>
    <x v="0"/>
    <x v="3"/>
    <n v="0"/>
    <n v="0"/>
    <n v="0"/>
    <x v="0"/>
  </r>
  <r>
    <x v="0"/>
    <s v="ODRL Information Model 2.2"/>
    <m/>
    <m/>
    <s v="W3C"/>
    <s v="2.2.0"/>
    <m/>
    <x v="0"/>
    <x v="0"/>
    <x v="0"/>
    <n v="0"/>
    <n v="0"/>
    <n v="4"/>
    <x v="0"/>
  </r>
  <r>
    <x v="0"/>
    <s v="ISO/IEC 23271:2012 Information technology — Common Language Infrastructure (CLI)"/>
    <s v="CLI"/>
    <m/>
    <s v="ISO"/>
    <s v="3.0.0"/>
    <m/>
    <x v="1"/>
    <x v="1"/>
    <x v="0"/>
    <n v="0"/>
    <n v="0"/>
    <n v="0"/>
    <x v="0"/>
  </r>
  <r>
    <x v="0"/>
    <s v="RapidAPI"/>
    <m/>
    <m/>
    <s v="RapidAPI"/>
    <s v="1.0.0"/>
    <m/>
    <x v="7"/>
    <x v="0"/>
    <x v="1"/>
    <n v="0"/>
    <n v="0"/>
    <n v="0"/>
    <x v="0"/>
  </r>
  <r>
    <x v="0"/>
    <s v="ETSI TS 119 512 Electronic Signatures and Infrastructures (ESI); Protocols for trust service providers providing long-term data preservation services."/>
    <s v="ETSI TS 119 512"/>
    <m/>
    <s v="ETSI"/>
    <s v="1.2.1"/>
    <m/>
    <x v="7"/>
    <x v="0"/>
    <x v="5"/>
    <n v="0"/>
    <n v="0"/>
    <n v="0"/>
    <x v="0"/>
  </r>
  <r>
    <x v="0"/>
    <s v="Peppol Business Message Envelope (SBDH)"/>
    <s v="SBDH"/>
    <m/>
    <s v="PEPPOL"/>
    <s v="1.2.1"/>
    <m/>
    <x v="7"/>
    <x v="0"/>
    <x v="1"/>
    <n v="0"/>
    <n v="0"/>
    <n v="0"/>
    <x v="0"/>
  </r>
  <r>
    <x v="0"/>
    <s v="ETSI ES 203 199 Environmental Engineering (EE); Methodology for environmental Life Cycle Assessment (LCA) of Information and Communication Technology (ICT) goods, networks and services"/>
    <s v="ETSI ES 203 199"/>
    <m/>
    <s v="ETSI"/>
    <s v="1.4.0"/>
    <m/>
    <x v="2"/>
    <x v="0"/>
    <x v="0"/>
    <n v="0"/>
    <n v="1"/>
    <n v="0"/>
    <x v="0"/>
  </r>
  <r>
    <x v="0"/>
    <s v="COMMISSION DECISION (EU, Euratom) 2017/46 of 10 January 2017 on the security of communication and information systems in the European Commission"/>
    <m/>
    <m/>
    <s v="EC"/>
    <s v="1.0.0"/>
    <m/>
    <x v="9"/>
    <x v="0"/>
    <x v="0"/>
    <n v="1"/>
    <n v="0"/>
    <n v="0"/>
    <x v="0"/>
  </r>
  <r>
    <x v="0"/>
    <s v="European Security Certification Framework (EU-SEC)"/>
    <s v="EU-SEC"/>
    <m/>
    <s v="ECCC"/>
    <s v="1.0.0"/>
    <m/>
    <x v="2"/>
    <x v="0"/>
    <x v="0"/>
    <n v="0"/>
    <n v="2"/>
    <n v="0"/>
    <x v="0"/>
  </r>
  <r>
    <x v="0"/>
    <s v="Cyber Security for Consumer Internet of Things Baseline Requirements (EN 303 645)"/>
    <m/>
    <s v="ETSI EN 303 645"/>
    <s v="ETSI"/>
    <s v="2.1.1"/>
    <m/>
    <x v="12"/>
    <x v="0"/>
    <x v="0"/>
    <n v="0"/>
    <n v="0"/>
    <n v="0"/>
    <x v="0"/>
  </r>
  <r>
    <x v="0"/>
    <s v="Verifiable Credentials"/>
    <s v="VC"/>
    <m/>
    <s v="W3C"/>
    <s v="2.0.0"/>
    <m/>
    <x v="6"/>
    <x v="1"/>
    <x v="3"/>
    <n v="0"/>
    <n v="0"/>
    <n v="0"/>
    <x v="1"/>
  </r>
  <r>
    <x v="0"/>
    <s v="Details of the AAS Part 1 - Metamodel and Package File formats (AAS Metamodel)"/>
    <m/>
    <m/>
    <s v="Platform Industrie 4.0"/>
    <s v="3.0.0"/>
    <m/>
    <x v="0"/>
    <x v="0"/>
    <x v="0"/>
    <n v="0"/>
    <n v="0"/>
    <n v="4"/>
    <x v="0"/>
  </r>
  <r>
    <x v="0"/>
    <s v="Metadata Registries Interoperability and Bindings (MDR-IB) (ISO/IEC 20944-1:2013)"/>
    <s v="MDR-IB"/>
    <s v="ISO/IEC 20944-1:2013"/>
    <s v="ISO"/>
    <s v="1.0.0"/>
    <m/>
    <x v="0"/>
    <x v="0"/>
    <x v="0"/>
    <n v="0"/>
    <n v="0"/>
    <n v="2"/>
    <x v="0"/>
  </r>
  <r>
    <x v="0"/>
    <s v="Account Management API REST Specification (Account API)"/>
    <m/>
    <m/>
    <s v="TM Forum"/>
    <s v="4.0.0"/>
    <m/>
    <x v="7"/>
    <x v="0"/>
    <x v="5"/>
    <n v="0"/>
    <n v="0"/>
    <n v="0"/>
    <x v="0"/>
  </r>
  <r>
    <x v="0"/>
    <s v="GXFS Authentication/Authorization"/>
    <m/>
    <m/>
    <s v="GAIA-X"/>
    <s v="1.0.0"/>
    <m/>
    <x v="7"/>
    <x v="0"/>
    <x v="2"/>
    <n v="0"/>
    <n v="0"/>
    <n v="0"/>
    <x v="0"/>
  </r>
  <r>
    <x v="0"/>
    <s v="ISO/IEC 29500-2:2021 Document description and processing languages — Office Open XML file formats — Part 2: Open packaging conventions"/>
    <m/>
    <m/>
    <s v="ISO"/>
    <s v="4.0.0"/>
    <m/>
    <x v="7"/>
    <x v="0"/>
    <x v="1"/>
    <n v="0"/>
    <n v="0"/>
    <n v="0"/>
    <x v="0"/>
  </r>
  <r>
    <x v="0"/>
    <s v="Additional HTTP Status Codes (RFC 6585)"/>
    <m/>
    <m/>
    <s v="IETF"/>
    <s v="1.0.0"/>
    <m/>
    <x v="0"/>
    <x v="0"/>
    <x v="0"/>
    <n v="0"/>
    <n v="0"/>
    <n v="2"/>
    <x v="0"/>
  </r>
  <r>
    <x v="0"/>
    <s v="eDelivery SMP 1.10"/>
    <s v="SMP"/>
    <m/>
    <s v="EC"/>
    <s v="1.10.0"/>
    <m/>
    <x v="12"/>
    <x v="0"/>
    <x v="0"/>
    <n v="0"/>
    <n v="0"/>
    <n v="0"/>
    <x v="0"/>
  </r>
  <r>
    <x v="0"/>
    <s v="X.1275 : Guidelines on protection of personally identifiable information in the application of RFID technology"/>
    <m/>
    <s v="ITU-T X.1275"/>
    <s v="ITU"/>
    <s v="1.0.0"/>
    <m/>
    <x v="7"/>
    <x v="0"/>
    <x v="2"/>
    <n v="0"/>
    <n v="0"/>
    <n v="0"/>
    <x v="0"/>
  </r>
  <r>
    <x v="0"/>
    <s v="Requirements and capability framework for IoT-based automotive emergency response system"/>
    <m/>
    <s v="ITU-T Y.4119"/>
    <s v="ITU"/>
    <s v="1.0.0"/>
    <m/>
    <x v="6"/>
    <x v="6"/>
    <x v="2"/>
    <n v="0"/>
    <n v="0"/>
    <n v="0"/>
    <x v="0"/>
  </r>
  <r>
    <x v="0"/>
    <s v="ETSI TS 119 612 - Electronic Signatures and Infrastructures (ESI); Trusted Lists"/>
    <m/>
    <s v="ETSI TS 119 612"/>
    <s v="ETSI"/>
    <s v="2.2.1"/>
    <m/>
    <x v="7"/>
    <x v="0"/>
    <x v="3"/>
    <n v="0"/>
    <n v="0"/>
    <n v="0"/>
    <x v="1"/>
  </r>
  <r>
    <x v="0"/>
    <s v="Concise Data Definition Language (CDDL): A Notational Convention to Express Concise Binary Object Representation (CBOR) and JSON Data Structures (RFC 8610)"/>
    <s v="CDDL"/>
    <m/>
    <s v="IETF"/>
    <s v="1.0.0"/>
    <m/>
    <x v="0"/>
    <x v="0"/>
    <x v="0"/>
    <n v="0"/>
    <n v="0"/>
    <n v="2"/>
    <x v="0"/>
  </r>
  <r>
    <x v="0"/>
    <s v="Coordinated Metadata Catalogue Model (CMD)"/>
    <s v="CMD"/>
    <m/>
    <s v="EC"/>
    <s v="2.0.0"/>
    <m/>
    <x v="0"/>
    <x v="0"/>
    <x v="0"/>
    <n v="0"/>
    <n v="0"/>
    <n v="4"/>
    <x v="0"/>
  </r>
  <r>
    <x v="0"/>
    <s v="Common Data Model"/>
    <s v="CDM"/>
    <m/>
    <s v="OP"/>
    <s v="4.7.7"/>
    <m/>
    <x v="0"/>
    <x v="0"/>
    <x v="0"/>
    <n v="0"/>
    <n v="0"/>
    <n v="1"/>
    <x v="0"/>
  </r>
  <r>
    <x v="0"/>
    <s v="XML Advanced Electronic Signatures (XAdES) - ISO 14533-2:2012"/>
    <s v="XAdES"/>
    <s v="ISO 14533-2:2012"/>
    <s v="ISO"/>
    <s v="2.0.0"/>
    <m/>
    <x v="12"/>
    <x v="0"/>
    <x v="0"/>
    <n v="0"/>
    <n v="0"/>
    <n v="0"/>
    <x v="0"/>
  </r>
  <r>
    <x v="0"/>
    <s v="X.1770 : Technical guidelines for secure multi-party computation"/>
    <m/>
    <s v="ITU-T X.1770"/>
    <s v="ITU"/>
    <s v="1.0.0"/>
    <m/>
    <x v="7"/>
    <x v="0"/>
    <x v="3"/>
    <n v="0"/>
    <n v="0"/>
    <n v="0"/>
    <x v="0"/>
  </r>
  <r>
    <x v="0"/>
    <s v="Q.3914 : Set of parameters of cloud computing for monitoring"/>
    <m/>
    <s v="ITU-T Q.3914"/>
    <s v="ITU"/>
    <s v="1.0.0"/>
    <m/>
    <x v="6"/>
    <x v="1"/>
    <x v="1"/>
    <n v="0"/>
    <n v="0"/>
    <n v="0"/>
    <x v="0"/>
  </r>
  <r>
    <x v="0"/>
    <s v="ONB - 004 CX Registration API"/>
    <m/>
    <s v="ONB-004"/>
    <s v="CATENA-X"/>
    <s v="2.1.0"/>
    <m/>
    <x v="7"/>
    <x v="0"/>
    <x v="5"/>
    <n v="0"/>
    <n v="0"/>
    <n v="0"/>
    <x v="0"/>
  </r>
  <r>
    <x v="0"/>
    <s v="IMMC Core Metadata"/>
    <m/>
    <m/>
    <s v="OP"/>
    <s v="3.0.0"/>
    <m/>
    <x v="0"/>
    <x v="0"/>
    <x v="0"/>
    <n v="0"/>
    <n v="0"/>
    <n v="4"/>
    <x v="0"/>
  </r>
  <r>
    <x v="0"/>
    <s v="Requirements and capability framework of digital twin for intelligent transport system"/>
    <m/>
    <s v="ITU-T Y.4225"/>
    <s v="ITU"/>
    <s v="1.0.0"/>
    <m/>
    <x v="12"/>
    <x v="0"/>
    <x v="0"/>
    <n v="0"/>
    <n v="0"/>
    <n v="0"/>
    <x v="0"/>
  </r>
  <r>
    <x v="0"/>
    <s v="Reference Model for an Open Archival Information System (OAIS)"/>
    <s v="OAIS"/>
    <m/>
    <s v="CCSDS"/>
    <s v="2.0.0"/>
    <m/>
    <x v="0"/>
    <x v="0"/>
    <x v="0"/>
    <n v="0"/>
    <n v="0"/>
    <n v="2"/>
    <x v="1"/>
  </r>
  <r>
    <x v="0"/>
    <s v="REST API Standard (RAPIS)"/>
    <s v="RAPIS"/>
    <m/>
    <s v="RAPIS Working Group"/>
    <s v="1.0.0"/>
    <m/>
    <x v="6"/>
    <x v="1"/>
    <x v="5"/>
    <n v="0"/>
    <n v="0"/>
    <n v="0"/>
    <x v="0"/>
  </r>
  <r>
    <x v="0"/>
    <s v="DCAT-AP v2.0.0"/>
    <s v="DCAT-AP"/>
    <m/>
    <s v="EC"/>
    <s v="2.0.0"/>
    <m/>
    <x v="5"/>
    <x v="0"/>
    <x v="2"/>
    <n v="0"/>
    <n v="0"/>
    <n v="8"/>
    <x v="2"/>
  </r>
  <r>
    <x v="0"/>
    <s v="The Digital Europa Thesaurus (DET)"/>
    <s v="DET"/>
    <m/>
    <s v="OP"/>
    <s v="2.0.0"/>
    <m/>
    <x v="0"/>
    <x v="0"/>
    <x v="0"/>
    <n v="0"/>
    <n v="0"/>
    <n v="1"/>
    <x v="0"/>
  </r>
  <r>
    <x v="0"/>
    <s v="IEEE 7001-2021 - IEEE Standard for Transparency of Autonomous Systems"/>
    <m/>
    <s v="IEEE 7001-2021"/>
    <s v="IEEE"/>
    <s v="1.0.0"/>
    <m/>
    <x v="7"/>
    <x v="0"/>
    <x v="1"/>
    <n v="0"/>
    <n v="0"/>
    <n v="0"/>
    <x v="0"/>
  </r>
  <r>
    <x v="0"/>
    <s v="HTTP over SSL/TLS (HTTPS) (RFC 2818)"/>
    <s v="HTTPS"/>
    <s v="RFC 2818"/>
    <s v="IETF"/>
    <s v="3.0.0"/>
    <m/>
    <x v="7"/>
    <x v="0"/>
    <x v="1"/>
    <n v="0"/>
    <n v="0"/>
    <n v="0"/>
    <x v="2"/>
  </r>
  <r>
    <x v="0"/>
    <s v="GeoJSON"/>
    <s v="GeoJSON"/>
    <m/>
    <s v="IETF"/>
    <s v="5.0.0"/>
    <m/>
    <x v="5"/>
    <x v="0"/>
    <x v="5"/>
    <n v="0"/>
    <n v="0"/>
    <n v="1"/>
    <x v="0"/>
  </r>
  <r>
    <x v="0"/>
    <s v="Electronic Signatures and Infrastructures (ESI); Time-stamping protocol and time-stamp token profiles"/>
    <m/>
    <s v="ETSI EN 319 422"/>
    <s v="ETSI"/>
    <s v="1.1.1"/>
    <m/>
    <x v="12"/>
    <x v="0"/>
    <x v="0"/>
    <n v="0"/>
    <n v="0"/>
    <n v="0"/>
    <x v="0"/>
  </r>
  <r>
    <x v="0"/>
    <s v="Office Open XML File Formats Part 4: Transitional Migration Features"/>
    <m/>
    <s v="ISO/IEC 29500-4:2016"/>
    <s v="ISO"/>
    <s v="4.0.0"/>
    <m/>
    <x v="7"/>
    <x v="0"/>
    <x v="4"/>
    <n v="0"/>
    <n v="0"/>
    <n v="0"/>
    <x v="0"/>
  </r>
  <r>
    <x v="0"/>
    <s v="Y.4208 : Internet of things requirements for support of edge computing"/>
    <m/>
    <s v="ITU-T Y.4208"/>
    <s v="ITU"/>
    <s v="1.0.0"/>
    <m/>
    <x v="1"/>
    <x v="2"/>
    <x v="0"/>
    <n v="0"/>
    <n v="0"/>
    <n v="0"/>
    <x v="0"/>
  </r>
  <r>
    <x v="0"/>
    <s v="W3C PROV-N: The Provenance Notation"/>
    <s v="PROV-N"/>
    <m/>
    <s v="W3C"/>
    <s v="1.0.0"/>
    <m/>
    <x v="0"/>
    <x v="0"/>
    <x v="0"/>
    <n v="0"/>
    <n v="0"/>
    <n v="5"/>
    <x v="0"/>
  </r>
  <r>
    <x v="0"/>
    <s v="SmartM2M; Smart Applications;  Reference Ontology and oneM2M Mapping (ETSI TS 103 264)"/>
    <m/>
    <s v="ETSI TS 103 264"/>
    <s v="ETSI"/>
    <s v="4.1.1"/>
    <m/>
    <x v="0"/>
    <x v="0"/>
    <x v="0"/>
    <n v="0"/>
    <n v="0"/>
    <n v="5"/>
    <x v="0"/>
  </r>
  <r>
    <x v="0"/>
    <s v="Indian Urban Data Exchange (IUDX)"/>
    <s v="IUDX"/>
    <m/>
    <s v="Government of India"/>
    <s v="1.0.0"/>
    <m/>
    <x v="13"/>
    <x v="0"/>
    <x v="7"/>
    <n v="0"/>
    <n v="2"/>
    <n v="0"/>
    <x v="0"/>
  </r>
  <r>
    <x v="0"/>
    <s v="WebFinger protocol"/>
    <m/>
    <m/>
    <s v="IETF"/>
    <s v="1.0.0"/>
    <m/>
    <x v="7"/>
    <x v="0"/>
    <x v="5"/>
    <n v="0"/>
    <n v="0"/>
    <n v="0"/>
    <x v="0"/>
  </r>
  <r>
    <x v="0"/>
    <s v="CMS Advanced Electronic Signatures (CAdES) - ISO 14533-1:2014"/>
    <s v="CAdES"/>
    <s v="ISO 14533-1:2014"/>
    <s v="ISO"/>
    <s v="None"/>
    <m/>
    <x v="12"/>
    <x v="0"/>
    <x v="0"/>
    <n v="0"/>
    <n v="0"/>
    <n v="0"/>
    <x v="0"/>
  </r>
  <r>
    <x v="0"/>
    <s v="JSON-stat Dataset Format"/>
    <m/>
    <s v="JSON-stat"/>
    <s v="json-stat"/>
    <s v="2.0.0"/>
    <m/>
    <x v="0"/>
    <x v="0"/>
    <x v="0"/>
    <n v="0"/>
    <n v="0"/>
    <n v="2"/>
    <x v="0"/>
  </r>
  <r>
    <x v="0"/>
    <s v="Apache Avro"/>
    <m/>
    <m/>
    <s v="Apache Software Foundation"/>
    <s v="1.12.0"/>
    <m/>
    <x v="7"/>
    <x v="0"/>
    <x v="3"/>
    <n v="0"/>
    <n v="0"/>
    <n v="0"/>
    <x v="0"/>
  </r>
  <r>
    <x v="0"/>
    <s v="REGULATION (EU) 2019/1157 OF THE EUROPEAN PARLIAMENT AND OF THE COUNCIL of 20 June 2019 on strengthening the security of identity cards of Union citizens and of residence documents issued to Union citizens and their family members exercising their right of free movement"/>
    <m/>
    <s v="Regulation 2019/1157/EU"/>
    <s v="OP"/>
    <s v="L 188/67"/>
    <m/>
    <x v="9"/>
    <x v="0"/>
    <x v="0"/>
    <n v="5"/>
    <n v="0"/>
    <n v="0"/>
    <x v="0"/>
  </r>
  <r>
    <x v="0"/>
    <s v="BIS eDelivery guide for pre-award"/>
    <m/>
    <m/>
    <s v="PEPPOL"/>
    <s v="1.2.0"/>
    <m/>
    <x v="12"/>
    <x v="0"/>
    <x v="0"/>
    <n v="0"/>
    <n v="0"/>
    <n v="0"/>
    <x v="0"/>
  </r>
  <r>
    <x v="0"/>
    <s v="OpenStack"/>
    <m/>
    <m/>
    <s v="OpenStack"/>
    <s v="25.0.0"/>
    <m/>
    <x v="1"/>
    <x v="1"/>
    <x v="0"/>
    <n v="0"/>
    <n v="0"/>
    <n v="0"/>
    <x v="0"/>
  </r>
  <r>
    <x v="0"/>
    <s v="WDS Publishing Data Services"/>
    <m/>
    <m/>
    <s v="RDA"/>
    <s v="None"/>
    <m/>
    <x v="12"/>
    <x v="0"/>
    <x v="0"/>
    <n v="0"/>
    <n v="0"/>
    <n v="0"/>
    <x v="0"/>
  </r>
  <r>
    <x v="0"/>
    <s v="European Interoperability Reference Architecture (EIRA) v5.0.0"/>
    <s v="EIRA"/>
    <m/>
    <s v="EC"/>
    <s v="5.0.0"/>
    <m/>
    <x v="13"/>
    <x v="0"/>
    <x v="5"/>
    <n v="0"/>
    <n v="1"/>
    <n v="0"/>
    <x v="0"/>
  </r>
  <r>
    <x v="0"/>
    <s v="MIME"/>
    <s v="MIME"/>
    <m/>
    <s v="IETF"/>
    <s v="6.0.0"/>
    <m/>
    <x v="7"/>
    <x v="0"/>
    <x v="1"/>
    <n v="0"/>
    <n v="0"/>
    <n v="0"/>
    <x v="2"/>
  </r>
  <r>
    <x v="0"/>
    <s v="GS1 EANCOM Syntax 4 standard"/>
    <m/>
    <m/>
    <s v="GS1"/>
    <s v="4.0.0"/>
    <m/>
    <x v="0"/>
    <x v="0"/>
    <x v="0"/>
    <n v="0"/>
    <n v="0"/>
    <n v="2"/>
    <x v="0"/>
  </r>
  <r>
    <x v="0"/>
    <s v="Advanced Message Queuing Protocol (AMQP)"/>
    <s v="AMQP"/>
    <m/>
    <s v="OASIS"/>
    <s v="1.0.0"/>
    <m/>
    <x v="6"/>
    <x v="1"/>
    <x v="1"/>
    <n v="0"/>
    <n v="0"/>
    <n v="0"/>
    <x v="1"/>
  </r>
  <r>
    <x v="0"/>
    <s v="RosettaNet Implementation Framework (RNIF)"/>
    <s v="RNIF"/>
    <m/>
    <s v="GS1"/>
    <s v="2.0.0"/>
    <m/>
    <x v="5"/>
    <x v="0"/>
    <x v="5"/>
    <n v="0"/>
    <n v="0"/>
    <n v="1"/>
    <x v="0"/>
  </r>
  <r>
    <x v="0"/>
    <s v="Linked Data Event Streams"/>
    <s v="LDES"/>
    <m/>
    <s v="EC"/>
    <s v="1.0.0"/>
    <m/>
    <x v="11"/>
    <x v="2"/>
    <x v="2"/>
    <n v="0"/>
    <n v="0"/>
    <n v="1"/>
    <x v="1"/>
  </r>
  <r>
    <x v="0"/>
    <s v="Gaia-X Policy Rules and Labelling Document"/>
    <m/>
    <m/>
    <s v="GAIA-X"/>
    <s v="22.11.0"/>
    <m/>
    <x v="13"/>
    <x v="0"/>
    <x v="5"/>
    <n v="0"/>
    <n v="1"/>
    <n v="0"/>
    <x v="0"/>
  </r>
  <r>
    <x v="0"/>
    <s v="Linked Data Event Streams (LDES)"/>
    <s v="LDES"/>
    <m/>
    <s v="EC"/>
    <s v="2.0.0"/>
    <m/>
    <x v="11"/>
    <x v="2"/>
    <x v="2"/>
    <n v="0"/>
    <n v="0"/>
    <n v="1"/>
    <x v="0"/>
  </r>
  <r>
    <x v="0"/>
    <s v="Data Collections API"/>
    <m/>
    <m/>
    <s v="RDA"/>
    <s v="None"/>
    <m/>
    <x v="12"/>
    <x v="0"/>
    <x v="0"/>
    <n v="0"/>
    <n v="0"/>
    <n v="0"/>
    <x v="0"/>
  </r>
  <r>
    <x v="0"/>
    <s v="CEN/TC 428 - ICT Professionalism and Digital Competences - European Competency Framework (The European Union's European e-Competence Framework (e-CF)"/>
    <s v="e-CF"/>
    <s v="CEN/TC 428"/>
    <s v="CEN-CENELEC"/>
    <s v="4.0.0"/>
    <m/>
    <x v="2"/>
    <x v="0"/>
    <x v="0"/>
    <n v="0"/>
    <n v="1"/>
    <n v="0"/>
    <x v="1"/>
  </r>
  <r>
    <x v="0"/>
    <s v="iShare Authorization Registry"/>
    <m/>
    <m/>
    <s v="iShare"/>
    <s v="2.0.1"/>
    <m/>
    <x v="7"/>
    <x v="0"/>
    <x v="6"/>
    <n v="0"/>
    <n v="0"/>
    <n v="0"/>
    <x v="0"/>
  </r>
  <r>
    <x v="0"/>
    <s v="OpenTelemetry (OTel)"/>
    <s v="OTel"/>
    <m/>
    <s v="CNCF"/>
    <s v="1.1.0"/>
    <m/>
    <x v="6"/>
    <x v="2"/>
    <x v="2"/>
    <n v="0"/>
    <n v="0"/>
    <n v="0"/>
    <x v="1"/>
  </r>
  <r>
    <x v="0"/>
    <s v="Functional architecture of network-based driving assistance for autonomous vehicles"/>
    <m/>
    <s v="ITU-T Y.4471"/>
    <s v="ITU"/>
    <s v="1.0.0"/>
    <m/>
    <x v="6"/>
    <x v="6"/>
    <x v="2"/>
    <n v="0"/>
    <n v="0"/>
    <n v="0"/>
    <x v="0"/>
  </r>
  <r>
    <x v="0"/>
    <s v="GAIA-X Federated Services Data Exchange Logging Service (GXFS DELS) working draft"/>
    <s v="GXFS DELS"/>
    <m/>
    <s v="GAIA-X"/>
    <s v="Working draft"/>
    <m/>
    <x v="6"/>
    <x v="1"/>
    <x v="3"/>
    <n v="0"/>
    <n v="0"/>
    <n v="0"/>
    <x v="0"/>
  </r>
  <r>
    <x v="0"/>
    <s v="E-ARK Common Specification for Information Packages (CSIP)"/>
    <s v="E-ARK CSIP"/>
    <m/>
    <s v="DILCIS Board"/>
    <s v="2.1.0"/>
    <m/>
    <x v="7"/>
    <x v="0"/>
    <x v="1"/>
    <n v="0"/>
    <n v="0"/>
    <n v="0"/>
    <x v="1"/>
  </r>
  <r>
    <x v="0"/>
    <s v="Electronic Signatures and Infrastructures (ESI); Protocols for remote digital signature creation (ETSI TS 119 432)"/>
    <m/>
    <s v="ETSI TS 119 432"/>
    <s v="ETSI"/>
    <s v="1.1.1"/>
    <m/>
    <x v="7"/>
    <x v="0"/>
    <x v="7"/>
    <n v="0"/>
    <n v="0"/>
    <n v="0"/>
    <x v="1"/>
  </r>
  <r>
    <x v="0"/>
    <s v="RTP Profile for Audio and Video Conferences with Minimal Control"/>
    <m/>
    <s v="RFC 3551"/>
    <s v="IETF"/>
    <s v="1.0.0"/>
    <m/>
    <x v="12"/>
    <x v="0"/>
    <x v="0"/>
    <n v="0"/>
    <n v="0"/>
    <n v="0"/>
    <x v="0"/>
  </r>
  <r>
    <x v="0"/>
    <s v="OpenID for Verifiable Credential Issuance (OID4VCI)"/>
    <s v="OID4VCI"/>
    <m/>
    <s v="OpenID Foundation"/>
    <s v="1.0.0"/>
    <m/>
    <x v="6"/>
    <x v="1"/>
    <x v="5"/>
    <n v="0"/>
    <n v="0"/>
    <n v="0"/>
    <x v="0"/>
  </r>
  <r>
    <x v="0"/>
    <s v="Electronic Signatures and Infrastructures (ESI); XAdES digital signatures; Part 1: Building blocks and XAdES baseline signatures (ETSI EN 319 132-1)"/>
    <s v="XAdES"/>
    <s v="ETSI EN 319 132-1"/>
    <s v="ETSI"/>
    <s v="1.2.1"/>
    <m/>
    <x v="7"/>
    <x v="0"/>
    <x v="2"/>
    <n v="0"/>
    <n v="0"/>
    <n v="0"/>
    <x v="0"/>
  </r>
  <r>
    <x v="0"/>
    <s v="Electronic Signatures and Infrastructures (ESI); XAdES digital signatures; Part 1: Building blocks and XAdES baseline signatures (ETSI EN 319 132-1)"/>
    <s v="XAdES"/>
    <s v="ETSI EN 319 132-1"/>
    <s v="ETSI"/>
    <s v="1.3.1"/>
    <m/>
    <x v="7"/>
    <x v="0"/>
    <x v="2"/>
    <n v="0"/>
    <n v="0"/>
    <n v="0"/>
    <x v="1"/>
  </r>
  <r>
    <x v="0"/>
    <s v="CEF eDelivery PKI Service"/>
    <m/>
    <m/>
    <s v="EC"/>
    <s v="2.3.0"/>
    <m/>
    <x v="7"/>
    <x v="0"/>
    <x v="5"/>
    <n v="0"/>
    <n v="0"/>
    <n v="0"/>
    <x v="0"/>
  </r>
  <r>
    <x v="0"/>
    <s v="Proposal for regulation on establishing a Single Digital GateWay Proposal for a REGULATION OF THE EUROPEAN PARLIAMENT AND OF THE COUNCIL on establishing a single digital gateway to provide information, procedures, assistance and problem solving services and amending Regulation (EU) No 1024/2012 COM/2017/0256 final - 2017/086 (COD)"/>
    <m/>
    <s v="Regulation 2017/0086/COD"/>
    <s v="OP"/>
    <s v="COM(2017) 256"/>
    <m/>
    <x v="9"/>
    <x v="0"/>
    <x v="0"/>
    <n v="1"/>
    <n v="0"/>
    <n v="0"/>
    <x v="0"/>
  </r>
  <r>
    <x v="0"/>
    <s v="XBRL-GL"/>
    <s v="XBRL-GL"/>
    <m/>
    <s v="XBRL International"/>
    <s v="2017"/>
    <m/>
    <x v="5"/>
    <x v="0"/>
    <x v="5"/>
    <n v="0"/>
    <n v="0"/>
    <n v="1"/>
    <x v="1"/>
  </r>
  <r>
    <x v="0"/>
    <s v="Cyber Security (CYBER); Cyber Security for Consumer Internet of Things: Conformance Assessment of Baseline Requirements (ETSI TS 103 701)"/>
    <m/>
    <s v="ETSI TS 103 701"/>
    <s v="ETSI"/>
    <s v="2.1.1"/>
    <m/>
    <x v="13"/>
    <x v="0"/>
    <x v="1"/>
    <n v="0"/>
    <n v="2"/>
    <n v="0"/>
    <x v="0"/>
  </r>
  <r>
    <x v="0"/>
    <s v="DomainKeys Identified Mail (DKIM)"/>
    <s v="DKIM"/>
    <m/>
    <s v="IETF"/>
    <s v="5.0.0"/>
    <m/>
    <x v="7"/>
    <x v="0"/>
    <x v="1"/>
    <n v="0"/>
    <n v="0"/>
    <n v="0"/>
    <x v="0"/>
  </r>
  <r>
    <x v="0"/>
    <s v="Collection+JSON"/>
    <m/>
    <m/>
    <s v="amundsen.com"/>
    <s v="1.0.0"/>
    <m/>
    <x v="7"/>
    <x v="0"/>
    <x v="2"/>
    <n v="0"/>
    <n v="0"/>
    <n v="0"/>
    <x v="0"/>
  </r>
  <r>
    <x v="0"/>
    <s v="Information Technology Cloud computing Service level agreement (SLA) framework (ISO/IEC 19086-1:2016)"/>
    <m/>
    <s v="ISO/IEC 19086-1:2016"/>
    <s v="ISO"/>
    <s v="1.0.0"/>
    <m/>
    <x v="6"/>
    <x v="1"/>
    <x v="5"/>
    <n v="0"/>
    <n v="0"/>
    <n v="0"/>
    <x v="0"/>
  </r>
  <r>
    <x v="0"/>
    <s v="SHA-3"/>
    <s v="SHA-3"/>
    <m/>
    <s v="NIST"/>
    <s v="3.0.0"/>
    <m/>
    <x v="5"/>
    <x v="0"/>
    <x v="5"/>
    <n v="0"/>
    <n v="0"/>
    <n v="1"/>
    <x v="0"/>
  </r>
  <r>
    <x v="0"/>
    <s v="TR.NCDP - Session-layer network coding protocol for multicast data transmission"/>
    <m/>
    <m/>
    <s v="ITU"/>
    <s v="nan"/>
    <m/>
    <x v="7"/>
    <x v="0"/>
    <x v="2"/>
    <n v="0"/>
    <n v="0"/>
    <n v="0"/>
    <x v="0"/>
  </r>
  <r>
    <x v="0"/>
    <s v="Data Catalog Vocabulary (DCAT) - Version 2"/>
    <s v="DCAT"/>
    <m/>
    <s v="W3C"/>
    <s v="2.0.0"/>
    <m/>
    <x v="5"/>
    <x v="0"/>
    <x v="2"/>
    <n v="0"/>
    <n v="0"/>
    <n v="8"/>
    <x v="2"/>
  </r>
  <r>
    <x v="0"/>
    <s v="Microcks"/>
    <m/>
    <m/>
    <s v="Microcks"/>
    <s v="1.0.0"/>
    <m/>
    <x v="7"/>
    <x v="0"/>
    <x v="1"/>
    <n v="0"/>
    <n v="0"/>
    <n v="0"/>
    <x v="0"/>
  </r>
  <r>
    <x v="0"/>
    <s v="Universally Unique Identifiers RFC 9562"/>
    <s v="UUIDs"/>
    <s v="RFC 9562"/>
    <s v="IETF"/>
    <s v="1.0.0"/>
    <m/>
    <x v="0"/>
    <x v="0"/>
    <x v="0"/>
    <n v="0"/>
    <n v="0"/>
    <n v="1"/>
    <x v="0"/>
  </r>
  <r>
    <x v="0"/>
    <s v="Date and Time on the Internet: Timestamps (RFC 3339)"/>
    <m/>
    <s v="RFC 3339"/>
    <s v="IETF"/>
    <s v="1.0.0"/>
    <m/>
    <x v="7"/>
    <x v="0"/>
    <x v="2"/>
    <n v="0"/>
    <n v="0"/>
    <n v="0"/>
    <x v="0"/>
  </r>
  <r>
    <x v="0"/>
    <s v="ITU-T X.1751: Security guidelines on big data lifecycle management for telecom operators"/>
    <m/>
    <s v="ITU-T X.1751"/>
    <s v="ITU"/>
    <s v="1.0.0"/>
    <m/>
    <x v="5"/>
    <x v="0"/>
    <x v="1"/>
    <n v="0"/>
    <n v="0"/>
    <n v="2"/>
    <x v="0"/>
  </r>
  <r>
    <x v="0"/>
    <s v="IETF Time Stamp Protocol RFC 3161"/>
    <s v="TSP"/>
    <s v="RFC 3161"/>
    <s v="IETF"/>
    <s v="15.0.0"/>
    <m/>
    <x v="7"/>
    <x v="0"/>
    <x v="1"/>
    <n v="0"/>
    <n v="0"/>
    <n v="0"/>
    <x v="2"/>
  </r>
  <r>
    <x v="0"/>
    <s v="OpenPM2"/>
    <s v="OpenPM2"/>
    <m/>
    <s v="OP"/>
    <s v="1.0.0"/>
    <m/>
    <x v="12"/>
    <x v="0"/>
    <x v="0"/>
    <n v="0"/>
    <n v="0"/>
    <n v="0"/>
    <x v="0"/>
  </r>
  <r>
    <x v="0"/>
    <s v="PROV Ontology"/>
    <s v="PROV-O"/>
    <m/>
    <s v="W3C"/>
    <s v="1.0.0"/>
    <m/>
    <x v="0"/>
    <x v="0"/>
    <x v="0"/>
    <n v="0"/>
    <n v="0"/>
    <n v="1"/>
    <x v="0"/>
  </r>
  <r>
    <x v="0"/>
    <s v="AsyncAPI"/>
    <m/>
    <m/>
    <s v="Linux Foundation"/>
    <s v="3.0.0"/>
    <m/>
    <x v="7"/>
    <x v="0"/>
    <x v="3"/>
    <n v="0"/>
    <n v="0"/>
    <n v="0"/>
    <x v="0"/>
  </r>
  <r>
    <x v="0"/>
    <s v="Transport Layer Security (TLS)"/>
    <s v="TLS"/>
    <m/>
    <s v="IETF"/>
    <s v="1.2.0"/>
    <m/>
    <x v="12"/>
    <x v="0"/>
    <x v="0"/>
    <n v="0"/>
    <n v="0"/>
    <n v="0"/>
    <x v="0"/>
  </r>
  <r>
    <x v="0"/>
    <s v="publiccode.yml"/>
    <m/>
    <m/>
    <s v="Developers Italia"/>
    <s v="0.4.0"/>
    <m/>
    <x v="0"/>
    <x v="0"/>
    <x v="0"/>
    <n v="0"/>
    <n v="0"/>
    <n v="6"/>
    <x v="1"/>
  </r>
  <r>
    <x v="0"/>
    <s v="Peppol Transport Infrastructure Service Metadata Locator (Peppol SML)"/>
    <s v="SML"/>
    <m/>
    <s v="PEPPOL"/>
    <s v="1.2.0"/>
    <m/>
    <x v="6"/>
    <x v="1"/>
    <x v="1"/>
    <n v="0"/>
    <n v="0"/>
    <n v="0"/>
    <x v="0"/>
  </r>
  <r>
    <x v="0"/>
    <s v="Virtual I/O Device (VIRTIO) Version 1.1"/>
    <s v="VIRTIO"/>
    <m/>
    <s v="OASIS"/>
    <s v="1.1.0"/>
    <m/>
    <x v="1"/>
    <x v="1"/>
    <x v="0"/>
    <n v="0"/>
    <n v="0"/>
    <n v="0"/>
    <x v="0"/>
  </r>
  <r>
    <x v="0"/>
    <s v="DCAT-AP"/>
    <m/>
    <m/>
    <s v="EC"/>
    <s v="3.0.0"/>
    <m/>
    <x v="5"/>
    <x v="0"/>
    <x v="2"/>
    <n v="0"/>
    <n v="0"/>
    <n v="11"/>
    <x v="0"/>
  </r>
  <r>
    <x v="0"/>
    <s v="BregDCAT-AP"/>
    <s v="BregDCAT-AP"/>
    <m/>
    <s v="EC"/>
    <s v="2.1.0"/>
    <m/>
    <x v="0"/>
    <x v="0"/>
    <x v="0"/>
    <n v="0"/>
    <n v="0"/>
    <n v="2"/>
    <x v="0"/>
  </r>
  <r>
    <x v="0"/>
    <s v="Y3600 Big data - Cloud computing based requirements and capabilities"/>
    <m/>
    <s v="ITU-T Y.3600"/>
    <s v="ITU"/>
    <s v="1.0.0"/>
    <m/>
    <x v="1"/>
    <x v="1"/>
    <x v="0"/>
    <n v="0"/>
    <n v="0"/>
    <n v="0"/>
    <x v="0"/>
  </r>
  <r>
    <x v="0"/>
    <s v="Swedish API License"/>
    <m/>
    <m/>
    <s v="API UX"/>
    <s v="1.0.0"/>
    <m/>
    <x v="13"/>
    <x v="0"/>
    <x v="5"/>
    <n v="0"/>
    <n v="1"/>
    <n v="0"/>
    <x v="0"/>
  </r>
  <r>
    <x v="0"/>
    <s v="OpenSearch"/>
    <m/>
    <m/>
    <s v="Amazon"/>
    <s v="2.15.0"/>
    <m/>
    <x v="7"/>
    <x v="0"/>
    <x v="2"/>
    <n v="0"/>
    <n v="0"/>
    <n v="0"/>
    <x v="0"/>
  </r>
  <r>
    <x v="0"/>
    <s v="Cross Industry Invoice (CII)"/>
    <s v="CII"/>
    <m/>
    <s v="UNECE"/>
    <s v="2.0.0"/>
    <m/>
    <x v="0"/>
    <x v="0"/>
    <x v="0"/>
    <n v="0"/>
    <n v="0"/>
    <n v="9"/>
    <x v="0"/>
  </r>
  <r>
    <x v="0"/>
    <s v="eIDAS Cryptographic Requirements for the Interoperability Framework"/>
    <m/>
    <m/>
    <s v="EC"/>
    <s v="1.2.0"/>
    <m/>
    <x v="7"/>
    <x v="0"/>
    <x v="1"/>
    <n v="0"/>
    <n v="0"/>
    <n v="0"/>
    <x v="0"/>
  </r>
  <r>
    <x v="0"/>
    <s v="Electronic Signatures and Infrastructures (ESI);Testing Conformance and Interoperability of Trusted Lists; Part 1: Specifications for testing conformance of XML representation of Trusted Lists"/>
    <m/>
    <m/>
    <s v="ETSI"/>
    <s v="1.1.1"/>
    <m/>
    <x v="12"/>
    <x v="0"/>
    <x v="0"/>
    <n v="0"/>
    <n v="0"/>
    <n v="0"/>
    <x v="0"/>
  </r>
  <r>
    <x v="0"/>
    <s v="UN/CEFACT CCTS v3.0.0"/>
    <s v="CCTS"/>
    <m/>
    <s v="UNECE"/>
    <s v="3.0.0"/>
    <m/>
    <x v="0"/>
    <x v="0"/>
    <x v="0"/>
    <n v="0"/>
    <n v="0"/>
    <n v="3"/>
    <x v="0"/>
  </r>
  <r>
    <x v="0"/>
    <s v="EU Vocabularies"/>
    <m/>
    <m/>
    <s v="OP"/>
    <s v="1.0.0"/>
    <m/>
    <x v="0"/>
    <x v="0"/>
    <x v="0"/>
    <n v="0"/>
    <n v="0"/>
    <n v="2"/>
    <x v="0"/>
  </r>
  <r>
    <x v="0"/>
    <s v="ISO/IEC 21838-2:2021 Information technology — Top-level ontologies (TLO) — Part 2: Basic Formal Ontology (BFO)"/>
    <s v="BFO"/>
    <s v="ISO/IEC 21838-2:2021"/>
    <s v="ISO"/>
    <s v="1.0.0"/>
    <m/>
    <x v="12"/>
    <x v="0"/>
    <x v="0"/>
    <n v="0"/>
    <n v="0"/>
    <n v="0"/>
    <x v="0"/>
  </r>
  <r>
    <x v="0"/>
    <s v="CSAF Common Vulnerability Reporting Framework (CVRF) Version 1.2"/>
    <s v="CVRF"/>
    <m/>
    <s v="OASIS"/>
    <s v="1.2.0"/>
    <m/>
    <x v="13"/>
    <x v="0"/>
    <x v="1"/>
    <n v="0"/>
    <n v="1"/>
    <n v="0"/>
    <x v="0"/>
  </r>
  <r>
    <x v="0"/>
    <s v="Tag image file format for image technology (TIFF/IT)"/>
    <s v="TIFF/IT"/>
    <s v="ISO 12639:2004"/>
    <s v="ISO"/>
    <s v="1.0.0"/>
    <m/>
    <x v="12"/>
    <x v="0"/>
    <x v="0"/>
    <n v="0"/>
    <n v="0"/>
    <n v="0"/>
    <x v="0"/>
  </r>
  <r>
    <x v="0"/>
    <s v="Internet Protocol version 6 (IPv6) (RFC 2460)"/>
    <s v="IPv6"/>
    <s v="RFC 2460"/>
    <s v="IETF"/>
    <s v="6.0.0"/>
    <m/>
    <x v="7"/>
    <x v="0"/>
    <x v="1"/>
    <n v="0"/>
    <n v="0"/>
    <n v="0"/>
    <x v="2"/>
  </r>
  <r>
    <x v="0"/>
    <s v="Peppol eDelivery Network Specifications"/>
    <m/>
    <m/>
    <s v="PEPPOL"/>
    <s v="1.0.0"/>
    <m/>
    <x v="1"/>
    <x v="2"/>
    <x v="0"/>
    <n v="0"/>
    <n v="0"/>
    <n v="0"/>
    <x v="0"/>
  </r>
  <r>
    <x v="0"/>
    <s v="ETSI TS 103 532 CYBER; Attribute Based Encryption for Attribute Based Access Control"/>
    <m/>
    <s v="ETSI TS 103 532"/>
    <s v="ETSI"/>
    <s v="1.1.1"/>
    <m/>
    <x v="7"/>
    <x v="0"/>
    <x v="1"/>
    <n v="0"/>
    <n v="0"/>
    <n v="0"/>
    <x v="0"/>
  </r>
  <r>
    <x v="0"/>
    <s v="Standard Business Document Header (SBDH)"/>
    <s v="SBDH"/>
    <m/>
    <s v="GS1"/>
    <s v="1.3.0"/>
    <m/>
    <x v="7"/>
    <x v="0"/>
    <x v="1"/>
    <n v="0"/>
    <n v="0"/>
    <n v="0"/>
    <x v="0"/>
  </r>
  <r>
    <x v="0"/>
    <s v="X.1212 : Design considerations for improved end-user perception of trustworthiness indicators"/>
    <m/>
    <s v="ITU-T X.1212"/>
    <s v="ITU"/>
    <s v="1.0.0"/>
    <m/>
    <x v="7"/>
    <x v="0"/>
    <x v="1"/>
    <n v="0"/>
    <n v="0"/>
    <n v="0"/>
    <x v="0"/>
  </r>
  <r>
    <x v="0"/>
    <s v="ETSI TR 103 619 CYBER; Migration strategies and recommendations to Quantum Safe schemes"/>
    <s v="FQSCS"/>
    <s v="ETSI TR 103 619"/>
    <s v="ETSI"/>
    <s v="1.1.1"/>
    <m/>
    <x v="7"/>
    <x v="0"/>
    <x v="1"/>
    <n v="0"/>
    <n v="0"/>
    <n v="0"/>
    <x v="0"/>
  </r>
  <r>
    <x v="0"/>
    <s v="YANG Data Model for L3VPN Service Delivery RFC 8299"/>
    <m/>
    <s v="RFC 8299"/>
    <s v="IETF"/>
    <s v="11.0.0"/>
    <m/>
    <x v="1"/>
    <x v="1"/>
    <x v="0"/>
    <n v="0"/>
    <n v="0"/>
    <n v="0"/>
    <x v="0"/>
  </r>
  <r>
    <x v="0"/>
    <s v="Data Format Description Language (DFDL)"/>
    <s v="DFDL"/>
    <m/>
    <s v="OGF"/>
    <s v="1.0.0"/>
    <m/>
    <x v="0"/>
    <x v="0"/>
    <x v="0"/>
    <n v="0"/>
    <n v="0"/>
    <n v="4"/>
    <x v="0"/>
  </r>
  <r>
    <x v="0"/>
    <s v="MyData Account Specification"/>
    <m/>
    <m/>
    <s v="HIIT"/>
    <s v="1.2.1"/>
    <m/>
    <x v="7"/>
    <x v="0"/>
    <x v="3"/>
    <n v="0"/>
    <n v="0"/>
    <n v="0"/>
    <x v="0"/>
  </r>
  <r>
    <x v="0"/>
    <s v="Keyhole Markup Language (KML)"/>
    <s v="KML"/>
    <m/>
    <s v="OGC"/>
    <s v="2.2.0"/>
    <m/>
    <x v="0"/>
    <x v="0"/>
    <x v="0"/>
    <n v="0"/>
    <n v="0"/>
    <n v="1"/>
    <x v="0"/>
  </r>
  <r>
    <x v="0"/>
    <s v="XML Query Language (XQuery)"/>
    <m/>
    <m/>
    <s v="W3C"/>
    <s v="3.0.0"/>
    <m/>
    <x v="7"/>
    <x v="0"/>
    <x v="1"/>
    <n v="0"/>
    <n v="0"/>
    <n v="0"/>
    <x v="0"/>
  </r>
  <r>
    <x v="0"/>
    <s v="Payment Card Industry Data Security Standard"/>
    <m/>
    <m/>
    <s v="PCI DSS"/>
    <s v="4.0.0"/>
    <m/>
    <x v="7"/>
    <x v="0"/>
    <x v="1"/>
    <n v="0"/>
    <n v="0"/>
    <n v="0"/>
    <x v="0"/>
  </r>
  <r>
    <x v="0"/>
    <s v="HAL-FORMS"/>
    <m/>
    <m/>
    <s v="Dwolla"/>
    <s v="0.0.2"/>
    <m/>
    <x v="7"/>
    <x v="0"/>
    <x v="3"/>
    <n v="0"/>
    <n v="0"/>
    <n v="0"/>
    <x v="0"/>
  </r>
  <r>
    <x v="0"/>
    <s v="Data Space Support Centre Blueprint (DSSC Blueprint)"/>
    <m/>
    <s v="DSSC Blueprint"/>
    <s v="DSSC"/>
    <s v="2.0.0"/>
    <m/>
    <x v="13"/>
    <x v="0"/>
    <x v="5"/>
    <n v="0"/>
    <n v="9"/>
    <n v="0"/>
    <x v="0"/>
  </r>
  <r>
    <x v="0"/>
    <s v="COBIT"/>
    <s v="COBIT"/>
    <m/>
    <s v="ISACA"/>
    <s v="2.0.0"/>
    <m/>
    <x v="7"/>
    <x v="0"/>
    <x v="5"/>
    <n v="0"/>
    <n v="0"/>
    <n v="0"/>
    <x v="0"/>
  </r>
  <r>
    <x v="0"/>
    <s v="Directive 2000/31/EC of the European Parliament and of the Council of 8 June 2000 on certain legal aspects of information society services, in particular electronic commerce, in the Internal Market ('Directive on electronic commerce')"/>
    <m/>
    <s v="Directive 2000/31/EC"/>
    <s v="OP"/>
    <s v="L 178"/>
    <m/>
    <x v="9"/>
    <x v="0"/>
    <x v="0"/>
    <n v="5"/>
    <n v="0"/>
    <n v="0"/>
    <x v="0"/>
  </r>
  <r>
    <x v="0"/>
    <s v="COMMUNICATION FROM THE COMMISSION TO THE EUROPEAN PARLIAMENT, THE COUNCIL, THE EUROPEAN ECONOMIC AND SOCIAL COMMITTEE AND THE COMMITTEE OF THE REGIONS - Shaping Europe's digital future"/>
    <m/>
    <m/>
    <s v="OP"/>
    <s v="COM(2020) 67 final"/>
    <m/>
    <x v="9"/>
    <x v="0"/>
    <x v="0"/>
    <n v="1"/>
    <n v="0"/>
    <n v="0"/>
    <x v="0"/>
  </r>
  <r>
    <x v="0"/>
    <s v="Problem Details for HTTP APIs (RFC 7807)"/>
    <m/>
    <s v="RFC 7807"/>
    <s v="IETF"/>
    <s v="1.0.0"/>
    <m/>
    <x v="0"/>
    <x v="0"/>
    <x v="0"/>
    <n v="0"/>
    <n v="0"/>
    <n v="2"/>
    <x v="0"/>
  </r>
  <r>
    <x v="0"/>
    <s v="Electronic Signatures and Infrastructures (ESI); Policy and security requirements for trust service components providing identity proofing of trust service subjects"/>
    <m/>
    <s v="ETSI TS 119 461"/>
    <s v="ETSI"/>
    <s v="1.1.1"/>
    <m/>
    <x v="14"/>
    <x v="0"/>
    <x v="6"/>
    <n v="3"/>
    <n v="1"/>
    <n v="0"/>
    <x v="0"/>
  </r>
  <r>
    <x v="0"/>
    <s v="Core Network and Interoperability Testing (INT); Methodologies for Testing &amp; Validation of  Network Application based services over 5G networks (ETSI TR 104 074)"/>
    <m/>
    <s v="ETSI TR 104 074"/>
    <s v="ETSI"/>
    <s v="1.1.1"/>
    <m/>
    <x v="6"/>
    <x v="1"/>
    <x v="2"/>
    <n v="0"/>
    <n v="0"/>
    <n v="0"/>
    <x v="0"/>
  </r>
  <r>
    <x v="0"/>
    <s v="Electronic Signature Formats for long term electronic signatures (RFC 3126)"/>
    <m/>
    <s v="RFC 3126"/>
    <s v="IETF"/>
    <s v="1.0.0"/>
    <m/>
    <x v="7"/>
    <x v="0"/>
    <x v="2"/>
    <n v="0"/>
    <n v="0"/>
    <n v="0"/>
    <x v="0"/>
  </r>
  <r>
    <x v="0"/>
    <s v="JSON Web Token (JWT)"/>
    <s v="JWT"/>
    <m/>
    <s v="IETF"/>
    <s v="32.0.0"/>
    <m/>
    <x v="7"/>
    <x v="0"/>
    <x v="1"/>
    <n v="0"/>
    <n v="0"/>
    <n v="0"/>
    <x v="0"/>
  </r>
  <r>
    <x v="0"/>
    <s v="Indexed Database API (IndexedDB)"/>
    <m/>
    <s v="IndexedDB"/>
    <s v="W3C"/>
    <s v="3.0.0"/>
    <m/>
    <x v="6"/>
    <x v="5"/>
    <x v="1"/>
    <n v="0"/>
    <n v="0"/>
    <n v="0"/>
    <x v="1"/>
  </r>
  <r>
    <x v="0"/>
    <s v="Resource Description Framework (RDF)"/>
    <s v="RDF"/>
    <m/>
    <s v="W3C"/>
    <s v="1.1.0"/>
    <m/>
    <x v="5"/>
    <x v="0"/>
    <x v="5"/>
    <n v="0"/>
    <n v="0"/>
    <n v="3"/>
    <x v="2"/>
  </r>
  <r>
    <x v="0"/>
    <s v="The OpenContainers Distribution Spec"/>
    <m/>
    <m/>
    <s v="OCI"/>
    <s v="1.0.0"/>
    <m/>
    <x v="1"/>
    <x v="2"/>
    <x v="0"/>
    <n v="0"/>
    <n v="0"/>
    <n v="0"/>
    <x v="0"/>
  </r>
  <r>
    <x v="0"/>
    <s v="COMMUNICATION FROM THE COMMISSION TO THE EUROPEAN PARLIAMENT, THE COUNCIL, THE EUROPEAN ECONOMIC AND SOCIAL COMMITTEE AND THE COMMITTEE OF THE REGIONS Towards interoperability for European public services"/>
    <m/>
    <m/>
    <s v="OP"/>
    <s v="1.0.0"/>
    <m/>
    <x v="18"/>
    <x v="0"/>
    <x v="0"/>
    <n v="1"/>
    <n v="2"/>
    <n v="6"/>
    <x v="0"/>
  </r>
  <r>
    <x v="0"/>
    <s v="Core Location Vocabulary"/>
    <s v="CLV"/>
    <m/>
    <s v="EC"/>
    <s v="1.0.0"/>
    <m/>
    <x v="0"/>
    <x v="0"/>
    <x v="0"/>
    <n v="0"/>
    <n v="0"/>
    <n v="7"/>
    <x v="2"/>
  </r>
  <r>
    <x v="0"/>
    <s v="5G; Security architecture and procedures for 5G System (3GPP TS 33.501 version 18.9.0 Release 18) (ETSI TS 133 501)"/>
    <m/>
    <s v="ETSI TS 133 501"/>
    <s v="ETSI"/>
    <s v="18.9.0"/>
    <m/>
    <x v="5"/>
    <x v="0"/>
    <x v="1"/>
    <n v="0"/>
    <n v="0"/>
    <n v="1"/>
    <x v="0"/>
  </r>
  <r>
    <x v="0"/>
    <s v="Core Criterion and Core Evidence Vocabulary v1.0.0"/>
    <s v="CCCEV"/>
    <m/>
    <s v="EC"/>
    <s v="1.0.0"/>
    <m/>
    <x v="0"/>
    <x v="0"/>
    <x v="0"/>
    <n v="0"/>
    <n v="0"/>
    <n v="7"/>
    <x v="2"/>
  </r>
  <r>
    <x v="0"/>
    <s v="Multi-access Edge Computing (MEC)"/>
    <s v="MEC"/>
    <m/>
    <s v="ETSI"/>
    <s v="3.1.1"/>
    <m/>
    <x v="1"/>
    <x v="1"/>
    <x v="0"/>
    <n v="0"/>
    <n v="0"/>
    <n v="0"/>
    <x v="0"/>
  </r>
  <r>
    <x v="0"/>
    <s v="Common Object Request Broker Architecture (CORBA)"/>
    <s v="CORBA"/>
    <m/>
    <s v="OMG"/>
    <s v="3.4.0"/>
    <m/>
    <x v="1"/>
    <x v="1"/>
    <x v="0"/>
    <n v="0"/>
    <n v="0"/>
    <n v="0"/>
    <x v="0"/>
  </r>
  <r>
    <x v="0"/>
    <s v="Standardized Usage Statistics Harvesting Initiative (SUSHI) Protocol"/>
    <s v="SUSHI"/>
    <m/>
    <s v="NISO"/>
    <s v="1.7.0"/>
    <m/>
    <x v="7"/>
    <x v="0"/>
    <x v="2"/>
    <n v="0"/>
    <n v="0"/>
    <n v="0"/>
    <x v="0"/>
  </r>
  <r>
    <x v="0"/>
    <s v="X.1451 : Risk identification to optimize authentication"/>
    <m/>
    <s v="ITU-T X.1451"/>
    <s v="ITU"/>
    <s v="1.0.0"/>
    <m/>
    <x v="7"/>
    <x v="0"/>
    <x v="6"/>
    <n v="0"/>
    <n v="0"/>
    <n v="0"/>
    <x v="0"/>
  </r>
  <r>
    <x v="0"/>
    <s v="oneM2M Base Ontology"/>
    <m/>
    <m/>
    <s v="oneM2M"/>
    <s v="3.7.3"/>
    <m/>
    <x v="5"/>
    <x v="0"/>
    <x v="1"/>
    <n v="0"/>
    <n v="0"/>
    <n v="1"/>
    <x v="0"/>
  </r>
  <r>
    <x v="0"/>
    <s v="European Union Public License (EUPL)"/>
    <s v="EUPL"/>
    <m/>
    <s v="EC"/>
    <s v="1.2.0"/>
    <m/>
    <x v="7"/>
    <x v="0"/>
    <x v="5"/>
    <n v="0"/>
    <n v="0"/>
    <n v="0"/>
    <x v="0"/>
  </r>
  <r>
    <x v="0"/>
    <s v="Building Blocks for HTTP APIs (httpapi)"/>
    <s v="httpapi"/>
    <m/>
    <s v="IETF"/>
    <s v="6.0.0"/>
    <m/>
    <x v="7"/>
    <x v="0"/>
    <x v="3"/>
    <n v="0"/>
    <n v="0"/>
    <n v="0"/>
    <x v="0"/>
  </r>
  <r>
    <x v="0"/>
    <s v="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m/>
    <s v="Regulation 2018/389/EU"/>
    <s v="EC"/>
    <s v="L 69/23"/>
    <m/>
    <x v="9"/>
    <x v="0"/>
    <x v="0"/>
    <n v="5"/>
    <n v="0"/>
    <n v="0"/>
    <x v="0"/>
  </r>
  <r>
    <x v="0"/>
    <s v="Vocabulary of Interlinked Datasets (VoID)"/>
    <m/>
    <s v="VoID"/>
    <s v="W3C"/>
    <s v="1.0.0"/>
    <m/>
    <x v="0"/>
    <x v="0"/>
    <x v="0"/>
    <n v="0"/>
    <n v="0"/>
    <n v="8"/>
    <x v="0"/>
  </r>
  <r>
    <x v="0"/>
    <s v="The Ogg Encapsulation Format"/>
    <s v="Ogg"/>
    <m/>
    <s v="IEEE"/>
    <s v="2.0.0"/>
    <m/>
    <x v="12"/>
    <x v="0"/>
    <x v="0"/>
    <n v="0"/>
    <n v="0"/>
    <n v="0"/>
    <x v="0"/>
  </r>
  <r>
    <x v="0"/>
    <s v="Internet X.509 Public Key Infrastructure Certificate Management Protocol (CMP)"/>
    <s v="CMP"/>
    <m/>
    <s v="IETF"/>
    <s v="9.0.0"/>
    <m/>
    <x v="1"/>
    <x v="1"/>
    <x v="0"/>
    <n v="0"/>
    <n v="0"/>
    <n v="0"/>
    <x v="0"/>
  </r>
  <r>
    <x v="0"/>
    <s v="Q.4040 : The framework and overview of cloud computing interoperability testing"/>
    <m/>
    <s v="ITU-T Q.4040"/>
    <s v="ITU"/>
    <s v="1.0.0"/>
    <m/>
    <x v="7"/>
    <x v="0"/>
    <x v="3"/>
    <n v="0"/>
    <n v="0"/>
    <n v="0"/>
    <x v="0"/>
  </r>
  <r>
    <x v="0"/>
    <s v="R2RML (RDB to RDF Mapping Language)"/>
    <s v="R2RML"/>
    <m/>
    <s v="W3C"/>
    <s v="1.0.0"/>
    <m/>
    <x v="5"/>
    <x v="0"/>
    <x v="1"/>
    <n v="0"/>
    <n v="0"/>
    <n v="5"/>
    <x v="0"/>
  </r>
  <r>
    <x v="0"/>
    <s v="ISO/IEC 17789:2014 Information technology — Cloud computing — Reference architecture"/>
    <s v="CCRA"/>
    <s v="ISO/IEC 17789:2014"/>
    <s v="ISO"/>
    <s v="1.0.0"/>
    <m/>
    <x v="0"/>
    <x v="0"/>
    <x v="0"/>
    <n v="0"/>
    <n v="0"/>
    <n v="2"/>
    <x v="0"/>
  </r>
  <r>
    <x v="0"/>
    <s v="Context Information Management (CIM); NGSI-LD Information Model (ETSI GS CIM 018)"/>
    <m/>
    <s v="ETSI GS CIM 018"/>
    <s v="ETSI"/>
    <s v="1.7.1"/>
    <m/>
    <x v="0"/>
    <x v="0"/>
    <x v="0"/>
    <n v="0"/>
    <n v="0"/>
    <n v="1"/>
    <x v="0"/>
  </r>
  <r>
    <x v="0"/>
    <s v="RDFa Core"/>
    <m/>
    <m/>
    <s v="W3C"/>
    <s v="1.1.0"/>
    <m/>
    <x v="5"/>
    <x v="0"/>
    <x v="1"/>
    <n v="0"/>
    <n v="0"/>
    <n v="1"/>
    <x v="0"/>
  </r>
  <r>
    <x v="0"/>
    <s v="Data Privacy Vocabulary (DPV) 2.1.0"/>
    <s v="DPV"/>
    <m/>
    <s v="W3C"/>
    <s v="2.1.0"/>
    <m/>
    <x v="15"/>
    <x v="0"/>
    <x v="0"/>
    <n v="0"/>
    <n v="2"/>
    <n v="7"/>
    <x v="0"/>
  </r>
  <r>
    <x v="0"/>
    <s v="Sustainable Development Goals (SDG)"/>
    <s v="SDG"/>
    <m/>
    <s v="OP"/>
    <s v="1.0.0"/>
    <m/>
    <x v="0"/>
    <x v="0"/>
    <x v="0"/>
    <n v="0"/>
    <n v="0"/>
    <n v="1"/>
    <x v="0"/>
  </r>
  <r>
    <x v="0"/>
    <s v="Framework of smart greenhouse service"/>
    <m/>
    <s v="Y.4466"/>
    <s v="ITU"/>
    <s v="1.0.0"/>
    <m/>
    <x v="6"/>
    <x v="2"/>
    <x v="2"/>
    <n v="0"/>
    <n v="0"/>
    <n v="0"/>
    <x v="0"/>
  </r>
  <r>
    <x v="0"/>
    <s v="e-SENS REM profile"/>
    <m/>
    <m/>
    <s v="EC"/>
    <s v="2.2.1"/>
    <m/>
    <x v="7"/>
    <x v="0"/>
    <x v="5"/>
    <n v="0"/>
    <n v="0"/>
    <n v="0"/>
    <x v="0"/>
  </r>
  <r>
    <x v="0"/>
    <s v="EuroSciVoc"/>
    <m/>
    <m/>
    <s v="OP"/>
    <s v="1.3.0"/>
    <m/>
    <x v="0"/>
    <x v="0"/>
    <x v="0"/>
    <n v="0"/>
    <n v="0"/>
    <n v="1"/>
    <x v="0"/>
  </r>
  <r>
    <x v="0"/>
    <s v="Identity Credential and Access Management (ICAM)"/>
    <s v="ICAM"/>
    <m/>
    <s v="GAIA-X"/>
    <s v="1.0.0"/>
    <m/>
    <x v="7"/>
    <x v="0"/>
    <x v="3"/>
    <n v="0"/>
    <n v="0"/>
    <n v="0"/>
    <x v="0"/>
  </r>
  <r>
    <x v="0"/>
    <s v="ITU-T Y.4473 SensorThings API – Sensing"/>
    <m/>
    <s v="ITU-T Y.4473"/>
    <s v="ITU"/>
    <s v="1.0.0"/>
    <m/>
    <x v="1"/>
    <x v="1"/>
    <x v="0"/>
    <n v="0"/>
    <n v="0"/>
    <n v="0"/>
    <x v="0"/>
  </r>
  <r>
    <x v="0"/>
    <s v="Core Standards and Specifications Vocabulary (CSSV)"/>
    <s v="CSSV"/>
    <m/>
    <s v="EC"/>
    <s v="1.2.0"/>
    <m/>
    <x v="0"/>
    <x v="0"/>
    <x v="0"/>
    <n v="0"/>
    <n v="0"/>
    <n v="10"/>
    <x v="0"/>
  </r>
  <r>
    <x v="0"/>
    <s v="DNS-based Authentication of Named Entities (DANE)"/>
    <s v="DANE"/>
    <m/>
    <s v="IETF"/>
    <s v="23.0.0"/>
    <m/>
    <x v="6"/>
    <x v="1"/>
    <x v="1"/>
    <n v="0"/>
    <n v="0"/>
    <n v="0"/>
    <x v="0"/>
  </r>
  <r>
    <x v="0"/>
    <s v="Collaboration Protocol Profile and Agreement (CPPA)"/>
    <s v="CPPA"/>
    <m/>
    <s v="OASIS"/>
    <s v="3.0.0"/>
    <m/>
    <x v="5"/>
    <x v="0"/>
    <x v="1"/>
    <n v="0"/>
    <n v="0"/>
    <n v="1"/>
    <x v="0"/>
  </r>
  <r>
    <x v="0"/>
    <s v="WebSocket Protocol"/>
    <m/>
    <m/>
    <s v="IETF"/>
    <s v="1.0.0"/>
    <m/>
    <x v="7"/>
    <x v="0"/>
    <x v="3"/>
    <n v="0"/>
    <n v="0"/>
    <n v="0"/>
    <x v="0"/>
  </r>
  <r>
    <x v="0"/>
    <s v="OAuth 2.0"/>
    <s v="OAuth"/>
    <m/>
    <s v="IETF"/>
    <s v="2.0.0"/>
    <m/>
    <x v="6"/>
    <x v="1"/>
    <x v="1"/>
    <n v="0"/>
    <n v="0"/>
    <n v="0"/>
    <x v="0"/>
  </r>
  <r>
    <x v="0"/>
    <s v="COM 2005 596 Framework strategy for multilingualism"/>
    <m/>
    <s v="52005DC0596"/>
    <s v="OP"/>
    <s v="COM(2005) 596 final"/>
    <m/>
    <x v="9"/>
    <x v="0"/>
    <x v="0"/>
    <n v="1"/>
    <n v="0"/>
    <n v="0"/>
    <x v="0"/>
  </r>
  <r>
    <x v="0"/>
    <s v="Generic Federated OOP Architecture"/>
    <m/>
    <m/>
    <s v="EC"/>
    <s v="3.0.0"/>
    <m/>
    <x v="12"/>
    <x v="0"/>
    <x v="0"/>
    <n v="0"/>
    <n v="0"/>
    <n v="0"/>
    <x v="0"/>
  </r>
  <r>
    <x v="0"/>
    <s v="GAIA-X Compliance"/>
    <m/>
    <m/>
    <s v="GAIA-X"/>
    <s v="25.3.0"/>
    <m/>
    <x v="19"/>
    <x v="1"/>
    <x v="6"/>
    <n v="0"/>
    <n v="1"/>
    <n v="0"/>
    <x v="0"/>
  </r>
  <r>
    <x v="0"/>
    <s v="Universal Business Language"/>
    <s v="UBL"/>
    <m/>
    <s v="OASIS"/>
    <s v="2.3.0"/>
    <m/>
    <x v="0"/>
    <x v="0"/>
    <x v="0"/>
    <n v="0"/>
    <n v="0"/>
    <n v="4"/>
    <x v="1"/>
  </r>
  <r>
    <x v="0"/>
    <s v="Universal Business Language (UBL)"/>
    <s v="UBL"/>
    <m/>
    <s v="OASIS"/>
    <s v="2.4.0"/>
    <m/>
    <x v="0"/>
    <x v="0"/>
    <x v="0"/>
    <n v="0"/>
    <n v="0"/>
    <n v="4"/>
    <x v="0"/>
  </r>
  <r>
    <x v="0"/>
    <s v="Open Standards for Linked Organisations (OSLO)"/>
    <s v="OSLO"/>
    <m/>
    <s v="vlaanderen.be"/>
    <s v="2.0.0"/>
    <m/>
    <x v="0"/>
    <x v="0"/>
    <x v="0"/>
    <n v="0"/>
    <n v="0"/>
    <n v="2"/>
    <x v="0"/>
  </r>
  <r>
    <x v="0"/>
    <s v="The Friend Of A Friend (FOAF) ontology"/>
    <s v="FOAF"/>
    <m/>
    <s v="FOAF project"/>
    <s v="1.0.0"/>
    <m/>
    <x v="0"/>
    <x v="0"/>
    <x v="0"/>
    <n v="0"/>
    <n v="0"/>
    <n v="1"/>
    <x v="0"/>
  </r>
  <r>
    <x v="0"/>
    <s v="CEF Building Blocks"/>
    <m/>
    <m/>
    <s v="EC"/>
    <s v="1.0.0"/>
    <m/>
    <x v="7"/>
    <x v="0"/>
    <x v="5"/>
    <n v="0"/>
    <n v="0"/>
    <n v="0"/>
    <x v="0"/>
  </r>
  <r>
    <x v="0"/>
    <s v="LegalRuleML"/>
    <m/>
    <m/>
    <s v="OASIS"/>
    <s v="1.0.0"/>
    <m/>
    <x v="9"/>
    <x v="0"/>
    <x v="0"/>
    <n v="5"/>
    <n v="0"/>
    <n v="0"/>
    <x v="1"/>
  </r>
  <r>
    <x v="0"/>
    <s v="Semantic Definition Format (SDF) for Data and Interactions of Things"/>
    <s v="SDF"/>
    <m/>
    <s v="IETF"/>
    <s v="1.0.0"/>
    <m/>
    <x v="0"/>
    <x v="0"/>
    <x v="0"/>
    <n v="0"/>
    <n v="0"/>
    <n v="3"/>
    <x v="0"/>
  </r>
  <r>
    <x v="0"/>
    <s v="Profiles Vocabulary (PROF)"/>
    <s v="PROF"/>
    <m/>
    <s v="W3C"/>
    <s v="1.0.0"/>
    <m/>
    <x v="0"/>
    <x v="0"/>
    <x v="0"/>
    <n v="0"/>
    <n v="0"/>
    <n v="3"/>
    <x v="0"/>
  </r>
  <r>
    <x v="0"/>
    <s v="Lightweight Directory Access Protocol (LDAP) (RFC 4511)"/>
    <s v="LDAP"/>
    <m/>
    <s v="IETF"/>
    <s v="3.0.0"/>
    <m/>
    <x v="6"/>
    <x v="1"/>
    <x v="2"/>
    <n v="0"/>
    <n v="0"/>
    <n v="0"/>
    <x v="3"/>
  </r>
  <r>
    <x v="0"/>
    <s v="ITIL v3"/>
    <s v="ITIL"/>
    <m/>
    <s v="Axelos"/>
    <s v="3.0.0"/>
    <m/>
    <x v="7"/>
    <x v="0"/>
    <x v="5"/>
    <n v="0"/>
    <n v="0"/>
    <n v="0"/>
    <x v="0"/>
  </r>
  <r>
    <x v="0"/>
    <s v="ISO/IEC 20933:2019 Information technology — Distributed application platforms and services (DAPS) — Framework for distributed real-time access systems"/>
    <s v="DAPS"/>
    <s v="ISO/IEC 20933"/>
    <s v="ISO"/>
    <s v="2.0.0"/>
    <m/>
    <x v="6"/>
    <x v="1"/>
    <x v="1"/>
    <n v="0"/>
    <n v="0"/>
    <n v="0"/>
    <x v="0"/>
  </r>
  <r>
    <x v="0"/>
    <s v="IEEE P2145, Standard for Framework and Definitions for Blockchain Governance"/>
    <m/>
    <s v="IEEE P2145"/>
    <s v="IEEE"/>
    <s v="1.0.0"/>
    <m/>
    <x v="1"/>
    <x v="1"/>
    <x v="0"/>
    <n v="0"/>
    <n v="0"/>
    <n v="0"/>
    <x v="0"/>
  </r>
  <r>
    <x v="0"/>
    <s v="GITB Processing Service API"/>
    <m/>
    <m/>
    <s v="EC"/>
    <s v="1.4.0"/>
    <m/>
    <x v="7"/>
    <x v="0"/>
    <x v="1"/>
    <n v="0"/>
    <n v="0"/>
    <n v="0"/>
    <x v="0"/>
  </r>
  <r>
    <x v="0"/>
    <s v="IDS Global Dynamic Attribute Provisioning Service (IDS-G DAPS)"/>
    <s v="IDS-G DAPS"/>
    <m/>
    <s v="IDSA"/>
    <s v="1.0.0"/>
    <m/>
    <x v="6"/>
    <x v="2"/>
    <x v="1"/>
    <n v="0"/>
    <n v="0"/>
    <n v="0"/>
    <x v="1"/>
  </r>
  <r>
    <x v="0"/>
    <s v="HTTP Cookies"/>
    <m/>
    <m/>
    <s v="IETF"/>
    <s v="1.0.0"/>
    <m/>
    <x v="12"/>
    <x v="0"/>
    <x v="0"/>
    <n v="0"/>
    <n v="0"/>
    <n v="0"/>
    <x v="1"/>
  </r>
  <r>
    <x v="0"/>
    <s v="Internet X.509 Public Key Infrastructure Data Validation and Certification Server Protocols (DVCS)"/>
    <s v="DVCS"/>
    <m/>
    <s v="IETF"/>
    <s v="7.0.0"/>
    <m/>
    <x v="7"/>
    <x v="0"/>
    <x v="5"/>
    <n v="0"/>
    <n v="0"/>
    <n v="0"/>
    <x v="0"/>
  </r>
  <r>
    <x v="0"/>
    <s v="Web Annotation Data Model"/>
    <m/>
    <m/>
    <s v="W3C"/>
    <s v="1.0.0"/>
    <m/>
    <x v="5"/>
    <x v="0"/>
    <x v="1"/>
    <n v="0"/>
    <n v="0"/>
    <n v="3"/>
    <x v="0"/>
  </r>
  <r>
    <x v="0"/>
    <s v="Gaia-X Trust Framework"/>
    <m/>
    <m/>
    <s v="GAIA-X"/>
    <s v="22.10.0"/>
    <m/>
    <x v="13"/>
    <x v="0"/>
    <x v="5"/>
    <n v="0"/>
    <n v="1"/>
    <n v="0"/>
    <x v="0"/>
  </r>
  <r>
    <x v="0"/>
    <s v="Open Policy Agent (OPA)"/>
    <s v="OPA"/>
    <m/>
    <s v="CNCF"/>
    <s v="0.66.0"/>
    <m/>
    <x v="10"/>
    <x v="0"/>
    <x v="1"/>
    <n v="0"/>
    <n v="1"/>
    <n v="2"/>
    <x v="0"/>
  </r>
  <r>
    <x v="0"/>
    <s v="Identity of Employees and Technical Users (IAM - 002 Identity of Employees and Technical Users)"/>
    <m/>
    <s v="IAM - 002"/>
    <s v="CATENA-X"/>
    <s v="2.1.0"/>
    <m/>
    <x v="6"/>
    <x v="1"/>
    <x v="2"/>
    <n v="0"/>
    <n v="0"/>
    <n v="0"/>
    <x v="0"/>
  </r>
  <r>
    <x v="0"/>
    <s v="Information technology — Artificial intelligence — Artificial intelligence concepts and terminology (ISO/IEC 22989:2022)"/>
    <m/>
    <s v="ISO/IEC 22989:2022"/>
    <s v="ISO"/>
    <s v="1.0.0"/>
    <m/>
    <x v="7"/>
    <x v="0"/>
    <x v="1"/>
    <n v="0"/>
    <n v="0"/>
    <n v="0"/>
    <x v="0"/>
  </r>
  <r>
    <x v="0"/>
    <s v="Microsoft ODBC 4.0 Specification"/>
    <s v="OBDC"/>
    <m/>
    <s v="Microsoft"/>
    <s v="4.0.0"/>
    <m/>
    <x v="1"/>
    <x v="1"/>
    <x v="0"/>
    <n v="0"/>
    <n v="0"/>
    <n v="0"/>
    <x v="0"/>
  </r>
  <r>
    <x v="0"/>
    <s v="GITB Validation Service API"/>
    <m/>
    <m/>
    <s v="EC"/>
    <s v="1.17.0"/>
    <m/>
    <x v="7"/>
    <x v="0"/>
    <x v="1"/>
    <n v="0"/>
    <n v="0"/>
    <n v="0"/>
    <x v="0"/>
  </r>
  <r>
    <x v="0"/>
    <s v="UN/EDIFACT Syntax 4"/>
    <m/>
    <m/>
    <s v="UNECE"/>
    <s v="4.0.0"/>
    <m/>
    <x v="5"/>
    <x v="0"/>
    <x v="1"/>
    <n v="0"/>
    <n v="0"/>
    <n v="2"/>
    <x v="0"/>
  </r>
  <r>
    <x v="0"/>
    <s v="TCP, UDP, ICMP, MAC, Ethernet LAN (802.3), virtual LAN (VPN), IPv4 and IPV6"/>
    <m/>
    <m/>
    <s v="IETF"/>
    <s v="1.0.0"/>
    <m/>
    <x v="1"/>
    <x v="1"/>
    <x v="0"/>
    <n v="0"/>
    <n v="0"/>
    <n v="0"/>
    <x v="0"/>
  </r>
  <r>
    <x v="0"/>
    <s v="Darwin Information Typing Architecture (DITA)"/>
    <s v="DITA"/>
    <m/>
    <s v="OASIS"/>
    <s v="1.3.0"/>
    <m/>
    <x v="0"/>
    <x v="0"/>
    <x v="0"/>
    <n v="0"/>
    <n v="0"/>
    <n v="5"/>
    <x v="0"/>
  </r>
  <r>
    <x v="0"/>
    <s v="eIDAS2"/>
    <m/>
    <m/>
    <s v="EC"/>
    <s v="2.0.0"/>
    <m/>
    <x v="7"/>
    <x v="0"/>
    <x v="3"/>
    <n v="0"/>
    <n v="0"/>
    <n v="0"/>
    <x v="0"/>
  </r>
  <r>
    <x v="0"/>
    <s v="Xforms 2.0"/>
    <s v="Xforms"/>
    <m/>
    <s v="W3C"/>
    <s v="2.0.0"/>
    <m/>
    <x v="12"/>
    <x v="0"/>
    <x v="0"/>
    <n v="0"/>
    <n v="0"/>
    <n v="0"/>
    <x v="0"/>
  </r>
  <r>
    <x v="0"/>
    <s v="GS1 EANCOM Syntax 3 standard"/>
    <m/>
    <m/>
    <s v="GS1"/>
    <s v="3.0.0"/>
    <m/>
    <x v="0"/>
    <x v="0"/>
    <x v="0"/>
    <n v="0"/>
    <n v="0"/>
    <n v="2"/>
    <x v="0"/>
  </r>
  <r>
    <x v="0"/>
    <s v="Solid"/>
    <m/>
    <m/>
    <s v="Solid"/>
    <s v="0.9.0"/>
    <m/>
    <x v="7"/>
    <x v="0"/>
    <x v="5"/>
    <n v="0"/>
    <n v="0"/>
    <n v="0"/>
    <x v="0"/>
  </r>
  <r>
    <x v="0"/>
    <s v="XAdES (XML Advanced Electronic Signatures) Baseline Profile"/>
    <s v="XAdES"/>
    <m/>
    <s v="ETSI"/>
    <s v="2.2.1"/>
    <m/>
    <x v="7"/>
    <x v="0"/>
    <x v="6"/>
    <n v="0"/>
    <n v="0"/>
    <n v="0"/>
    <x v="1"/>
  </r>
  <r>
    <x v="0"/>
    <s v="XML Schema Definition Language (XSD) 1.1 Part 2: Datatypes"/>
    <s v="XSD"/>
    <m/>
    <s v="W3C"/>
    <s v="1.1.0"/>
    <m/>
    <x v="0"/>
    <x v="0"/>
    <x v="0"/>
    <n v="0"/>
    <n v="0"/>
    <n v="3"/>
    <x v="2"/>
  </r>
  <r>
    <x v="0"/>
    <s v="Shape Expressions (ShEx) 2.1 Primer"/>
    <s v="ShEx"/>
    <m/>
    <s v="W3C"/>
    <s v="2.1.0"/>
    <m/>
    <x v="5"/>
    <x v="0"/>
    <x v="2"/>
    <n v="0"/>
    <n v="0"/>
    <n v="1"/>
    <x v="1"/>
  </r>
  <r>
    <x v="0"/>
    <s v="MyData Service Registry Specification"/>
    <m/>
    <m/>
    <s v="HIIT"/>
    <s v="1.2.0"/>
    <m/>
    <x v="7"/>
    <x v="0"/>
    <x v="3"/>
    <n v="0"/>
    <n v="0"/>
    <n v="0"/>
    <x v="0"/>
  </r>
  <r>
    <x v="0"/>
    <s v="Message Queuing Telemetry Transport (MQTT)"/>
    <s v="MQTT"/>
    <m/>
    <s v="OASIS"/>
    <s v="5.0.0"/>
    <m/>
    <x v="1"/>
    <x v="1"/>
    <x v="0"/>
    <n v="0"/>
    <n v="0"/>
    <n v="0"/>
    <x v="0"/>
  </r>
  <r>
    <x v="0"/>
    <s v="HyperText Markup Language v5 (HTML5)"/>
    <s v="HTML5"/>
    <m/>
    <s v="W3C"/>
    <s v="5.0.0"/>
    <m/>
    <x v="0"/>
    <x v="0"/>
    <x v="0"/>
    <n v="0"/>
    <n v="0"/>
    <n v="1"/>
    <x v="1"/>
  </r>
  <r>
    <x v="0"/>
    <s v="Generic Statistical Business Process Model (GSBPM)"/>
    <s v="GSBPM"/>
    <m/>
    <s v="UNECE"/>
    <s v="5.1.0"/>
    <m/>
    <x v="0"/>
    <x v="0"/>
    <x v="0"/>
    <n v="0"/>
    <n v="0"/>
    <n v="2"/>
    <x v="0"/>
  </r>
  <r>
    <x v="0"/>
    <s v="Hypermedia as the Engine of Application State (HATEOAS)"/>
    <s v="HATEOAS"/>
    <m/>
    <s v="University of California"/>
    <s v="2.2.2"/>
    <m/>
    <x v="7"/>
    <x v="0"/>
    <x v="1"/>
    <n v="0"/>
    <n v="0"/>
    <n v="0"/>
    <x v="0"/>
  </r>
  <r>
    <x v="0"/>
    <s v="Participant Information Service (parIS)"/>
    <s v="parIS"/>
    <m/>
    <s v="IDSA"/>
    <s v="1.0.0"/>
    <m/>
    <x v="7"/>
    <x v="0"/>
    <x v="3"/>
    <n v="0"/>
    <n v="0"/>
    <n v="0"/>
    <x v="0"/>
  </r>
  <r>
    <x v="0"/>
    <s v="GAIA-X Architecture Document"/>
    <m/>
    <m/>
    <s v="GAIA-X"/>
    <s v="23.10.0"/>
    <m/>
    <x v="13"/>
    <x v="0"/>
    <x v="5"/>
    <n v="0"/>
    <n v="1"/>
    <n v="0"/>
    <x v="0"/>
  </r>
  <r>
    <x v="0"/>
    <s v="NetCDF (Network Common Data Form)"/>
    <s v="NetCDF"/>
    <s v="Network Common Data Form"/>
    <s v="UCAR"/>
    <s v="5.6.0"/>
    <m/>
    <x v="0"/>
    <x v="0"/>
    <x v="0"/>
    <n v="0"/>
    <n v="0"/>
    <n v="1"/>
    <x v="0"/>
  </r>
  <r>
    <x v="0"/>
    <s v="OASIS ebXML RegRep Version 4.0"/>
    <m/>
    <m/>
    <s v="OASIS"/>
    <s v="4.0.0"/>
    <m/>
    <x v="7"/>
    <x v="0"/>
    <x v="5"/>
    <n v="0"/>
    <n v="0"/>
    <n v="0"/>
    <x v="2"/>
  </r>
  <r>
    <x v="0"/>
    <s v="Hierarchical Data Format"/>
    <s v="HDF"/>
    <m/>
    <s v="The HDF Group"/>
    <s v="1.14.5"/>
    <m/>
    <x v="5"/>
    <x v="0"/>
    <x v="4"/>
    <n v="0"/>
    <n v="0"/>
    <n v="1"/>
    <x v="0"/>
  </r>
  <r>
    <x v="0"/>
    <s v="Postman collections"/>
    <m/>
    <m/>
    <s v="Postman"/>
    <s v="1.0.0"/>
    <m/>
    <x v="7"/>
    <x v="0"/>
    <x v="1"/>
    <n v="0"/>
    <n v="0"/>
    <n v="0"/>
    <x v="0"/>
  </r>
  <r>
    <x v="0"/>
    <s v="Attribute-based Access Control (ABAC) v2.0.0"/>
    <s v="ABAC"/>
    <m/>
    <s v="NIST"/>
    <s v="2.0.0"/>
    <m/>
    <x v="7"/>
    <x v="0"/>
    <x v="7"/>
    <n v="0"/>
    <n v="0"/>
    <n v="0"/>
    <x v="0"/>
  </r>
  <r>
    <x v="0"/>
    <s v="SAMM (Software Assurance Maturity Model)"/>
    <s v="SAMM"/>
    <m/>
    <s v="OWASP SAMM"/>
    <s v="2.0.0"/>
    <m/>
    <x v="13"/>
    <x v="0"/>
    <x v="5"/>
    <n v="0"/>
    <n v="2"/>
    <n v="0"/>
    <x v="1"/>
  </r>
  <r>
    <x v="0"/>
    <s v="Meta-Share ontology (MS-OWL)"/>
    <s v="MS-OWL"/>
    <m/>
    <s v="W3C"/>
    <s v="2.0.0"/>
    <m/>
    <x v="5"/>
    <x v="0"/>
    <x v="1"/>
    <n v="0"/>
    <n v="0"/>
    <n v="1"/>
    <x v="0"/>
  </r>
  <r>
    <x v="0"/>
    <s v="Distributed Relational Database Architecture (DRDA)"/>
    <s v="DRDA"/>
    <m/>
    <s v="Open Group"/>
    <s v="5.0.0"/>
    <m/>
    <x v="1"/>
    <x v="1"/>
    <x v="0"/>
    <n v="0"/>
    <n v="0"/>
    <n v="0"/>
    <x v="0"/>
  </r>
  <r>
    <x v="0"/>
    <s v="GAIA-X Compliance Registry"/>
    <m/>
    <m/>
    <s v="GAIA-X"/>
    <s v="2.8.1"/>
    <m/>
    <x v="5"/>
    <x v="0"/>
    <x v="2"/>
    <n v="0"/>
    <n v="0"/>
    <n v="1"/>
    <x v="0"/>
  </r>
  <r>
    <x v="0"/>
    <s v="ITU-T Y.4461: Framework of open data in smart cities"/>
    <m/>
    <s v="ITU-T Y.4461"/>
    <s v="ITU"/>
    <s v="1.0.0"/>
    <m/>
    <x v="5"/>
    <x v="0"/>
    <x v="5"/>
    <n v="0"/>
    <n v="0"/>
    <n v="2"/>
    <x v="0"/>
  </r>
  <r>
    <x v="0"/>
    <s v="ETSI TS 103 458 CYBER; Application of Attribute Based Encryption (ABE) for PII and personal data protection on IoT devices, WLAN, cloud and mobile services - High level requirements"/>
    <m/>
    <s v="ETSI TS 103 458"/>
    <s v="ETSI"/>
    <s v="1.1.1"/>
    <m/>
    <x v="19"/>
    <x v="1"/>
    <x v="1"/>
    <n v="0"/>
    <n v="2"/>
    <n v="0"/>
    <x v="0"/>
  </r>
  <r>
    <x v="0"/>
    <s v="eGovernment Core Vocabularies Handbook"/>
    <m/>
    <m/>
    <s v="EC"/>
    <s v="1.0.0"/>
    <m/>
    <x v="0"/>
    <x v="0"/>
    <x v="0"/>
    <n v="0"/>
    <n v="0"/>
    <n v="2"/>
    <x v="0"/>
  </r>
  <r>
    <x v="0"/>
    <s v="ISO/IEC/IEEE 15289:2019 Systems and software engineering — Content of life-cycle information items"/>
    <m/>
    <s v="ISO/IEC/IEEE 15289:2019"/>
    <s v="ISO"/>
    <s v="4.0.0"/>
    <m/>
    <x v="7"/>
    <x v="0"/>
    <x v="5"/>
    <n v="0"/>
    <n v="0"/>
    <n v="0"/>
    <x v="0"/>
  </r>
  <r>
    <x v="0"/>
    <s v="Global eBusiness Interoperability Testbed (GITB)"/>
    <s v="GITB"/>
    <m/>
    <s v="EC"/>
    <s v="1.17.0"/>
    <m/>
    <x v="7"/>
    <x v="0"/>
    <x v="1"/>
    <n v="0"/>
    <n v="0"/>
    <n v="0"/>
    <x v="0"/>
  </r>
  <r>
    <x v="0"/>
    <s v="Treaty on the Functioning of the European Union"/>
    <s v="TFEU"/>
    <m/>
    <s v="OP"/>
    <s v="1.0.0"/>
    <m/>
    <x v="9"/>
    <x v="0"/>
    <x v="0"/>
    <n v="1"/>
    <n v="0"/>
    <n v="0"/>
    <x v="0"/>
  </r>
  <r>
    <x v="0"/>
    <s v="Q.5001 : Signalling requirements and architecture of intelligent edge computing"/>
    <m/>
    <s v="ITU-T Q.5001"/>
    <s v="ITU"/>
    <s v="1.0.0"/>
    <m/>
    <x v="1"/>
    <x v="2"/>
    <x v="0"/>
    <n v="0"/>
    <n v="0"/>
    <n v="0"/>
    <x v="0"/>
  </r>
  <r>
    <x v="0"/>
    <s v="Metadata Encoding and Transmission Standard (METS)"/>
    <s v="METS"/>
    <m/>
    <s v="LoC"/>
    <s v="1.12.1"/>
    <m/>
    <x v="5"/>
    <x v="0"/>
    <x v="1"/>
    <n v="0"/>
    <n v="0"/>
    <n v="5"/>
    <x v="0"/>
  </r>
  <r>
    <x v="0"/>
    <s v="ITU-T X.1147: Security requirements and framework for big data analytics in mobile internet services"/>
    <m/>
    <s v="ITU-T X.1147"/>
    <s v="ITU"/>
    <s v="1.0.0"/>
    <m/>
    <x v="15"/>
    <x v="0"/>
    <x v="0"/>
    <n v="0"/>
    <n v="1"/>
    <n v="1"/>
    <x v="0"/>
  </r>
  <r>
    <x v="0"/>
    <s v="Modular Requirements for Records Systems (MoReq2010)"/>
    <m/>
    <s v="MoReq2010"/>
    <s v="DLM Forum"/>
    <s v="1.1.0"/>
    <m/>
    <x v="7"/>
    <x v="0"/>
    <x v="1"/>
    <n v="0"/>
    <n v="0"/>
    <n v="0"/>
    <x v="0"/>
  </r>
  <r>
    <x v="0"/>
    <s v="exFAT file system specification"/>
    <m/>
    <m/>
    <s v="Microsoft"/>
    <s v="10.6.4"/>
    <m/>
    <x v="7"/>
    <x v="0"/>
    <x v="1"/>
    <n v="0"/>
    <n v="0"/>
    <n v="0"/>
    <x v="0"/>
  </r>
  <r>
    <x v="0"/>
    <s v="HTTP Strict Transport Security (HSTS)"/>
    <s v="HSTS"/>
    <m/>
    <s v="IETF"/>
    <s v="14.0.0"/>
    <m/>
    <x v="5"/>
    <x v="0"/>
    <x v="1"/>
    <n v="0"/>
    <n v="0"/>
    <n v="3"/>
    <x v="0"/>
  </r>
  <r>
    <x v="0"/>
    <s v="ISO 17100:2015 - Translation services -- Requirements for translation services ISO"/>
    <m/>
    <s v="ISO 17100:2015"/>
    <s v="ISO"/>
    <s v="1.0.0"/>
    <m/>
    <x v="7"/>
    <x v="0"/>
    <x v="1"/>
    <n v="0"/>
    <n v="0"/>
    <n v="0"/>
    <x v="0"/>
  </r>
  <r>
    <x v="0"/>
    <s v="HAL - Hypertext Application Language"/>
    <s v="HAL"/>
    <m/>
    <s v="Stateless"/>
    <s v="1.0.0"/>
    <m/>
    <x v="0"/>
    <x v="0"/>
    <x v="0"/>
    <n v="0"/>
    <n v="0"/>
    <n v="3"/>
    <x v="0"/>
  </r>
  <r>
    <x v="0"/>
    <s v="ISO/IEC 24760-1:2019 IT Security and Privacy — A framework for identity management Part 1: Terminology and concepts"/>
    <m/>
    <s v="ISO/IEC 24760-1:2019"/>
    <s v="ISO"/>
    <s v="2.0.0"/>
    <m/>
    <x v="6"/>
    <x v="1"/>
    <x v="5"/>
    <n v="0"/>
    <n v="0"/>
    <n v="0"/>
    <x v="0"/>
  </r>
  <r>
    <x v="0"/>
    <s v="MyData White paper"/>
    <m/>
    <m/>
    <s v="HIIT"/>
    <s v="1.2.1"/>
    <m/>
    <x v="7"/>
    <x v="0"/>
    <x v="1"/>
    <n v="0"/>
    <n v="0"/>
    <n v="0"/>
    <x v="0"/>
  </r>
  <r>
    <x v="0"/>
    <s v="DPV-GDPR: GDPR Extension for DPV"/>
    <s v="DPV-GDPR"/>
    <m/>
    <s v="W3C"/>
    <s v="2.0.0"/>
    <m/>
    <x v="2"/>
    <x v="0"/>
    <x v="0"/>
    <n v="0"/>
    <n v="1"/>
    <n v="0"/>
    <x v="0"/>
  </r>
  <r>
    <x v="0"/>
    <s v="Global digital sustainable product passport opportunities to achieve a circular economy"/>
    <m/>
    <s v="ITU-T L.1070"/>
    <s v="ITU"/>
    <s v="1.0.0"/>
    <m/>
    <x v="12"/>
    <x v="0"/>
    <x v="0"/>
    <n v="0"/>
    <n v="0"/>
    <n v="0"/>
    <x v="0"/>
  </r>
  <r>
    <x v="0"/>
    <s v="Guideline 2014/C 240/01 on recommended standard licences, datasets and charging for the reuse of documents."/>
    <m/>
    <m/>
    <s v="EC"/>
    <s v="1.0.0"/>
    <m/>
    <x v="9"/>
    <x v="0"/>
    <x v="0"/>
    <n v="1"/>
    <n v="0"/>
    <n v="0"/>
    <x v="0"/>
  </r>
  <r>
    <x v="0"/>
    <s v="Indexed Database API"/>
    <m/>
    <m/>
    <s v="W3C"/>
    <s v="3.0.0"/>
    <m/>
    <x v="12"/>
    <x v="0"/>
    <x v="0"/>
    <n v="0"/>
    <n v="0"/>
    <n v="0"/>
    <x v="0"/>
  </r>
  <r>
    <x v="0"/>
    <s v="App Store"/>
    <m/>
    <m/>
    <s v="IDSA"/>
    <s v="1.0.0"/>
    <m/>
    <x v="7"/>
    <x v="0"/>
    <x v="2"/>
    <n v="0"/>
    <n v="0"/>
    <n v="0"/>
    <x v="0"/>
  </r>
  <r>
    <x v="0"/>
    <s v="OSLC Configuration Management Version 1.0"/>
    <m/>
    <m/>
    <s v="OASIS"/>
    <s v="1.0.0"/>
    <m/>
    <x v="2"/>
    <x v="0"/>
    <x v="0"/>
    <n v="0"/>
    <n v="1"/>
    <n v="0"/>
    <x v="0"/>
  </r>
  <r>
    <x v="0"/>
    <s v="IDS Reference Architecture Model (IDS-RAM)"/>
    <s v="IDS-RAM"/>
    <m/>
    <s v="IDSA"/>
    <s v="4.0.0"/>
    <m/>
    <x v="7"/>
    <x v="0"/>
    <x v="5"/>
    <n v="0"/>
    <n v="0"/>
    <n v="0"/>
    <x v="0"/>
  </r>
  <r>
    <x v="0"/>
    <s v="ISO/IEC TR 22678 --Cloud Computing --Guidance for Policy Development"/>
    <m/>
    <s v="ISO/IEC TR 22678"/>
    <s v="ISO"/>
    <s v="1.0.0"/>
    <m/>
    <x v="13"/>
    <x v="0"/>
    <x v="5"/>
    <n v="0"/>
    <n v="1"/>
    <n v="0"/>
    <x v="0"/>
  </r>
  <r>
    <x v="0"/>
    <s v="The MIT License"/>
    <m/>
    <m/>
    <s v="MIT"/>
    <s v="1.0.0"/>
    <m/>
    <x v="7"/>
    <x v="0"/>
    <x v="5"/>
    <n v="0"/>
    <n v="0"/>
    <n v="0"/>
    <x v="0"/>
  </r>
  <r>
    <x v="0"/>
    <s v="ISO/IEC 38505-3: Information technology - Governance of Data - Part3: Guidelines for Data Classification"/>
    <m/>
    <s v="ISO/IEC 38505-3"/>
    <s v="ISO"/>
    <s v="1.0.0"/>
    <m/>
    <x v="2"/>
    <x v="0"/>
    <x v="0"/>
    <n v="0"/>
    <n v="1"/>
    <n v="0"/>
    <x v="0"/>
  </r>
  <r>
    <x v="0"/>
    <s v="Y.4122 : Requirements and capability framework of the edge-computing-enabled gateway in the Internet of things"/>
    <m/>
    <s v="ITU-T Y.4122"/>
    <s v="ITU"/>
    <s v="1.0.0"/>
    <m/>
    <x v="1"/>
    <x v="2"/>
    <x v="0"/>
    <n v="0"/>
    <n v="0"/>
    <n v="0"/>
    <x v="0"/>
  </r>
  <r>
    <x v="0"/>
    <s v="Digital Signature Service"/>
    <s v="DSS"/>
    <m/>
    <s v="EC"/>
    <s v="6.1.0"/>
    <m/>
    <x v="7"/>
    <x v="0"/>
    <x v="1"/>
    <n v="0"/>
    <n v="0"/>
    <n v="0"/>
    <x v="0"/>
  </r>
  <r>
    <x v="0"/>
    <s v="X.500: Information technology - Open Systems Interconnection - The Directory: Overview of concepts, models and services"/>
    <m/>
    <m/>
    <s v="ITU"/>
    <s v="1.0.0"/>
    <m/>
    <x v="6"/>
    <x v="1"/>
    <x v="1"/>
    <n v="0"/>
    <n v="0"/>
    <n v="0"/>
    <x v="1"/>
  </r>
  <r>
    <x v="0"/>
    <s v="AGREEMENT ON TECHNICAL CO-OPERATION BETWEEN ISO AND CEN (Vienna Agreement)"/>
    <m/>
    <s v="Vienna Agreement"/>
    <s v="CEN-CENELEC"/>
    <s v="1.0.0"/>
    <m/>
    <x v="7"/>
    <x v="0"/>
    <x v="1"/>
    <n v="0"/>
    <n v="0"/>
    <n v="0"/>
    <x v="0"/>
  </r>
  <r>
    <x v="0"/>
    <s v="ISO/IEC/IEEE 24748-1:2024 Systems and software engineering — Life cycle management Part 1: Guidelines for life cycle management"/>
    <m/>
    <s v="ISO/IEC/IEEE 24748-1:2024"/>
    <s v="ISO"/>
    <s v="2.0.0"/>
    <m/>
    <x v="1"/>
    <x v="2"/>
    <x v="0"/>
    <n v="0"/>
    <n v="0"/>
    <n v="0"/>
    <x v="0"/>
  </r>
  <r>
    <x v="0"/>
    <s v="REGULATION (EU) No 910/2014 (EP&amp;EC) on electronic identification and trust services for electronic transactions in the internal market and repealing Directive 1999/93/EC (eIDAS)"/>
    <s v="eIDAS"/>
    <m/>
    <s v="OP"/>
    <s v="L 257/73"/>
    <m/>
    <x v="3"/>
    <x v="0"/>
    <x v="0"/>
    <n v="5"/>
    <n v="3"/>
    <n v="0"/>
    <x v="0"/>
  </r>
  <r>
    <x v="0"/>
    <s v="JSON transformation language JSLT"/>
    <m/>
    <m/>
    <s v="Schibsted"/>
    <s v="0.1.14"/>
    <m/>
    <x v="5"/>
    <x v="0"/>
    <x v="1"/>
    <n v="0"/>
    <n v="0"/>
    <n v="1"/>
    <x v="0"/>
  </r>
  <r>
    <x v="0"/>
    <s v="Service Metadata Publisher (DomiSMP)"/>
    <s v="DomiSMP"/>
    <m/>
    <s v="EC"/>
    <s v="5.0.1"/>
    <m/>
    <x v="7"/>
    <x v="0"/>
    <x v="6"/>
    <n v="0"/>
    <n v="0"/>
    <n v="0"/>
    <x v="0"/>
  </r>
  <r>
    <x v="0"/>
    <s v="Open Data Product Specification"/>
    <s v="ODPS"/>
    <m/>
    <s v="ODP"/>
    <s v="3.1.0"/>
    <m/>
    <x v="0"/>
    <x v="0"/>
    <x v="0"/>
    <n v="0"/>
    <n v="0"/>
    <n v="3"/>
    <x v="0"/>
  </r>
  <r>
    <x v="0"/>
    <s v="Real-Time Streaming Protocol (RTSP)"/>
    <s v="RTSP"/>
    <m/>
    <s v="IETF"/>
    <s v="2.0.0"/>
    <m/>
    <x v="1"/>
    <x v="1"/>
    <x v="0"/>
    <n v="0"/>
    <n v="0"/>
    <n v="0"/>
    <x v="0"/>
  </r>
  <r>
    <x v="0"/>
    <s v="OpenMinTeD Shared Infrastructure for Text and Data Mining (OMTD-SHARE)"/>
    <s v="OMTD-SHARE"/>
    <m/>
    <s v="W3C"/>
    <s v="3.0.2"/>
    <m/>
    <x v="5"/>
    <x v="0"/>
    <x v="1"/>
    <n v="0"/>
    <n v="0"/>
    <n v="1"/>
    <x v="0"/>
  </r>
  <r>
    <x v="0"/>
    <s v="DPV-PD: Extended Personal Data categories for DPV"/>
    <s v="DPV-PD"/>
    <m/>
    <s v="W3C"/>
    <s v="2.0.0"/>
    <m/>
    <x v="2"/>
    <x v="0"/>
    <x v="0"/>
    <n v="0"/>
    <n v="1"/>
    <n v="0"/>
    <x v="0"/>
  </r>
  <r>
    <x v="0"/>
    <s v="Directive 2002/58/EC concerning the processing of personal data and the protection of privacy in the electronic communications sector (ePrivacy directive)"/>
    <m/>
    <s v="Directive 2002/58/EC"/>
    <s v="OP"/>
    <s v="L 201"/>
    <m/>
    <x v="9"/>
    <x v="0"/>
    <x v="0"/>
    <n v="1"/>
    <n v="0"/>
    <n v="0"/>
    <x v="0"/>
  </r>
  <r>
    <x v="0"/>
    <s v="Framework for Base Registry Access and Interconnection (BRAIF)"/>
    <s v="BRAIF"/>
    <m/>
    <s v="EC"/>
    <s v="2.1.0"/>
    <m/>
    <x v="15"/>
    <x v="0"/>
    <x v="0"/>
    <n v="0"/>
    <n v="2"/>
    <n v="1"/>
    <x v="0"/>
  </r>
  <r>
    <x v="0"/>
    <s v="Key words for use in RFCs to Indicate Requirement Levels (RFC 2119)"/>
    <m/>
    <s v="RFC 2119"/>
    <s v="IETF"/>
    <s v="1.0.0"/>
    <m/>
    <x v="0"/>
    <x v="0"/>
    <x v="0"/>
    <n v="0"/>
    <n v="0"/>
    <n v="1"/>
    <x v="0"/>
  </r>
  <r>
    <x v="0"/>
    <s v="OASIS Topology and Orchestration Specification for Cloud Applications (TOSCA)"/>
    <s v="TOSCA"/>
    <m/>
    <s v="OASIS"/>
    <s v="1.3.0"/>
    <m/>
    <x v="12"/>
    <x v="0"/>
    <x v="0"/>
    <n v="0"/>
    <n v="0"/>
    <n v="0"/>
    <x v="0"/>
  </r>
  <r>
    <x v="0"/>
    <s v="Self-Issued Open ID Provider (SIOPv2)"/>
    <s v="SIOPv2"/>
    <m/>
    <s v="OpenID Foundation"/>
    <s v="2.0.0"/>
    <m/>
    <x v="7"/>
    <x v="0"/>
    <x v="1"/>
    <n v="0"/>
    <n v="0"/>
    <n v="0"/>
    <x v="0"/>
  </r>
  <r>
    <x v="0"/>
    <s v="Secutiry Controls - Linking eIDAS (Q)ERDS &amp; CEF eDelivery"/>
    <m/>
    <m/>
    <s v="EC"/>
    <s v="2.2.1"/>
    <m/>
    <x v="7"/>
    <x v="0"/>
    <x v="5"/>
    <n v="0"/>
    <n v="0"/>
    <n v="0"/>
    <x v="0"/>
  </r>
  <r>
    <x v="0"/>
    <s v="Group Communication for the Constrained Application Protocol (CoAP)"/>
    <m/>
    <s v="RFC 7390"/>
    <s v="IETF"/>
    <s v="1.0.0"/>
    <m/>
    <x v="6"/>
    <x v="1"/>
    <x v="3"/>
    <n v="0"/>
    <n v="0"/>
    <n v="0"/>
    <x v="0"/>
  </r>
  <r>
    <x v="0"/>
    <s v="BPN (BPM - 001 Business Partner Number)"/>
    <m/>
    <s v="BPM-001"/>
    <s v="CATENA-X"/>
    <s v="2.1.0"/>
    <m/>
    <x v="0"/>
    <x v="0"/>
    <x v="0"/>
    <n v="0"/>
    <n v="0"/>
    <n v="3"/>
    <x v="0"/>
  </r>
  <r>
    <x v="0"/>
    <s v="Accessibility requirements for smart public transport services"/>
    <m/>
    <s v="ITU-T Y.4211"/>
    <s v="ITU"/>
    <s v="1.0.0"/>
    <m/>
    <x v="12"/>
    <x v="0"/>
    <x v="0"/>
    <n v="0"/>
    <n v="0"/>
    <n v="0"/>
    <x v="0"/>
  </r>
  <r>
    <x v="0"/>
    <s v="GS1 XML Electronic Data Interchange"/>
    <m/>
    <s v="GS1 XML EDI"/>
    <s v="GS1"/>
    <s v="1.0.0"/>
    <m/>
    <x v="5"/>
    <x v="0"/>
    <x v="1"/>
    <n v="0"/>
    <n v="0"/>
    <n v="2"/>
    <x v="0"/>
  </r>
  <r>
    <x v="0"/>
    <s v="SmartM2M; Digital Twins Communication Requirements (ETSI TS 103 845)"/>
    <m/>
    <s v="ETSI TS 103 845"/>
    <s v="ETSI"/>
    <s v="1.1.1"/>
    <m/>
    <x v="4"/>
    <x v="1"/>
    <x v="0"/>
    <n v="0"/>
    <n v="2"/>
    <n v="0"/>
    <x v="0"/>
  </r>
  <r>
    <x v="0"/>
    <s v="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m/>
    <s v="Directive 2016/680/EU"/>
    <s v="OP"/>
    <s v="L 119/89"/>
    <m/>
    <x v="9"/>
    <x v="0"/>
    <x v="0"/>
    <n v="1"/>
    <n v="0"/>
    <n v="0"/>
    <x v="0"/>
  </r>
  <r>
    <x v="0"/>
    <s v="Cyber Security; Security Threats and related Requirements  for Consumer Sensor Hubs (ETSI TS 103 864)"/>
    <m/>
    <s v="ETSI TS 103 864"/>
    <s v="ETSI"/>
    <s v="1.1.1"/>
    <m/>
    <x v="15"/>
    <x v="0"/>
    <x v="0"/>
    <n v="0"/>
    <n v="1"/>
    <n v="2"/>
    <x v="0"/>
  </r>
  <r>
    <x v="0"/>
    <s v="ebXML Messaging Protocol Binding for RegRep Version 1.0"/>
    <m/>
    <m/>
    <s v="OASIS"/>
    <s v="1.0.0"/>
    <m/>
    <x v="7"/>
    <x v="0"/>
    <x v="3"/>
    <n v="0"/>
    <n v="0"/>
    <n v="0"/>
    <x v="0"/>
  </r>
  <r>
    <x v="0"/>
    <s v="ESS handbook for quality and metadata reports (EHQMR)"/>
    <s v="EHQMR"/>
    <m/>
    <s v="EC"/>
    <s v="2.0.0"/>
    <m/>
    <x v="7"/>
    <x v="0"/>
    <x v="1"/>
    <n v="0"/>
    <n v="0"/>
    <n v="0"/>
    <x v="0"/>
  </r>
  <r>
    <x v="0"/>
    <s v="StartTLS"/>
    <s v="StartTLS"/>
    <m/>
    <s v="IETF"/>
    <s v="1.0.0"/>
    <m/>
    <x v="7"/>
    <x v="0"/>
    <x v="1"/>
    <n v="0"/>
    <n v="0"/>
    <n v="0"/>
    <x v="0"/>
  </r>
  <r>
    <x v="0"/>
    <s v="Data Management: SQL Call Level Interface (CLI)"/>
    <s v="CLI"/>
    <m/>
    <s v="Open Group"/>
    <s v="1.0.0"/>
    <m/>
    <x v="5"/>
    <x v="0"/>
    <x v="1"/>
    <n v="0"/>
    <n v="0"/>
    <n v="1"/>
    <x v="0"/>
  </r>
  <r>
    <x v="0"/>
    <s v="Information technology — Big data — Overview and vocabulary (ISO/IEC 20546:2019)"/>
    <m/>
    <s v="ISO/IEC 20546:2019"/>
    <s v="ISO"/>
    <s v="1.0.0"/>
    <m/>
    <x v="5"/>
    <x v="0"/>
    <x v="3"/>
    <n v="0"/>
    <n v="0"/>
    <n v="2"/>
    <x v="0"/>
  </r>
  <r>
    <x v="0"/>
    <s v="WAI-ARIA"/>
    <s v="WAI-ARIA"/>
    <m/>
    <s v="W3C"/>
    <s v="1.1.0"/>
    <m/>
    <x v="7"/>
    <x v="0"/>
    <x v="1"/>
    <n v="0"/>
    <n v="0"/>
    <n v="0"/>
    <x v="2"/>
  </r>
  <r>
    <x v="0"/>
    <s v="ISO/IEC 15408-1:2022 Information security, cybersecurity and privacy protection — Evaluation criteria for IT security Part 1: Introduction and general model"/>
    <m/>
    <s v="ISO/IEC 15408-1:2022"/>
    <s v="ISO"/>
    <s v="1"/>
    <m/>
    <x v="6"/>
    <x v="1"/>
    <x v="1"/>
    <n v="0"/>
    <n v="0"/>
    <n v="0"/>
    <x v="0"/>
  </r>
  <r>
    <x v="0"/>
    <s v="Business Process Simulator (BPSim)"/>
    <s v="BPSim"/>
    <m/>
    <s v="WfMC"/>
    <s v="2.0.0"/>
    <m/>
    <x v="1"/>
    <x v="2"/>
    <x v="0"/>
    <n v="0"/>
    <n v="0"/>
    <n v="0"/>
    <x v="0"/>
  </r>
  <r>
    <x v="0"/>
    <s v="Mobile Application Security Verification Standard (MASVS)"/>
    <s v="MASVS"/>
    <m/>
    <s v="OWASP"/>
    <s v="1.0.0"/>
    <m/>
    <x v="0"/>
    <x v="0"/>
    <x v="0"/>
    <n v="0"/>
    <n v="0"/>
    <n v="2"/>
    <x v="0"/>
  </r>
  <r>
    <x v="0"/>
    <s v="ISO/IEC TR 15944-6:2015 Information technology — Business operational view — Part 6: Technical introduction to e-Business modelling"/>
    <m/>
    <s v="ISO/IEC TR 15944-6:2015"/>
    <s v="OASIS"/>
    <s v="2.0.0"/>
    <m/>
    <x v="0"/>
    <x v="0"/>
    <x v="0"/>
    <n v="0"/>
    <n v="0"/>
    <n v="2"/>
    <x v="0"/>
  </r>
  <r>
    <x v="0"/>
    <s v="ISO/IEC 20000-1:2018 Information technology — Service management — Part 1: Service management system requirements"/>
    <m/>
    <s v="ISO/IEC 20000-1:2018"/>
    <s v="ISO"/>
    <s v="3.0.0"/>
    <m/>
    <x v="7"/>
    <x v="0"/>
    <x v="5"/>
    <n v="0"/>
    <n v="0"/>
    <n v="0"/>
    <x v="0"/>
  </r>
  <r>
    <x v="0"/>
    <s v="Hypertext Markup Language (HTML) v4.01"/>
    <s v="HTML"/>
    <m/>
    <s v="W3C"/>
    <s v="4.01.0"/>
    <m/>
    <x v="12"/>
    <x v="0"/>
    <x v="0"/>
    <n v="0"/>
    <n v="0"/>
    <n v="0"/>
    <x v="0"/>
  </r>
  <r>
    <x v="0"/>
    <s v="The OpenContainers Image Spec"/>
    <m/>
    <m/>
    <s v="OCI"/>
    <s v="1.0.1"/>
    <m/>
    <x v="0"/>
    <x v="0"/>
    <x v="0"/>
    <n v="0"/>
    <n v="0"/>
    <n v="1"/>
    <x v="0"/>
  </r>
  <r>
    <x v="0"/>
    <s v="ISO/IEC 19941:2017 Information technology — Cloud computing — Interoperability and portability"/>
    <m/>
    <s v="ISO/IEC 19941:2017"/>
    <s v="ISO"/>
    <s v="1.0.0"/>
    <m/>
    <x v="11"/>
    <x v="5"/>
    <x v="5"/>
    <n v="0"/>
    <n v="0"/>
    <n v="2"/>
    <x v="1"/>
  </r>
  <r>
    <x v="0"/>
    <s v="Framework for Layer 2 Virtual Private Networks (L2VPNs) RFC 4664"/>
    <s v="L2VPNs"/>
    <s v="RFC 4664"/>
    <s v="ISO"/>
    <s v="5.0.0"/>
    <m/>
    <x v="0"/>
    <x v="0"/>
    <x v="0"/>
    <n v="0"/>
    <n v="0"/>
    <n v="2"/>
    <x v="0"/>
  </r>
  <r>
    <x v="0"/>
    <s v="The Token Binding Protocol"/>
    <m/>
    <m/>
    <s v="IETF"/>
    <s v="1.0.0"/>
    <m/>
    <x v="7"/>
    <x v="0"/>
    <x v="6"/>
    <n v="0"/>
    <n v="0"/>
    <n v="0"/>
    <x v="0"/>
  </r>
  <r>
    <x v="0"/>
    <s v="IANA Media Types (RFC 6838, MIME  types)"/>
    <m/>
    <s v="RFC 6838"/>
    <s v="IETF"/>
    <s v="1.0.0"/>
    <m/>
    <x v="0"/>
    <x v="0"/>
    <x v="0"/>
    <n v="0"/>
    <n v="0"/>
    <n v="1"/>
    <x v="0"/>
  </r>
  <r>
    <x v="0"/>
    <s v="Registered Organization Vocabulary"/>
    <s v="RegOrg"/>
    <m/>
    <s v="EC"/>
    <s v="1.0.0"/>
    <m/>
    <x v="0"/>
    <x v="0"/>
    <x v="0"/>
    <n v="0"/>
    <n v="0"/>
    <n v="7"/>
    <x v="2"/>
  </r>
  <r>
    <x v="0"/>
    <s v="Arazzo"/>
    <m/>
    <m/>
    <s v="Linux Foundation"/>
    <s v="1.0.1"/>
    <m/>
    <x v="7"/>
    <x v="0"/>
    <x v="1"/>
    <n v="0"/>
    <n v="0"/>
    <n v="0"/>
    <x v="0"/>
  </r>
  <r>
    <x v="0"/>
    <s v="ASiC (Associated Signature Container) Baseline Profile"/>
    <s v="ASiC"/>
    <m/>
    <s v="ETSI"/>
    <s v="2.2.1"/>
    <m/>
    <x v="7"/>
    <x v="0"/>
    <x v="7"/>
    <n v="0"/>
    <n v="0"/>
    <n v="0"/>
    <x v="1"/>
  </r>
  <r>
    <x v="0"/>
    <s v="Methodology for data validation"/>
    <m/>
    <m/>
    <s v="EC"/>
    <s v="2.0.0"/>
    <m/>
    <x v="7"/>
    <x v="0"/>
    <x v="1"/>
    <n v="0"/>
    <n v="0"/>
    <n v="0"/>
    <x v="0"/>
  </r>
  <r>
    <x v="0"/>
    <s v="PDF Advanced Electronic Signatures (PAdES) - ISO 14533-3:2017"/>
    <s v="PAdES"/>
    <s v="ISO 14533-3:2017"/>
    <s v="ISO"/>
    <s v="1.0.0"/>
    <m/>
    <x v="12"/>
    <x v="0"/>
    <x v="0"/>
    <n v="0"/>
    <n v="0"/>
    <n v="0"/>
    <x v="0"/>
  </r>
  <r>
    <x v="0"/>
    <s v="ISO/IEC 19987:2024 Information technology — EPC Information Services (EPCIS)"/>
    <s v="EPCIS"/>
    <s v="ISO/IEC 19987:2024"/>
    <s v="ISO"/>
    <s v="1"/>
    <m/>
    <x v="7"/>
    <x v="0"/>
    <x v="1"/>
    <n v="0"/>
    <n v="0"/>
    <n v="0"/>
    <x v="0"/>
  </r>
  <r>
    <x v="0"/>
    <s v="Digital Credentials API (Browser agent)"/>
    <m/>
    <m/>
    <s v="W3C"/>
    <s v="1.0.0"/>
    <m/>
    <x v="7"/>
    <x v="0"/>
    <x v="3"/>
    <n v="0"/>
    <n v="0"/>
    <n v="0"/>
    <x v="0"/>
  </r>
  <r>
    <x v="0"/>
    <s v="Electronic Signatures and Infrastructures (ESI); Associated Signature Containers (ASiC); Part 1: Building blocks and ASiC baseline containers (ETSI EN 319 162-1)"/>
    <s v="ASiC"/>
    <s v="ETSI EN 319 162-1"/>
    <s v="ETSI"/>
    <s v="1.1.1"/>
    <m/>
    <x v="7"/>
    <x v="0"/>
    <x v="4"/>
    <n v="0"/>
    <n v="0"/>
    <n v="0"/>
    <x v="0"/>
  </r>
  <r>
    <x v="0"/>
    <s v="Linked Data Notifications (LDN)"/>
    <s v="LDN"/>
    <m/>
    <s v="W3C"/>
    <s v="1.0.0"/>
    <m/>
    <x v="0"/>
    <x v="0"/>
    <x v="0"/>
    <n v="0"/>
    <n v="0"/>
    <n v="3"/>
    <x v="0"/>
  </r>
  <r>
    <x v="0"/>
    <s v="ITU-T X.1750 'Guidelines on security of big data as a service for Big Data Service Providers'"/>
    <m/>
    <s v="ITU-T X.1750"/>
    <s v="ITU"/>
    <s v="1.0.0"/>
    <m/>
    <x v="0"/>
    <x v="0"/>
    <x v="0"/>
    <n v="0"/>
    <n v="0"/>
    <n v="1"/>
    <x v="0"/>
  </r>
  <r>
    <x v="0"/>
    <s v="Effects of information and communication technology-enabled autonomy on vehicles longevity and waste creation"/>
    <m/>
    <s v="ITU-T L.1040"/>
    <s v="ITU"/>
    <s v="1.0.0"/>
    <m/>
    <x v="12"/>
    <x v="0"/>
    <x v="0"/>
    <n v="0"/>
    <n v="0"/>
    <n v="0"/>
    <x v="0"/>
  </r>
  <r>
    <x v="0"/>
    <s v="OpenEHR"/>
    <m/>
    <m/>
    <s v="openEHR Foundation"/>
    <s v="1.0.1"/>
    <m/>
    <x v="1"/>
    <x v="1"/>
    <x v="0"/>
    <n v="0"/>
    <n v="0"/>
    <n v="0"/>
    <x v="0"/>
  </r>
  <r>
    <x v="0"/>
    <s v="2014/771/EU: Commission Implementing Decision of 31 October 2014 on the identification of Universal Business Language version 2.1 for referencing in public procurement Text with EEA relevance"/>
    <m/>
    <s v="Decision 2014/771/EU"/>
    <s v="OP"/>
    <s v="L 315/44"/>
    <m/>
    <x v="9"/>
    <x v="0"/>
    <x v="0"/>
    <n v="1"/>
    <n v="0"/>
    <n v="0"/>
    <x v="0"/>
  </r>
  <r>
    <x v="0"/>
    <s v="Electronic Signatures and Trust Infrastructures (ESI); Cryptographic Suites (ETSI TS 119 312)"/>
    <m/>
    <s v="ETSI TS 119 312"/>
    <s v="ETSI"/>
    <s v="1.5.1"/>
    <m/>
    <x v="7"/>
    <x v="0"/>
    <x v="6"/>
    <n v="0"/>
    <n v="0"/>
    <n v="0"/>
    <x v="0"/>
  </r>
  <r>
    <x v="0"/>
    <s v="ISO/IEC TR 14369:2018 Information technology — Programming languages, their environments and system software interfaces — Guidelines for the preparation of language-independent service specifications (LISS)"/>
    <s v="LISS"/>
    <s v="ISO/IEC TR 14369:2018"/>
    <s v="ISO"/>
    <s v="2.0.0"/>
    <m/>
    <x v="7"/>
    <x v="0"/>
    <x v="5"/>
    <n v="0"/>
    <n v="0"/>
    <n v="0"/>
    <x v="0"/>
  </r>
  <r>
    <x v="0"/>
    <s v="Eurovoc"/>
    <s v="EuroVoc"/>
    <m/>
    <s v="OP"/>
    <s v="4.12.0"/>
    <m/>
    <x v="0"/>
    <x v="0"/>
    <x v="0"/>
    <n v="0"/>
    <n v="0"/>
    <n v="1"/>
    <x v="2"/>
  </r>
  <r>
    <x v="0"/>
    <s v="Commission Implementing Decision (EU) 2017/2288 of 11 December 2017 on the identification of ICT Technical Specifications for referencing in public procurement"/>
    <m/>
    <s v="Decision 2017/2288/EU"/>
    <s v="EC"/>
    <s v="L 328/123"/>
    <m/>
    <x v="9"/>
    <x v="0"/>
    <x v="0"/>
    <n v="5"/>
    <n v="0"/>
    <n v="0"/>
    <x v="0"/>
  </r>
  <r>
    <x v="0"/>
    <s v="Catalogue Services Standard 2.0 Extension Package for ebRIM Application Profile: Earth Observation Products"/>
    <m/>
    <m/>
    <s v="OGC"/>
    <s v="1.0.0"/>
    <m/>
    <x v="7"/>
    <x v="0"/>
    <x v="1"/>
    <n v="0"/>
    <n v="0"/>
    <n v="0"/>
    <x v="0"/>
  </r>
  <r>
    <x v="0"/>
    <s v="Web Services Description Language (WSDL)"/>
    <s v="WSDL"/>
    <m/>
    <s v="W3C"/>
    <s v="2.0.0"/>
    <m/>
    <x v="7"/>
    <x v="0"/>
    <x v="1"/>
    <n v="0"/>
    <n v="0"/>
    <n v="0"/>
    <x v="2"/>
  </r>
  <r>
    <x v="0"/>
    <s v="OpenPGP"/>
    <s v="OpenPGP"/>
    <m/>
    <s v="IETF"/>
    <s v="22.0.0"/>
    <m/>
    <x v="7"/>
    <x v="0"/>
    <x v="1"/>
    <n v="0"/>
    <n v="0"/>
    <n v="0"/>
    <x v="0"/>
  </r>
  <r>
    <x v="0"/>
    <s v="DCAT-AP extension for Metadata in National Access Points (DCAT-NAP-AP)"/>
    <s v="DCAT-NAP-AP"/>
    <m/>
    <s v="EC"/>
    <s v="0.8.0"/>
    <m/>
    <x v="0"/>
    <x v="0"/>
    <x v="0"/>
    <n v="0"/>
    <n v="0"/>
    <n v="3"/>
    <x v="0"/>
  </r>
  <r>
    <x v="0"/>
    <s v="OASIS Content Managemnet Interoperability Services (CMIS)"/>
    <s v="CMIS"/>
    <m/>
    <s v="OASIS"/>
    <s v="1.1.0"/>
    <m/>
    <x v="7"/>
    <x v="0"/>
    <x v="5"/>
    <n v="0"/>
    <n v="0"/>
    <n v="0"/>
    <x v="0"/>
  </r>
  <r>
    <x v="0"/>
    <s v="EUR-Lex"/>
    <s v="EURLex"/>
    <m/>
    <s v="EC"/>
    <s v="1.0.0"/>
    <m/>
    <x v="9"/>
    <x v="0"/>
    <x v="0"/>
    <n v="1"/>
    <n v="0"/>
    <n v="0"/>
    <x v="0"/>
  </r>
  <r>
    <x v="0"/>
    <s v="Core Criterion and Core Evidence Vocabulary (CCCEV) v2.1.0"/>
    <s v="CCCEV"/>
    <m/>
    <s v="EC"/>
    <s v="2.1.0"/>
    <m/>
    <x v="5"/>
    <x v="0"/>
    <x v="1"/>
    <n v="0"/>
    <n v="0"/>
    <n v="7"/>
    <x v="0"/>
  </r>
  <r>
    <x v="0"/>
    <s v="Skills Framework for the Information Age (SFIA)"/>
    <s v="SFIA"/>
    <m/>
    <s v="SFIA"/>
    <s v="None"/>
    <m/>
    <x v="12"/>
    <x v="0"/>
    <x v="0"/>
    <n v="0"/>
    <n v="0"/>
    <n v="0"/>
    <x v="0"/>
  </r>
  <r>
    <x v="0"/>
    <s v="Good Practices on building sucessful interconnections of Base Registries"/>
    <m/>
    <m/>
    <s v="EC"/>
    <s v="1.0.0"/>
    <m/>
    <x v="0"/>
    <x v="0"/>
    <x v="0"/>
    <n v="0"/>
    <n v="0"/>
    <n v="1"/>
    <x v="0"/>
  </r>
  <r>
    <x v="0"/>
    <s v="Post-Award BIS Specifications and Guidelines (Peppol BIS Billing)"/>
    <m/>
    <s v="Peppol BIS Billing"/>
    <s v="PEPPOL"/>
    <s v="3.0.10"/>
    <m/>
    <x v="0"/>
    <x v="0"/>
    <x v="0"/>
    <n v="0"/>
    <n v="0"/>
    <n v="2"/>
    <x v="0"/>
  </r>
  <r>
    <x v="0"/>
    <s v="ISO 19011:2018 Guidelines for auditing management systems"/>
    <m/>
    <s v="ISO 19011:2018"/>
    <s v="ISO"/>
    <s v="3.0.0"/>
    <m/>
    <x v="7"/>
    <x v="0"/>
    <x v="1"/>
    <n v="0"/>
    <n v="0"/>
    <n v="0"/>
    <x v="0"/>
  </r>
  <r>
    <x v="0"/>
    <s v="e-delivery AS4"/>
    <s v="AS4"/>
    <m/>
    <s v="EC"/>
    <s v="1.15.0"/>
    <m/>
    <x v="7"/>
    <x v="0"/>
    <x v="1"/>
    <n v="0"/>
    <n v="0"/>
    <n v="0"/>
    <x v="0"/>
  </r>
  <r>
    <x v="0"/>
    <s v="GXFSv2 - Identity and Access Management"/>
    <m/>
    <s v="GXFSv2"/>
    <s v="GAIA-X"/>
    <s v="22.10.0"/>
    <m/>
    <x v="7"/>
    <x v="0"/>
    <x v="4"/>
    <n v="0"/>
    <n v="0"/>
    <n v="0"/>
    <x v="0"/>
  </r>
  <r>
    <x v="0"/>
    <s v="Security techniques — Extension to ISO/IEC 27001 and ISO/IEC 27002 for privacy information management — Requirements and guidelines (ISO/IEC 27701:2019)"/>
    <m/>
    <s v="ISO/IEC 27701:2019"/>
    <s v="ISO"/>
    <s v="1.0.0"/>
    <m/>
    <x v="2"/>
    <x v="0"/>
    <x v="0"/>
    <n v="0"/>
    <n v="2"/>
    <n v="0"/>
    <x v="0"/>
  </r>
  <r>
    <x v="0"/>
    <s v="Internet Protocol version 4 (IPv4)"/>
    <s v="IPv4"/>
    <m/>
    <s v="IETF"/>
    <s v="4.0.0"/>
    <m/>
    <x v="7"/>
    <x v="0"/>
    <x v="1"/>
    <n v="0"/>
    <n v="0"/>
    <n v="0"/>
    <x v="2"/>
  </r>
  <r>
    <x v="0"/>
    <s v="Electronic Signatures and Infrastructures (ESI); Associated Signature Containers (ASiC); Part 2: Additional ASiC containers (ETSI EN 319 162-2)"/>
    <s v="ASiC"/>
    <s v="ETSI EN 319 162-2"/>
    <s v="ETSI"/>
    <s v="1.1.1"/>
    <m/>
    <x v="7"/>
    <x v="0"/>
    <x v="4"/>
    <n v="0"/>
    <n v="0"/>
    <n v="0"/>
    <x v="0"/>
  </r>
  <r>
    <x v="0"/>
    <s v="The Dublin Core Ontology"/>
    <s v="DCMI"/>
    <m/>
    <s v="DCMI"/>
    <s v="15.0.0"/>
    <m/>
    <x v="0"/>
    <x v="0"/>
    <x v="0"/>
    <n v="0"/>
    <n v="0"/>
    <n v="1"/>
    <x v="1"/>
  </r>
  <r>
    <x v="0"/>
    <s v="PSI Directive"/>
    <m/>
    <m/>
    <s v="OP"/>
    <s v="1.0.0"/>
    <m/>
    <x v="0"/>
    <x v="0"/>
    <x v="0"/>
    <n v="0"/>
    <n v="0"/>
    <n v="6"/>
    <x v="0"/>
  </r>
  <r>
    <x v="0"/>
    <s v="JSON Lines"/>
    <m/>
    <m/>
    <s v="JSON Lines"/>
    <s v="1.0.0"/>
    <m/>
    <x v="0"/>
    <x v="0"/>
    <x v="0"/>
    <n v="0"/>
    <n v="0"/>
    <n v="3"/>
    <x v="0"/>
  </r>
  <r>
    <x v="0"/>
    <s v="Microformats"/>
    <m/>
    <m/>
    <s v="microformats.org"/>
    <s v="2.0.0"/>
    <m/>
    <x v="0"/>
    <x v="0"/>
    <x v="0"/>
    <n v="0"/>
    <n v="0"/>
    <n v="1"/>
    <x v="0"/>
  </r>
  <r>
    <x v="0"/>
    <s v="Simple Network Management Protocol (SNMP)"/>
    <s v="SNMP"/>
    <m/>
    <s v="IETF"/>
    <s v="3.0.0"/>
    <m/>
    <x v="1"/>
    <x v="1"/>
    <x v="0"/>
    <n v="0"/>
    <n v="0"/>
    <n v="0"/>
    <x v="0"/>
  </r>
  <r>
    <x v="0"/>
    <s v="Digital Link -  GS1 Digital Link | GS1"/>
    <m/>
    <s v="Digital Link"/>
    <s v="GS1"/>
    <s v="1.0.0"/>
    <m/>
    <x v="5"/>
    <x v="0"/>
    <x v="1"/>
    <n v="0"/>
    <n v="0"/>
    <n v="2"/>
    <x v="0"/>
  </r>
  <r>
    <x v="0"/>
    <s v="Gaia-X Digital Clearing House (GXDCH)"/>
    <s v="GXDCH"/>
    <m/>
    <s v="GAIA-X"/>
    <s v="23.10.0"/>
    <m/>
    <x v="6"/>
    <x v="1"/>
    <x v="2"/>
    <n v="0"/>
    <n v="0"/>
    <n v="0"/>
    <x v="0"/>
  </r>
  <r>
    <x v="0"/>
    <s v="File Transfer Protocol over Transport Layer Security (FTPS or FTP over TLS)"/>
    <s v="FTPS"/>
    <m/>
    <s v="IETF"/>
    <s v="None"/>
    <m/>
    <x v="12"/>
    <x v="0"/>
    <x v="0"/>
    <n v="0"/>
    <n v="0"/>
    <n v="0"/>
    <x v="0"/>
  </r>
  <r>
    <x v="0"/>
    <s v="eXtensible Markup Language (XML)"/>
    <s v="XML"/>
    <m/>
    <s v="W3C"/>
    <s v="1.0.0"/>
    <m/>
    <x v="0"/>
    <x v="0"/>
    <x v="0"/>
    <n v="0"/>
    <n v="0"/>
    <n v="2"/>
    <x v="0"/>
  </r>
  <r>
    <x v="0"/>
    <s v="eXtensible Markup Language (XML)"/>
    <s v="XML"/>
    <m/>
    <s v="W3C"/>
    <s v="1.1.0"/>
    <m/>
    <x v="0"/>
    <x v="0"/>
    <x v="0"/>
    <n v="0"/>
    <n v="0"/>
    <n v="2"/>
    <x v="3"/>
  </r>
  <r>
    <x v="0"/>
    <s v="EU eGovernment Action Plan 2016-2020 - Accelerating the digital transformation of government"/>
    <m/>
    <m/>
    <s v="EC"/>
    <s v="1.0.0"/>
    <m/>
    <x v="9"/>
    <x v="0"/>
    <x v="0"/>
    <n v="1"/>
    <n v="0"/>
    <n v="0"/>
    <x v="0"/>
  </r>
  <r>
    <x v="0"/>
    <s v="AKN4EU"/>
    <s v="AKN4EU"/>
    <m/>
    <s v="OP"/>
    <s v="4.0.0"/>
    <m/>
    <x v="16"/>
    <x v="0"/>
    <x v="0"/>
    <n v="6"/>
    <n v="0"/>
    <n v="2"/>
    <x v="1"/>
  </r>
  <r>
    <x v="0"/>
    <s v="Asset Description Metadata Schema (ADMS)"/>
    <s v="ADMS"/>
    <m/>
    <s v="W3C"/>
    <s v="1.0.0"/>
    <m/>
    <x v="5"/>
    <x v="0"/>
    <x v="4"/>
    <n v="0"/>
    <n v="0"/>
    <n v="9"/>
    <x v="2"/>
  </r>
  <r>
    <x v="0"/>
    <s v="ISO/IEC/IEEE 15288:2023 Systems and software engineering — System life cycle processes"/>
    <m/>
    <s v="ISO/IEC/IEEE 15288:2023"/>
    <s v="ISO"/>
    <s v="2.0.0"/>
    <m/>
    <x v="1"/>
    <x v="2"/>
    <x v="0"/>
    <n v="0"/>
    <n v="0"/>
    <n v="0"/>
    <x v="0"/>
  </r>
  <r>
    <x v="0"/>
    <s v="ITU-T Y.3500: Information technology - Cloud computing - Overview and vocabulary"/>
    <m/>
    <s v="ITU-T Y.3500"/>
    <s v="ITU"/>
    <s v="1.0.0"/>
    <m/>
    <x v="8"/>
    <x v="2"/>
    <x v="0"/>
    <n v="0"/>
    <n v="0"/>
    <n v="2"/>
    <x v="0"/>
  </r>
  <r>
    <x v="0"/>
    <s v="SmartM2M; Digital Twins: Functionalities and  communication Reference Architecture (ETSI TS 103 846)"/>
    <m/>
    <s v="ETSI TS 103 846"/>
    <s v="ETSI"/>
    <s v="1.1.1"/>
    <m/>
    <x v="11"/>
    <x v="2"/>
    <x v="2"/>
    <n v="0"/>
    <n v="0"/>
    <n v="1"/>
    <x v="0"/>
  </r>
  <r>
    <x v="0"/>
    <s v="Regulation (EU) No 1025/2012"/>
    <m/>
    <m/>
    <s v="EC"/>
    <s v="1.0.0"/>
    <m/>
    <x v="9"/>
    <x v="0"/>
    <x v="0"/>
    <n v="1"/>
    <n v="0"/>
    <n v="0"/>
    <x v="0"/>
  </r>
  <r>
    <x v="0"/>
    <s v="Joint Photographic Experts Group (JPEG)"/>
    <s v="JPEG"/>
    <m/>
    <s v="ISO"/>
    <s v="1.0.0"/>
    <m/>
    <x v="12"/>
    <x v="0"/>
    <x v="0"/>
    <n v="0"/>
    <n v="0"/>
    <n v="0"/>
    <x v="0"/>
  </r>
  <r>
    <x v="0"/>
    <s v="ETSI TS 119 512 Electronic Signatures and Infrastructures (ESI); Protocols for trust service providers providing long-term data preservation services"/>
    <m/>
    <s v="ETSI TS 119 512"/>
    <s v="ETSI"/>
    <s v="1.1.2"/>
    <m/>
    <x v="7"/>
    <x v="0"/>
    <x v="1"/>
    <n v="0"/>
    <n v="0"/>
    <n v="0"/>
    <x v="2"/>
  </r>
  <r>
    <x v="0"/>
    <s v="Context Information Management (CIM); NGSI-LD API (ETSI GS CIM 009)"/>
    <s v="NGSI-LD API"/>
    <s v="ETSI GS CIM 009"/>
    <s v="ETSI"/>
    <s v="1.7.1"/>
    <m/>
    <x v="7"/>
    <x v="0"/>
    <x v="6"/>
    <n v="0"/>
    <n v="0"/>
    <n v="0"/>
    <x v="1"/>
  </r>
  <r>
    <x v="0"/>
    <s v="eGovernment accelerating digital public services that support the functioning of the single market"/>
    <m/>
    <m/>
    <s v="OP"/>
    <s v="1.0.0"/>
    <m/>
    <x v="2"/>
    <x v="0"/>
    <x v="0"/>
    <n v="0"/>
    <n v="1"/>
    <n v="0"/>
    <x v="0"/>
  </r>
  <r>
    <x v="0"/>
    <s v="REGULATION (EU) 2018/1807 OF THE EUROPEAN PARLIAMENT AND OF THE COUNCIL, of 14 November 2018 on a framework for the free flow of non-personal data in the European Union (Text with EEA relevance)"/>
    <m/>
    <s v="Regulation 2018/1807/EU"/>
    <s v="OP"/>
    <s v="L 303/59"/>
    <m/>
    <x v="9"/>
    <x v="0"/>
    <x v="0"/>
    <n v="1"/>
    <n v="0"/>
    <n v="0"/>
    <x v="0"/>
  </r>
  <r>
    <x v="0"/>
    <s v="Web Services for Remote Portlets (WSRP)"/>
    <s v="WSRP"/>
    <m/>
    <s v="OASIS"/>
    <s v="2.0.0"/>
    <m/>
    <x v="7"/>
    <x v="0"/>
    <x v="5"/>
    <n v="0"/>
    <n v="0"/>
    <n v="0"/>
    <x v="0"/>
  </r>
  <r>
    <x v="0"/>
    <s v="Credential Transparency Description Language (CTDL)"/>
    <s v="CTDL"/>
    <m/>
    <s v="Credential Engine"/>
    <s v="1.0.0"/>
    <m/>
    <x v="0"/>
    <x v="0"/>
    <x v="0"/>
    <n v="0"/>
    <n v="0"/>
    <n v="2"/>
    <x v="0"/>
  </r>
  <r>
    <x v="0"/>
    <s v="Hypertext Transfer Protocol (HTTP/3)"/>
    <s v="HTTP/3"/>
    <m/>
    <s v="IETF"/>
    <s v="3.0.0"/>
    <m/>
    <x v="7"/>
    <x v="0"/>
    <x v="1"/>
    <n v="0"/>
    <n v="0"/>
    <n v="0"/>
    <x v="0"/>
  </r>
  <r>
    <x v="0"/>
    <s v="OpenFlow Switch Specification"/>
    <m/>
    <m/>
    <s v="ONF"/>
    <s v="1.3.4"/>
    <m/>
    <x v="1"/>
    <x v="2"/>
    <x v="0"/>
    <n v="0"/>
    <n v="0"/>
    <n v="0"/>
    <x v="0"/>
  </r>
  <r>
    <x v="0"/>
    <s v="Guidelines on the protection of personal data processed through web services provided by EU institutions"/>
    <m/>
    <m/>
    <s v="EDPS"/>
    <s v="1.0.0"/>
    <m/>
    <x v="7"/>
    <x v="0"/>
    <x v="1"/>
    <n v="0"/>
    <n v="0"/>
    <n v="0"/>
    <x v="0"/>
  </r>
  <r>
    <x v="0"/>
    <s v="GAIA-X Federated Catalogue"/>
    <m/>
    <m/>
    <s v="GAIA-X"/>
    <s v="1.0.0"/>
    <m/>
    <x v="8"/>
    <x v="2"/>
    <x v="0"/>
    <n v="0"/>
    <n v="0"/>
    <n v="1"/>
    <x v="0"/>
  </r>
  <r>
    <x v="0"/>
    <s v="Domain Name System Security Extensions (DNSSEC)"/>
    <s v="DNSSEC"/>
    <m/>
    <s v="IETF"/>
    <s v="6.0.0"/>
    <m/>
    <x v="6"/>
    <x v="1"/>
    <x v="1"/>
    <n v="0"/>
    <n v="0"/>
    <n v="0"/>
    <x v="0"/>
  </r>
  <r>
    <x v="0"/>
    <s v="DNS over TLS (DoT)"/>
    <s v="DoT"/>
    <m/>
    <s v="IETF"/>
    <s v="9.0.0"/>
    <m/>
    <x v="6"/>
    <x v="1"/>
    <x v="5"/>
    <n v="0"/>
    <n v="0"/>
    <n v="0"/>
    <x v="0"/>
  </r>
  <r>
    <x v="0"/>
    <s v="Office Open XML File Formats Part 1: Fundamentals and Markup Language Reference"/>
    <m/>
    <s v="ISO/IEC 29500-1:2016"/>
    <s v="ISO"/>
    <s v="4.0.0"/>
    <m/>
    <x v="7"/>
    <x v="0"/>
    <x v="2"/>
    <n v="0"/>
    <n v="0"/>
    <n v="0"/>
    <x v="0"/>
  </r>
  <r>
    <x v="0"/>
    <s v="Core Person Vocabulary"/>
    <s v="CPV"/>
    <m/>
    <s v="EC"/>
    <s v="2.0.0"/>
    <m/>
    <x v="0"/>
    <x v="0"/>
    <x v="0"/>
    <n v="0"/>
    <n v="0"/>
    <n v="8"/>
    <x v="0"/>
  </r>
  <r>
    <x v="0"/>
    <s v="FreeRADIUS"/>
    <m/>
    <m/>
    <s v="IETF"/>
    <s v="3.0.0"/>
    <m/>
    <x v="7"/>
    <x v="0"/>
    <x v="1"/>
    <n v="0"/>
    <n v="0"/>
    <n v="0"/>
    <x v="0"/>
  </r>
  <r>
    <x v="0"/>
    <s v="ISO 639-2:1998 Codes for the representation of names of languages -- Part 2: Alpha-3 code"/>
    <m/>
    <s v="ISO 639-2:1998"/>
    <s v="LoC"/>
    <s v="2.0.0"/>
    <m/>
    <x v="0"/>
    <x v="0"/>
    <x v="0"/>
    <n v="0"/>
    <n v="0"/>
    <n v="2"/>
    <x v="1"/>
  </r>
  <r>
    <x v="0"/>
    <s v="NUTS"/>
    <s v="NUTS"/>
    <s v="Nomenclature of territorial units for statistics 2024"/>
    <s v="EC"/>
    <s v="2024"/>
    <m/>
    <x v="0"/>
    <x v="0"/>
    <x v="0"/>
    <n v="0"/>
    <n v="0"/>
    <n v="5"/>
    <x v="0"/>
  </r>
  <r>
    <x v="0"/>
    <s v="The Extensible Hypertext Markup Language (XHTML)"/>
    <s v="XHTML"/>
    <m/>
    <s v="W3C"/>
    <s v="1.0.0"/>
    <m/>
    <x v="0"/>
    <x v="0"/>
    <x v="0"/>
    <n v="0"/>
    <n v="0"/>
    <n v="1"/>
    <x v="2"/>
  </r>
  <r>
    <x v="0"/>
    <s v="European Privacy Policy"/>
    <m/>
    <m/>
    <s v="EC"/>
    <s v="1.0.0"/>
    <m/>
    <x v="0"/>
    <x v="0"/>
    <x v="0"/>
    <n v="0"/>
    <n v="0"/>
    <n v="1"/>
    <x v="0"/>
  </r>
  <r>
    <x v="0"/>
    <s v="Extended MKCOL for Web Distributed Authoring and Versioning (Extended WebDAV MKCOL)"/>
    <m/>
    <m/>
    <s v="IETF"/>
    <s v="7.0.0"/>
    <m/>
    <x v="6"/>
    <x v="1"/>
    <x v="1"/>
    <n v="0"/>
    <n v="0"/>
    <n v="0"/>
    <x v="0"/>
  </r>
  <r>
    <x v="0"/>
    <s v="802.3-2022 - IEEE Standard for Ethernet"/>
    <m/>
    <m/>
    <s v="IEEE"/>
    <s v="1.0.0"/>
    <m/>
    <x v="1"/>
    <x v="7"/>
    <x v="0"/>
    <n v="0"/>
    <n v="0"/>
    <n v="0"/>
    <x v="1"/>
  </r>
  <r>
    <x v="0"/>
    <s v="Microdata (Schema.org)"/>
    <m/>
    <m/>
    <s v="Schema.org"/>
    <s v="29.1.0"/>
    <m/>
    <x v="5"/>
    <x v="0"/>
    <x v="1"/>
    <n v="0"/>
    <n v="0"/>
    <n v="3"/>
    <x v="0"/>
  </r>
  <r>
    <x v="0"/>
    <s v="ISO/IEC 19086-1:2016 Information technology — Cloud computing — Service level agreement (SLA) framework — Part 1: Overview and concepts"/>
    <m/>
    <s v="ISO/IEC 19086-1:2016"/>
    <s v="ISO"/>
    <s v="1"/>
    <m/>
    <x v="7"/>
    <x v="0"/>
    <x v="3"/>
    <n v="0"/>
    <n v="0"/>
    <n v="0"/>
    <x v="0"/>
  </r>
  <r>
    <x v="0"/>
    <s v="DIRECTIVE (EU) 2019/1024 OF THE EUROPEAN PARLIAMENT AND OF THE COUNCIL of 20 June 2019 on open data and the re-use of public sector information."/>
    <m/>
    <m/>
    <s v="OP"/>
    <s v="L 172/56"/>
    <m/>
    <x v="0"/>
    <x v="0"/>
    <x v="0"/>
    <n v="0"/>
    <n v="0"/>
    <n v="6"/>
    <x v="0"/>
  </r>
  <r>
    <x v="0"/>
    <s v="EBSI - Decentralized indetifier (EBSI-DID)"/>
    <s v="EBSI-DID"/>
    <m/>
    <s v="EC"/>
    <s v="1.0.0"/>
    <m/>
    <x v="1"/>
    <x v="1"/>
    <x v="0"/>
    <n v="0"/>
    <n v="0"/>
    <n v="0"/>
    <x v="0"/>
  </r>
  <r>
    <x v="0"/>
    <s v="REGULATION (EU) 2016/679 OF THE EUROPEAN PARLIAMENT AND OF THE COUNCIL of 27 April 2016 on the protection of natural persons with regard to the processing of personal data and on the free movement of such data, and repealing Directive 95/46/EC (General Data Protection Regulation)"/>
    <s v="GDPR"/>
    <m/>
    <s v="OP"/>
    <s v="L 119/1"/>
    <m/>
    <x v="20"/>
    <x v="0"/>
    <x v="1"/>
    <n v="7"/>
    <n v="6"/>
    <n v="6"/>
    <x v="0"/>
  </r>
  <r>
    <x v="0"/>
    <s v="PAdES (PDF Advanced Electronic Signature) Baseline Profile"/>
    <s v="PAdES"/>
    <m/>
    <s v="ETSI"/>
    <s v="2.2.1"/>
    <m/>
    <x v="7"/>
    <x v="0"/>
    <x v="6"/>
    <n v="0"/>
    <n v="0"/>
    <n v="0"/>
    <x v="1"/>
  </r>
  <r>
    <x v="0"/>
    <s v="CDN Interconnection Architecture (ETSI TS 182 032)"/>
    <m/>
    <s v="ETSI TS 182 032"/>
    <s v="ETSI"/>
    <s v="1.1.1"/>
    <m/>
    <x v="1"/>
    <x v="2"/>
    <x v="0"/>
    <n v="0"/>
    <n v="0"/>
    <n v="0"/>
    <x v="0"/>
  </r>
  <r>
    <x v="0"/>
    <s v="GraphQL"/>
    <m/>
    <m/>
    <s v="GraphQL Foundation"/>
    <s v="3.0.0"/>
    <m/>
    <x v="11"/>
    <x v="2"/>
    <x v="9"/>
    <n v="0"/>
    <n v="0"/>
    <n v="1"/>
    <x v="1"/>
  </r>
  <r>
    <x v="0"/>
    <s v="JOINT COMMUNICATION TO THE EUROPEAN PARLIAMENT AND THE COUNCIL - The EU's Cybersecurity Strategy for the Digital Decade"/>
    <m/>
    <m/>
    <s v="EC"/>
    <s v="1.0.0"/>
    <m/>
    <x v="2"/>
    <x v="0"/>
    <x v="0"/>
    <n v="0"/>
    <n v="1"/>
    <n v="0"/>
    <x v="0"/>
  </r>
  <r>
    <x v="0"/>
    <s v="DIRECTIVE (EU) 2016/2102 OF THE EUROPEAN PARLIAMENT AND OF THE COUNCIL of 26 October 2016 on the accessibility of the websites and mobile applications of public sector bodies"/>
    <m/>
    <s v="Directive 2016/2102/EU"/>
    <s v="OP"/>
    <s v="L 327/1"/>
    <m/>
    <x v="9"/>
    <x v="0"/>
    <x v="0"/>
    <n v="5"/>
    <n v="0"/>
    <n v="0"/>
    <x v="0"/>
  </r>
  <r>
    <x v="0"/>
    <s v="LegalDocML"/>
    <m/>
    <m/>
    <s v="OASIS"/>
    <s v="1.0.0"/>
    <m/>
    <x v="9"/>
    <x v="0"/>
    <x v="0"/>
    <n v="5"/>
    <n v="0"/>
    <n v="0"/>
    <x v="1"/>
  </r>
  <r>
    <x v="0"/>
    <s v="Transport Layer Security (TLS) Transport Mapping for Syslog"/>
    <m/>
    <m/>
    <s v="IETF"/>
    <s v="1.0.0"/>
    <m/>
    <x v="7"/>
    <x v="0"/>
    <x v="3"/>
    <n v="0"/>
    <n v="0"/>
    <n v="0"/>
    <x v="0"/>
  </r>
  <r>
    <x v="0"/>
    <s v="Internet of Things (IoT) — Interoperability for IoT Systems — Part 1: Framework. (ISO/IEC 21823-1:2019)"/>
    <m/>
    <s v="ISO/IEC 21823-1:2019"/>
    <s v="ISO"/>
    <s v="1.0.0"/>
    <m/>
    <x v="7"/>
    <x v="0"/>
    <x v="1"/>
    <n v="0"/>
    <n v="0"/>
    <n v="0"/>
    <x v="0"/>
  </r>
  <r>
    <x v="0"/>
    <s v="OpenAPI Specification"/>
    <s v="OAS"/>
    <m/>
    <s v="OpenAPI Initiative"/>
    <s v="3.1.0"/>
    <m/>
    <x v="6"/>
    <x v="1"/>
    <x v="1"/>
    <n v="0"/>
    <n v="0"/>
    <n v="0"/>
    <x v="1"/>
  </r>
  <r>
    <x v="0"/>
    <s v="OGC I15 (ISO19115 Metadata) Extension Package of CS-W ebRIM Profile 1.0"/>
    <m/>
    <m/>
    <s v="OGC"/>
    <s v="1.0.2"/>
    <m/>
    <x v="7"/>
    <x v="0"/>
    <x v="1"/>
    <n v="0"/>
    <n v="0"/>
    <n v="0"/>
    <x v="0"/>
  </r>
  <r>
    <x v="0"/>
    <s v="OpenID Connect"/>
    <s v="OIDC"/>
    <m/>
    <s v="OpenID Foundation"/>
    <s v="2.0.0"/>
    <m/>
    <x v="6"/>
    <x v="1"/>
    <x v="1"/>
    <n v="0"/>
    <n v="0"/>
    <n v="0"/>
    <x v="0"/>
  </r>
  <r>
    <x v="0"/>
    <s v="Simple Mail Transfer Protocol (SMTP)"/>
    <s v="SMTP"/>
    <m/>
    <s v="IETF"/>
    <s v="None"/>
    <m/>
    <x v="12"/>
    <x v="0"/>
    <x v="0"/>
    <n v="0"/>
    <n v="0"/>
    <n v="0"/>
    <x v="0"/>
  </r>
  <r>
    <x v="0"/>
    <s v="Role-Based Access Controls (RBAC)"/>
    <s v="RBAC"/>
    <m/>
    <s v="NIST"/>
    <s v="1.0.0"/>
    <m/>
    <x v="7"/>
    <x v="0"/>
    <x v="1"/>
    <n v="0"/>
    <n v="0"/>
    <n v="0"/>
    <x v="0"/>
  </r>
  <r>
    <x v="0"/>
    <s v="UTF-8"/>
    <s v="UTF-8"/>
    <m/>
    <s v="IETF"/>
    <s v="5.0.0"/>
    <m/>
    <x v="0"/>
    <x v="0"/>
    <x v="0"/>
    <n v="0"/>
    <n v="0"/>
    <n v="1"/>
    <x v="2"/>
  </r>
  <r>
    <x v="0"/>
    <s v="Core Public Service Vocabulary Application Profile 2.2"/>
    <s v="CPSV-AP"/>
    <m/>
    <s v="EC"/>
    <s v="2.2.0"/>
    <m/>
    <x v="10"/>
    <x v="0"/>
    <x v="3"/>
    <n v="0"/>
    <n v="1"/>
    <n v="6"/>
    <x v="2"/>
  </r>
  <r>
    <x v="0"/>
    <s v="Simple Knowledge Organisation system (SKOS)"/>
    <s v="SKOS"/>
    <m/>
    <s v="W3C"/>
    <s v="1.0.0"/>
    <m/>
    <x v="0"/>
    <x v="0"/>
    <x v="0"/>
    <n v="0"/>
    <n v="0"/>
    <n v="4"/>
    <x v="0"/>
  </r>
  <r>
    <x v="0"/>
    <s v="Directive 2014/25/EU of the European Parliament and of the Council of 26 February 2014 on procurement by entities operating in the water, energy, transport and postal services sectors and repealing Directive 2004/17/EC Text with EEA relevance"/>
    <m/>
    <s v="Directive 2014/25/EU"/>
    <s v="OP"/>
    <s v="L 94/243"/>
    <m/>
    <x v="9"/>
    <x v="0"/>
    <x v="0"/>
    <n v="1"/>
    <n v="0"/>
    <n v="0"/>
    <x v="0"/>
  </r>
  <r>
    <x v="0"/>
    <s v="Data Privacy Vocabulary (DPV)"/>
    <s v="DPV"/>
    <m/>
    <s v="W3C"/>
    <s v="1.0.0"/>
    <m/>
    <x v="15"/>
    <x v="0"/>
    <x v="0"/>
    <n v="0"/>
    <n v="1"/>
    <n v="10"/>
    <x v="2"/>
  </r>
  <r>
    <x v="0"/>
    <s v="AES (Advanced Encryption Standard)"/>
    <s v="AES"/>
    <m/>
    <s v="NIST"/>
    <s v="1.0.0"/>
    <m/>
    <x v="6"/>
    <x v="1"/>
    <x v="5"/>
    <n v="0"/>
    <n v="0"/>
    <n v="0"/>
    <x v="1"/>
  </r>
  <r>
    <x v="0"/>
    <s v="BSI C5"/>
    <m/>
    <m/>
    <s v="BSI"/>
    <s v="C5:2020"/>
    <m/>
    <x v="5"/>
    <x v="0"/>
    <x v="2"/>
    <n v="0"/>
    <n v="0"/>
    <n v="2"/>
    <x v="0"/>
  </r>
  <r>
    <x v="0"/>
    <s v="Communication COM (2011) 882, open data, engine of innnovation, growth and transparent government"/>
    <m/>
    <m/>
    <s v="OP"/>
    <s v="COM(2011) 882"/>
    <m/>
    <x v="9"/>
    <x v="0"/>
    <x v="0"/>
    <n v="1"/>
    <n v="0"/>
    <n v="0"/>
    <x v="0"/>
  </r>
  <r>
    <x v="0"/>
    <s v="International Data Spaces Information Model"/>
    <s v="IDSA IM"/>
    <m/>
    <s v="IDSA"/>
    <s v="4.2.0"/>
    <m/>
    <x v="0"/>
    <x v="0"/>
    <x v="0"/>
    <n v="0"/>
    <n v="0"/>
    <n v="2"/>
    <x v="0"/>
  </r>
  <r>
    <x v="0"/>
    <s v="AES-CMAC algorithm"/>
    <m/>
    <m/>
    <s v="IETF"/>
    <s v="3.0.0"/>
    <m/>
    <x v="7"/>
    <x v="0"/>
    <x v="1"/>
    <n v="0"/>
    <n v="0"/>
    <n v="0"/>
    <x v="0"/>
  </r>
  <r>
    <x v="0"/>
    <s v="Uniform Basis for Exchanging Representations (UBER)"/>
    <s v="UBER"/>
    <m/>
    <s v="amundsen.com"/>
    <s v="1.0.0"/>
    <m/>
    <x v="7"/>
    <x v="0"/>
    <x v="1"/>
    <n v="0"/>
    <n v="0"/>
    <n v="0"/>
    <x v="0"/>
  </r>
  <r>
    <x v="0"/>
    <s v="JSON Web Key JWK"/>
    <s v="JWK"/>
    <m/>
    <s v="IETF"/>
    <s v="May 2025"/>
    <m/>
    <x v="7"/>
    <x v="0"/>
    <x v="1"/>
    <n v="0"/>
    <n v="0"/>
    <n v="0"/>
    <x v="0"/>
  </r>
  <r>
    <x v="0"/>
    <s v="Service Metadata Publishing (SMP) Version 2.0"/>
    <s v="SMP"/>
    <m/>
    <s v="OASIS"/>
    <s v="2.0.0"/>
    <m/>
    <x v="5"/>
    <x v="0"/>
    <x v="2"/>
    <n v="0"/>
    <n v="0"/>
    <n v="2"/>
    <x v="2"/>
  </r>
  <r>
    <x v="0"/>
    <s v="YAMATO (Yet Another More Advanced Top Ontology)"/>
    <s v="YAMATO"/>
    <m/>
    <s v="Hozo"/>
    <s v="2.0.0"/>
    <m/>
    <x v="0"/>
    <x v="0"/>
    <x v="0"/>
    <n v="0"/>
    <n v="0"/>
    <n v="1"/>
    <x v="0"/>
  </r>
  <r>
    <x v="0"/>
    <s v="SCIM Core Schema"/>
    <m/>
    <m/>
    <s v="IETF"/>
    <s v="22.0.0"/>
    <m/>
    <x v="7"/>
    <x v="0"/>
    <x v="1"/>
    <n v="0"/>
    <n v="0"/>
    <n v="0"/>
    <x v="1"/>
  </r>
  <r>
    <x v="0"/>
    <s v="NetCDF Markup Language"/>
    <m/>
    <m/>
    <s v="UCAR"/>
    <s v="2.0.0"/>
    <m/>
    <x v="0"/>
    <x v="0"/>
    <x v="0"/>
    <n v="0"/>
    <n v="0"/>
    <n v="2"/>
    <x v="0"/>
  </r>
  <r>
    <x v="0"/>
    <s v="Fetch API Living Standard"/>
    <m/>
    <m/>
    <s v="W3C"/>
    <s v="1.0.0"/>
    <m/>
    <x v="12"/>
    <x v="0"/>
    <x v="0"/>
    <n v="0"/>
    <n v="0"/>
    <n v="0"/>
    <x v="0"/>
  </r>
  <r>
    <x v="0"/>
    <s v="EDAMIS Web Application (EWA)"/>
    <s v="EWA"/>
    <m/>
    <s v="EC"/>
    <s v="3.1.8"/>
    <m/>
    <x v="1"/>
    <x v="1"/>
    <x v="0"/>
    <n v="0"/>
    <n v="0"/>
    <n v="0"/>
    <x v="0"/>
  </r>
  <r>
    <x v="0"/>
    <s v="ETSI TR 103 603 Guidance for providers and standardisation makers"/>
    <m/>
    <s v="ETSI TR 103 603"/>
    <s v="ETSI"/>
    <s v="1.1.1"/>
    <m/>
    <x v="2"/>
    <x v="0"/>
    <x v="0"/>
    <n v="0"/>
    <n v="2"/>
    <n v="0"/>
    <x v="0"/>
  </r>
  <r>
    <x v="0"/>
    <s v="E-ARK Dissemination Information Package (DIP)"/>
    <s v="E-ARK DIP"/>
    <m/>
    <s v="DILCIS Board"/>
    <s v="2.1.0"/>
    <m/>
    <x v="7"/>
    <x v="0"/>
    <x v="1"/>
    <n v="0"/>
    <n v="0"/>
    <n v="0"/>
    <x v="0"/>
  </r>
  <r>
    <x v="0"/>
    <s v="RDF-star and SPARQL-star"/>
    <m/>
    <m/>
    <s v="W3C"/>
    <s v="1.0.0"/>
    <m/>
    <x v="7"/>
    <x v="0"/>
    <x v="2"/>
    <n v="0"/>
    <n v="0"/>
    <n v="0"/>
    <x v="0"/>
  </r>
  <r>
    <x v="0"/>
    <s v="Web Feature Service (WFC)"/>
    <s v="WFC"/>
    <m/>
    <s v="OGC"/>
    <s v="2.0.2"/>
    <m/>
    <x v="13"/>
    <x v="0"/>
    <x v="2"/>
    <n v="0"/>
    <n v="1"/>
    <n v="0"/>
    <x v="0"/>
  </r>
  <r>
    <x v="0"/>
    <s v="SIREN"/>
    <m/>
    <m/>
    <s v="Siren Hypermedia"/>
    <s v="1.0.0"/>
    <m/>
    <x v="5"/>
    <x v="0"/>
    <x v="5"/>
    <n v="0"/>
    <n v="0"/>
    <n v="1"/>
    <x v="0"/>
  </r>
  <r>
    <x v="0"/>
    <s v="INSPIRE Directive 2007/2/EC of 14 March 2007, Article 18"/>
    <s v="INSPIRE"/>
    <s v="Directive 2007/2/EC"/>
    <s v="OP"/>
    <s v="L 108/1"/>
    <m/>
    <x v="9"/>
    <x v="0"/>
    <x v="0"/>
    <n v="5"/>
    <n v="0"/>
    <n v="0"/>
    <x v="0"/>
  </r>
  <r>
    <x v="0"/>
    <s v="EBSI OpenID Connect for Verifiable Credentials (EBSI-OpenID4VC)"/>
    <s v="EBSI-OpenID4VC"/>
    <m/>
    <s v="EC"/>
    <s v="1.0.0"/>
    <m/>
    <x v="1"/>
    <x v="1"/>
    <x v="0"/>
    <n v="0"/>
    <n v="0"/>
    <n v="0"/>
    <x v="0"/>
  </r>
  <r>
    <x v="0"/>
    <s v="Portable Document Format/A (PDF/A)"/>
    <s v="PDF/A"/>
    <m/>
    <s v="ISO"/>
    <s v="1.0.0"/>
    <m/>
    <x v="12"/>
    <x v="0"/>
    <x v="0"/>
    <n v="0"/>
    <n v="0"/>
    <n v="0"/>
    <x v="0"/>
  </r>
  <r>
    <x v="0"/>
    <s v="European Interoperability Framework"/>
    <s v="EIF"/>
    <m/>
    <s v="EC"/>
    <s v="3.0.0"/>
    <m/>
    <x v="12"/>
    <x v="0"/>
    <x v="0"/>
    <n v="0"/>
    <n v="0"/>
    <n v="0"/>
    <x v="0"/>
  </r>
  <r>
    <x v="0"/>
    <s v="Open Document Format for Office Applications (ODF) v1.2"/>
    <s v="ODF"/>
    <m/>
    <s v="ISO"/>
    <s v="1.2.0"/>
    <m/>
    <x v="12"/>
    <x v="0"/>
    <x v="0"/>
    <n v="0"/>
    <n v="0"/>
    <n v="0"/>
    <x v="0"/>
  </r>
  <r>
    <x v="0"/>
    <s v="INTERINSTITUTIONAL AGREEMENT BETWEEN THE EUROPEAN PARLIAMENT, THE COUNCIL OF THE EUROPEAN UNION AND THE EUROPEAN COMMISSION ON BETTER LAW-MAKING"/>
    <m/>
    <m/>
    <s v="OP"/>
    <s v="1.0.0"/>
    <m/>
    <x v="9"/>
    <x v="0"/>
    <x v="0"/>
    <n v="4"/>
    <n v="0"/>
    <n v="0"/>
    <x v="0"/>
  </r>
  <r>
    <x v="0"/>
    <s v="Metadata Binding Mechanism"/>
    <m/>
    <m/>
    <s v="NATO"/>
    <s v="1.0.0"/>
    <m/>
    <x v="0"/>
    <x v="0"/>
    <x v="0"/>
    <n v="0"/>
    <n v="0"/>
    <n v="1"/>
    <x v="0"/>
  </r>
  <r>
    <x v="0"/>
    <s v="SPARQL 1.1 Protocol"/>
    <m/>
    <m/>
    <s v="W3C"/>
    <s v="1.1.0"/>
    <m/>
    <x v="7"/>
    <x v="0"/>
    <x v="4"/>
    <n v="0"/>
    <n v="0"/>
    <n v="0"/>
    <x v="0"/>
  </r>
  <r>
    <x v="0"/>
    <s v="Semantic data model of the core elements of an electronic invoice (EN 16931-1:2017)"/>
    <m/>
    <s v="EN 16931-1:2017"/>
    <s v="CEN-CENELEC"/>
    <s v="1.0.0"/>
    <m/>
    <x v="0"/>
    <x v="0"/>
    <x v="0"/>
    <n v="0"/>
    <n v="0"/>
    <n v="3"/>
    <x v="0"/>
  </r>
  <r>
    <x v="0"/>
    <s v="Blazegraph"/>
    <m/>
    <m/>
    <s v="Blazegraph"/>
    <s v="2.1.6"/>
    <m/>
    <x v="7"/>
    <x v="0"/>
    <x v="5"/>
    <n v="0"/>
    <n v="0"/>
    <n v="0"/>
    <x v="0"/>
  </r>
  <r>
    <x v="0"/>
    <s v="Web electronic identity (Web eID)"/>
    <m/>
    <s v="Web eID"/>
    <s v="ID"/>
    <s v="2.6.0"/>
    <m/>
    <x v="7"/>
    <x v="0"/>
    <x v="6"/>
    <n v="0"/>
    <n v="0"/>
    <n v="0"/>
    <x v="0"/>
  </r>
  <r>
    <x v="0"/>
    <s v="gRPC"/>
    <s v="gRPC"/>
    <m/>
    <s v="gRPC"/>
    <s v="1.0.0"/>
    <m/>
    <x v="1"/>
    <x v="2"/>
    <x v="0"/>
    <n v="0"/>
    <n v="0"/>
    <n v="0"/>
    <x v="0"/>
  </r>
  <r>
    <x v="0"/>
    <s v="NUTS"/>
    <s v="NUTS"/>
    <m/>
    <s v="OP"/>
    <s v="1.9.0"/>
    <m/>
    <x v="0"/>
    <x v="0"/>
    <x v="0"/>
    <n v="0"/>
    <n v="0"/>
    <n v="2"/>
    <x v="1"/>
  </r>
  <r>
    <x v="0"/>
    <s v="DECISION (EU) 2018/646 OF THE EUROPEAN PARLIAMENT AND OF THE COUNCIL of 18 April 2018 on a common framework for the provision of better services for skills and qualifications (Europass) and repealing Decision No 2241/2004/EC (Text with EEA relevance)"/>
    <m/>
    <s v="Decision 2018/646/EU"/>
    <s v="OP"/>
    <s v="L 112/42"/>
    <m/>
    <x v="9"/>
    <x v="0"/>
    <x v="0"/>
    <n v="5"/>
    <n v="0"/>
    <n v="0"/>
    <x v="0"/>
  </r>
  <r>
    <x v="0"/>
    <s v="Regulation (EC) No 1049/2001 of the European Parliament and of the Council of 30 May 2001 regarding public access to European Parliament, Council and Commission documents"/>
    <m/>
    <s v="Regulation 1049/2001/EC"/>
    <s v="OP"/>
    <s v="L 145"/>
    <m/>
    <x v="9"/>
    <x v="0"/>
    <x v="0"/>
    <n v="1"/>
    <n v="0"/>
    <n v="0"/>
    <x v="0"/>
  </r>
  <r>
    <x v="0"/>
    <s v="OPC Unified Architecture (OPC UA)"/>
    <s v="OPC UA"/>
    <m/>
    <s v="OPC"/>
    <s v="1.0.0"/>
    <m/>
    <x v="0"/>
    <x v="0"/>
    <x v="0"/>
    <n v="0"/>
    <n v="0"/>
    <n v="3"/>
    <x v="0"/>
  </r>
  <r>
    <x v="0"/>
    <s v="REST"/>
    <s v="REST"/>
    <m/>
    <s v="RESTfulAPI"/>
    <s v="1.0.0"/>
    <m/>
    <x v="7"/>
    <x v="0"/>
    <x v="2"/>
    <n v="0"/>
    <n v="0"/>
    <n v="0"/>
    <x v="1"/>
  </r>
  <r>
    <x v="0"/>
    <s v="OpenDEI Position Paper: Design Principles for Data Spaces"/>
    <m/>
    <m/>
    <s v="OpenDEI"/>
    <s v="1.0.0"/>
    <m/>
    <x v="13"/>
    <x v="0"/>
    <x v="5"/>
    <n v="0"/>
    <n v="1"/>
    <n v="0"/>
    <x v="0"/>
  </r>
  <r>
    <x v="0"/>
    <s v="BSBA Technical Convergence Discussion Document"/>
    <m/>
    <m/>
    <s v="DSBA"/>
    <s v="2.0.0"/>
    <m/>
    <x v="13"/>
    <x v="0"/>
    <x v="5"/>
    <n v="0"/>
    <n v="1"/>
    <n v="0"/>
    <x v="0"/>
  </r>
  <r>
    <x v="0"/>
    <s v="ISO 9241-11:2018 Ergonomics of human-system interaction - Part 11: Usability: Definitions and concepts"/>
    <m/>
    <s v="ISO 9241-11:2018"/>
    <s v="ISO"/>
    <s v="2.0.0"/>
    <m/>
    <x v="7"/>
    <x v="0"/>
    <x v="1"/>
    <n v="0"/>
    <n v="0"/>
    <n v="0"/>
    <x v="0"/>
  </r>
  <r>
    <x v="0"/>
    <s v="Asset Description Metadata Schema"/>
    <s v="ADMS"/>
    <m/>
    <s v="W3C"/>
    <s v="2.0.0"/>
    <m/>
    <x v="5"/>
    <x v="0"/>
    <x v="4"/>
    <n v="0"/>
    <n v="0"/>
    <n v="9"/>
    <x v="0"/>
  </r>
  <r>
    <x v="0"/>
    <s v="eDelivery SMP"/>
    <m/>
    <m/>
    <s v="EC"/>
    <s v="2.1.0"/>
    <m/>
    <x v="7"/>
    <x v="0"/>
    <x v="1"/>
    <n v="0"/>
    <n v="0"/>
    <n v="0"/>
    <x v="0"/>
  </r>
  <r>
    <x v="0"/>
    <s v="eDelivery Access Point Domibus"/>
    <s v="AP"/>
    <s v="eDelivery AP Domibus"/>
    <s v="EC"/>
    <s v="5.1.8"/>
    <m/>
    <x v="1"/>
    <x v="5"/>
    <x v="0"/>
    <n v="0"/>
    <n v="0"/>
    <n v="0"/>
    <x v="0"/>
  </r>
  <r>
    <x v="1"/>
    <s v="A Framework for Multicast in Network Virtualization over Layer 3 RFC 8293"/>
    <m/>
    <s v="RFC 8293"/>
    <s v="IETF"/>
    <s v="2.0.0"/>
    <m/>
    <x v="1"/>
    <x v="1"/>
    <x v="0"/>
    <n v="0"/>
    <n v="0"/>
    <n v="0"/>
    <x v="0"/>
  </r>
  <r>
    <x v="1"/>
    <s v="XSLT"/>
    <s v="XSLT"/>
    <m/>
    <s v="W3C"/>
    <s v="3.0.0"/>
    <m/>
    <x v="7"/>
    <x v="0"/>
    <x v="1"/>
    <n v="0"/>
    <n v="0"/>
    <n v="0"/>
    <x v="2"/>
  </r>
  <r>
    <x v="1"/>
    <s v="JSON Schema"/>
    <m/>
    <m/>
    <s v="JSON SCHEMA"/>
    <s v="2.0.0"/>
    <m/>
    <x v="0"/>
    <x v="0"/>
    <x v="0"/>
    <n v="0"/>
    <n v="0"/>
    <n v="2"/>
    <x v="0"/>
  </r>
  <r>
    <x v="1"/>
    <s v="International Standard on Assurance Engagements 3402 (ISAE 3402)"/>
    <m/>
    <s v="ISAE 3402"/>
    <s v="IAASB"/>
    <s v="1.0.0"/>
    <m/>
    <x v="2"/>
    <x v="0"/>
    <x v="0"/>
    <n v="0"/>
    <n v="1"/>
    <n v="0"/>
    <x v="1"/>
  </r>
  <r>
    <x v="1"/>
    <s v="Standard for Public Code"/>
    <m/>
    <m/>
    <s v="EC"/>
    <s v="0.2.2"/>
    <m/>
    <x v="12"/>
    <x v="0"/>
    <x v="0"/>
    <n v="0"/>
    <n v="0"/>
    <n v="0"/>
    <x v="0"/>
  </r>
  <r>
    <x v="1"/>
    <s v="Portable Document Format v 1.7 (PDF 1.7)"/>
    <s v="PDF"/>
    <m/>
    <s v="ISO"/>
    <s v="1.7.0"/>
    <m/>
    <x v="12"/>
    <x v="0"/>
    <x v="0"/>
    <n v="0"/>
    <n v="0"/>
    <n v="0"/>
    <x v="0"/>
  </r>
  <r>
    <x v="1"/>
    <s v="Portable Network Graphics (PNG)"/>
    <s v="PNG"/>
    <m/>
    <s v="ISO"/>
    <s v="1.0.0"/>
    <m/>
    <x v="12"/>
    <x v="0"/>
    <x v="0"/>
    <n v="0"/>
    <n v="0"/>
    <n v="0"/>
    <x v="0"/>
  </r>
  <r>
    <x v="1"/>
    <s v="Web Application Description Language (WADL)"/>
    <s v="WADL"/>
    <m/>
    <s v="W3C"/>
    <s v="1.0.0"/>
    <m/>
    <x v="7"/>
    <x v="0"/>
    <x v="1"/>
    <n v="0"/>
    <n v="0"/>
    <n v="0"/>
    <x v="0"/>
  </r>
  <r>
    <x v="1"/>
    <s v="CAdES (CMS Advanced Electronic Signature) Baseline Profile"/>
    <s v="CAdES"/>
    <m/>
    <s v="ETSI"/>
    <s v="2.2.1"/>
    <m/>
    <x v="7"/>
    <x v="0"/>
    <x v="6"/>
    <n v="0"/>
    <n v="0"/>
    <n v="0"/>
    <x v="1"/>
  </r>
  <r>
    <x v="1"/>
    <s v="Comma-Separated Values (CSV) (RFC 4180)"/>
    <s v="CSV"/>
    <s v="RFC 4180"/>
    <s v="IETF"/>
    <s v="5.0.0"/>
    <m/>
    <x v="0"/>
    <x v="0"/>
    <x v="0"/>
    <n v="0"/>
    <n v="0"/>
    <n v="2"/>
    <x v="2"/>
  </r>
  <r>
    <x v="1"/>
    <s v="Electronic Signatures and Trust Infrastructures (ESI); Policy and security requirements for  Trust Service Providers issuing certificates; Part 2: Requirements for trust service providers issuing EU qualified certificates (ETSI EN 319 411-2)"/>
    <m/>
    <s v="ETSI EN 319 411-2"/>
    <s v="ETSI"/>
    <s v="2.6.1"/>
    <m/>
    <x v="7"/>
    <x v="0"/>
    <x v="2"/>
    <n v="0"/>
    <n v="0"/>
    <n v="0"/>
    <x v="0"/>
  </r>
  <r>
    <x v="1"/>
    <s v="Software Package Data Exchange (SPDX)"/>
    <s v="SPDX"/>
    <m/>
    <s v="Linux Foundation"/>
    <s v="3.0.0"/>
    <m/>
    <x v="5"/>
    <x v="0"/>
    <x v="1"/>
    <n v="0"/>
    <n v="0"/>
    <n v="1"/>
    <x v="0"/>
  </r>
  <r>
    <x v="1"/>
    <s v="ISO/IEC 27001 INFORMATION SECURITY MANAGEMENT"/>
    <m/>
    <s v="ISO/IEC 27001:2022"/>
    <s v="ISO"/>
    <s v="2.0.0"/>
    <m/>
    <x v="2"/>
    <x v="0"/>
    <x v="0"/>
    <n v="0"/>
    <n v="2"/>
    <n v="0"/>
    <x v="1"/>
  </r>
  <r>
    <x v="1"/>
    <s v="EN 16931-1:2017+A1:2019/AC:2020"/>
    <m/>
    <s v="EN 16931-1:2017+A1:2019/AC:2020"/>
    <s v="ETSI"/>
    <s v="1.0.0"/>
    <m/>
    <x v="5"/>
    <x v="0"/>
    <x v="1"/>
    <n v="0"/>
    <n v="0"/>
    <n v="5"/>
    <x v="0"/>
  </r>
  <r>
    <x v="1"/>
    <s v="ISO 3166-1:2020 Codes for the representation of names of countries and their subdivisions -- Part 1: Country codes"/>
    <m/>
    <s v="ISO 3166-1"/>
    <s v="ISO"/>
    <s v="None"/>
    <m/>
    <x v="12"/>
    <x v="0"/>
    <x v="0"/>
    <n v="0"/>
    <n v="0"/>
    <n v="0"/>
    <x v="0"/>
  </r>
  <r>
    <x v="1"/>
    <s v="ISO/IEC 19757-3:2016 Information technology -- Document Schema Definition Languages (DSDL) -- Part 3: Rule-based validation -- Schematron"/>
    <s v="DSDL"/>
    <m/>
    <s v="ISO"/>
    <s v="2.0.0"/>
    <m/>
    <x v="7"/>
    <x v="0"/>
    <x v="1"/>
    <n v="0"/>
    <n v="0"/>
    <n v="0"/>
    <x v="0"/>
  </r>
  <r>
    <x v="1"/>
    <s v="Human Resources (HR) Open Standards"/>
    <m/>
    <m/>
    <s v="HR Open Standards"/>
    <s v="4.2.0"/>
    <m/>
    <x v="0"/>
    <x v="0"/>
    <x v="0"/>
    <n v="0"/>
    <n v="0"/>
    <n v="8"/>
    <x v="0"/>
  </r>
  <r>
    <x v="1"/>
    <s v="L2TP over IPSec using ESP transport mode (L2TP/IPSec)"/>
    <s v="L2TP/IPSec"/>
    <m/>
    <s v="IETF"/>
    <s v="2.0.0"/>
    <m/>
    <x v="1"/>
    <x v="1"/>
    <x v="0"/>
    <n v="0"/>
    <n v="0"/>
    <n v="0"/>
    <x v="0"/>
  </r>
  <r>
    <x v="1"/>
    <s v="XML Advanced Electronic Signatures (XAdES) - ISO 14533-2:2012"/>
    <s v="XAdES"/>
    <s v="ISO 14533-2:2012"/>
    <s v="ISO"/>
    <s v="2.0.0"/>
    <m/>
    <x v="12"/>
    <x v="0"/>
    <x v="0"/>
    <n v="0"/>
    <n v="0"/>
    <n v="0"/>
    <x v="0"/>
  </r>
  <r>
    <x v="1"/>
    <s v="IEEE 7001-2021 - IEEE Standard for Transparency of Autonomous Systems"/>
    <m/>
    <s v="IEEE 7001-2021"/>
    <s v="IEEE"/>
    <s v="1.0.0"/>
    <m/>
    <x v="7"/>
    <x v="0"/>
    <x v="1"/>
    <n v="0"/>
    <n v="0"/>
    <n v="0"/>
    <x v="0"/>
  </r>
  <r>
    <x v="1"/>
    <s v="WebFinger protocol"/>
    <m/>
    <m/>
    <s v="IETF"/>
    <s v="1.0.0"/>
    <m/>
    <x v="7"/>
    <x v="0"/>
    <x v="5"/>
    <n v="0"/>
    <n v="0"/>
    <n v="0"/>
    <x v="0"/>
  </r>
  <r>
    <x v="1"/>
    <s v="CMS Advanced Electronic Signatures (CAdES) - ISO 14533-1:2014"/>
    <s v="CAdES"/>
    <s v="ISO 14533-1:2014"/>
    <s v="ISO"/>
    <s v="None"/>
    <m/>
    <x v="12"/>
    <x v="0"/>
    <x v="0"/>
    <n v="0"/>
    <n v="0"/>
    <n v="0"/>
    <x v="0"/>
  </r>
  <r>
    <x v="1"/>
    <s v="GS1 EANCOM Syntax 4 standard"/>
    <m/>
    <m/>
    <s v="GS1"/>
    <s v="4.0.0"/>
    <m/>
    <x v="0"/>
    <x v="0"/>
    <x v="0"/>
    <n v="0"/>
    <n v="0"/>
    <n v="2"/>
    <x v="0"/>
  </r>
  <r>
    <x v="1"/>
    <s v="CEN/TC 428 - ICT Professionalism and Digital Competences - European Competency Framework (The European Union's European e-Competence Framework (e-CF)"/>
    <s v="e-CF"/>
    <s v="CEN/TC 428"/>
    <s v="CEN-CENELEC"/>
    <s v="4.0.0"/>
    <m/>
    <x v="2"/>
    <x v="0"/>
    <x v="0"/>
    <n v="0"/>
    <n v="1"/>
    <n v="0"/>
    <x v="1"/>
  </r>
  <r>
    <x v="1"/>
    <s v="Tag image file format for image technology (TIFF/IT)"/>
    <s v="TIFF/IT"/>
    <s v="ISO 12639:2004"/>
    <s v="ISO"/>
    <s v="1.0.0"/>
    <m/>
    <x v="12"/>
    <x v="0"/>
    <x v="0"/>
    <n v="0"/>
    <n v="0"/>
    <n v="0"/>
    <x v="0"/>
  </r>
  <r>
    <x v="1"/>
    <s v="LegalRuleML"/>
    <m/>
    <m/>
    <s v="OASIS"/>
    <s v="1.0.0"/>
    <m/>
    <x v="9"/>
    <x v="0"/>
    <x v="0"/>
    <n v="5"/>
    <n v="0"/>
    <n v="0"/>
    <x v="1"/>
  </r>
  <r>
    <x v="1"/>
    <s v="GS1 EANCOM Syntax 3 standard"/>
    <m/>
    <m/>
    <s v="GS1"/>
    <s v="3.0.0"/>
    <m/>
    <x v="0"/>
    <x v="0"/>
    <x v="0"/>
    <n v="0"/>
    <n v="0"/>
    <n v="2"/>
    <x v="0"/>
  </r>
  <r>
    <x v="1"/>
    <s v="XAdES (XML Advanced Electronic Signatures) Baseline Profile"/>
    <s v="XAdES"/>
    <m/>
    <s v="ETSI"/>
    <s v="2.2.1"/>
    <m/>
    <x v="7"/>
    <x v="0"/>
    <x v="6"/>
    <n v="0"/>
    <n v="0"/>
    <n v="0"/>
    <x v="1"/>
  </r>
  <r>
    <x v="1"/>
    <s v="HyperText Markup Language v5 (HTML5)"/>
    <s v="HTML5"/>
    <m/>
    <s v="W3C"/>
    <s v="5.0.0"/>
    <m/>
    <x v="0"/>
    <x v="0"/>
    <x v="0"/>
    <n v="0"/>
    <n v="0"/>
    <n v="1"/>
    <x v="1"/>
  </r>
  <r>
    <x v="1"/>
    <s v="Generic Statistical Business Process Model (GSBPM)"/>
    <s v="GSBPM"/>
    <m/>
    <s v="UNECE"/>
    <s v="5.1.0"/>
    <m/>
    <x v="0"/>
    <x v="0"/>
    <x v="0"/>
    <n v="0"/>
    <n v="0"/>
    <n v="2"/>
    <x v="0"/>
  </r>
  <r>
    <x v="1"/>
    <s v="ISO 17100:2015 - Translation services -- Requirements for translation services ISO"/>
    <m/>
    <s v="ISO 17100:2015"/>
    <s v="ISO"/>
    <s v="1.0.0"/>
    <m/>
    <x v="7"/>
    <x v="0"/>
    <x v="1"/>
    <n v="0"/>
    <n v="0"/>
    <n v="0"/>
    <x v="0"/>
  </r>
  <r>
    <x v="1"/>
    <s v="Mobile Application Security Verification Standard (MASVS)"/>
    <s v="MASVS"/>
    <m/>
    <s v="OWASP"/>
    <s v="1.0.0"/>
    <m/>
    <x v="0"/>
    <x v="0"/>
    <x v="0"/>
    <n v="0"/>
    <n v="0"/>
    <n v="2"/>
    <x v="0"/>
  </r>
  <r>
    <x v="1"/>
    <s v="ISO/IEC 20000-1:2018 Information technology — Service management — Part 1: Service management system requirements"/>
    <m/>
    <s v="ISO/IEC 20000-1:2018"/>
    <s v="ISO"/>
    <s v="3.0.0"/>
    <m/>
    <x v="7"/>
    <x v="0"/>
    <x v="5"/>
    <n v="0"/>
    <n v="0"/>
    <n v="0"/>
    <x v="0"/>
  </r>
  <r>
    <x v="1"/>
    <s v="PDF Advanced Electronic Signatures (PAdES) - ISO 14533-3:2017"/>
    <s v="PAdES"/>
    <s v="ISO 14533-3:2017"/>
    <s v="ISO"/>
    <s v="1.0.0"/>
    <m/>
    <x v="12"/>
    <x v="0"/>
    <x v="0"/>
    <n v="0"/>
    <n v="0"/>
    <n v="0"/>
    <x v="0"/>
  </r>
  <r>
    <x v="1"/>
    <s v="ISO 19011:2018 Guidelines for auditing management systems"/>
    <m/>
    <s v="ISO 19011:2018"/>
    <s v="ISO"/>
    <s v="3.0.0"/>
    <m/>
    <x v="7"/>
    <x v="0"/>
    <x v="1"/>
    <n v="0"/>
    <n v="0"/>
    <n v="0"/>
    <x v="0"/>
  </r>
  <r>
    <x v="1"/>
    <s v="Joint Photographic Experts Group (JPEG)"/>
    <s v="JPEG"/>
    <m/>
    <s v="ISO"/>
    <s v="1.0.0"/>
    <m/>
    <x v="12"/>
    <x v="0"/>
    <x v="0"/>
    <n v="0"/>
    <n v="0"/>
    <n v="0"/>
    <x v="0"/>
  </r>
  <r>
    <x v="1"/>
    <s v="ISO 639-2:1998 Codes for the representation of names of languages -- Part 2: Alpha-3 code"/>
    <m/>
    <s v="ISO 639-2:1998"/>
    <s v="LoC"/>
    <s v="2.0.0"/>
    <m/>
    <x v="0"/>
    <x v="0"/>
    <x v="0"/>
    <n v="0"/>
    <n v="0"/>
    <n v="2"/>
    <x v="1"/>
  </r>
  <r>
    <x v="1"/>
    <s v="NUTS"/>
    <s v="NUTS"/>
    <s v="Nomenclature of territorial units for statistics 2024"/>
    <s v="EC"/>
    <s v="2024"/>
    <m/>
    <x v="0"/>
    <x v="0"/>
    <x v="0"/>
    <n v="0"/>
    <n v="0"/>
    <n v="5"/>
    <x v="0"/>
  </r>
  <r>
    <x v="1"/>
    <s v="PAdES (PDF Advanced Electronic Signature) Baseline Profile"/>
    <s v="PAdES"/>
    <m/>
    <s v="ETSI"/>
    <s v="2.2.1"/>
    <m/>
    <x v="7"/>
    <x v="0"/>
    <x v="6"/>
    <n v="0"/>
    <n v="0"/>
    <n v="0"/>
    <x v="1"/>
  </r>
  <r>
    <x v="1"/>
    <s v="LegalDocML"/>
    <m/>
    <m/>
    <s v="OASIS"/>
    <s v="1.0.0"/>
    <m/>
    <x v="9"/>
    <x v="0"/>
    <x v="0"/>
    <n v="5"/>
    <n v="0"/>
    <n v="0"/>
    <x v="1"/>
  </r>
  <r>
    <x v="1"/>
    <s v="Transport Layer Security (TLS) Transport Mapping for Syslog"/>
    <m/>
    <m/>
    <s v="IETF"/>
    <s v="1.0.0"/>
    <m/>
    <x v="7"/>
    <x v="0"/>
    <x v="3"/>
    <n v="0"/>
    <n v="0"/>
    <n v="0"/>
    <x v="0"/>
  </r>
  <r>
    <x v="1"/>
    <s v="Fetch API Living Standard"/>
    <m/>
    <m/>
    <s v="W3C"/>
    <s v="1.0.0"/>
    <m/>
    <x v="12"/>
    <x v="0"/>
    <x v="0"/>
    <n v="0"/>
    <n v="0"/>
    <n v="0"/>
    <x v="0"/>
  </r>
  <r>
    <x v="1"/>
    <s v="Portable Document Format/A (PDF/A)"/>
    <s v="PDF/A"/>
    <m/>
    <s v="ISO"/>
    <s v="1.0.0"/>
    <m/>
    <x v="12"/>
    <x v="0"/>
    <x v="0"/>
    <n v="0"/>
    <n v="0"/>
    <n v="0"/>
    <x v="0"/>
  </r>
  <r>
    <x v="1"/>
    <s v="Open Document Format for Office Applications (ODF) v1.2"/>
    <s v="ODF"/>
    <m/>
    <s v="ISO"/>
    <s v="1.2.0"/>
    <m/>
    <x v="12"/>
    <x v="0"/>
    <x v="0"/>
    <n v="0"/>
    <n v="0"/>
    <n v="0"/>
    <x v="0"/>
  </r>
  <r>
    <x v="1"/>
    <s v="ISO 9241-11:2018 Ergonomics of human-system interaction - Part 11: Usability: Definitions and concepts"/>
    <m/>
    <s v="ISO 9241-11:2018"/>
    <s v="ISO"/>
    <s v="2.0.0"/>
    <m/>
    <x v="7"/>
    <x v="0"/>
    <x v="1"/>
    <n v="0"/>
    <n v="0"/>
    <n v="0"/>
    <x v="0"/>
  </r>
  <r>
    <x v="2"/>
    <s v="PROV Family"/>
    <s v="PROV"/>
    <m/>
    <s v="W3C"/>
    <s v="1.0.0"/>
    <m/>
    <x v="0"/>
    <x v="0"/>
    <x v="0"/>
    <n v="0"/>
    <n v="0"/>
    <n v="8"/>
    <x v="1"/>
  </r>
  <r>
    <x v="2"/>
    <s v="ISO/IEC 27000:2018 Information technology — Security techniques — Information security management systems — Overview and vocabulary"/>
    <m/>
    <s v="ISO/IEC 27000:2018"/>
    <s v="ISO"/>
    <s v="5.0.0"/>
    <m/>
    <x v="4"/>
    <x v="1"/>
    <x v="0"/>
    <n v="0"/>
    <n v="2"/>
    <n v="0"/>
    <x v="0"/>
  </r>
  <r>
    <x v="2"/>
    <s v="SHA-3"/>
    <s v="SHA-3"/>
    <m/>
    <s v="NIST"/>
    <s v="3.0.0"/>
    <m/>
    <x v="5"/>
    <x v="0"/>
    <x v="5"/>
    <n v="0"/>
    <n v="0"/>
    <n v="1"/>
    <x v="0"/>
  </r>
  <r>
    <x v="2"/>
    <s v="Peppol eDelivery Network Specifications"/>
    <m/>
    <m/>
    <s v="PEPPOL"/>
    <s v="1.0.0"/>
    <m/>
    <x v="1"/>
    <x v="2"/>
    <x v="0"/>
    <n v="0"/>
    <n v="0"/>
    <n v="0"/>
    <x v="0"/>
  </r>
  <r>
    <x v="2"/>
    <s v="CEF Building Blocks"/>
    <m/>
    <m/>
    <s v="EC"/>
    <s v="1.0.0"/>
    <m/>
    <x v="7"/>
    <x v="0"/>
    <x v="5"/>
    <n v="0"/>
    <n v="0"/>
    <n v="0"/>
    <x v="0"/>
  </r>
  <r>
    <x v="3"/>
    <s v="Core Public Service Vocabulary Application Profile (CPSV-AP) 3.2.0"/>
    <s v="CPSV-AP"/>
    <m/>
    <s v="EC"/>
    <s v="3.2.0"/>
    <m/>
    <x v="10"/>
    <x v="0"/>
    <x v="3"/>
    <n v="0"/>
    <n v="1"/>
    <n v="14"/>
    <x v="0"/>
  </r>
  <r>
    <x v="3"/>
    <s v="Reactive WebSocket"/>
    <m/>
    <m/>
    <s v="Spring"/>
    <s v="1.0.0"/>
    <m/>
    <x v="7"/>
    <x v="0"/>
    <x v="3"/>
    <n v="0"/>
    <n v="0"/>
    <n v="0"/>
    <x v="0"/>
  </r>
  <r>
    <x v="3"/>
    <s v="DCAT-AP v2.0.0"/>
    <s v="DCAT-AP"/>
    <m/>
    <s v="EC"/>
    <s v="2.0.0"/>
    <m/>
    <x v="5"/>
    <x v="0"/>
    <x v="2"/>
    <n v="0"/>
    <n v="0"/>
    <n v="8"/>
    <x v="2"/>
  </r>
  <r>
    <x v="3"/>
    <s v="Registered Organization Vocabulary"/>
    <s v="RegOrg"/>
    <m/>
    <s v="EC"/>
    <s v="1.0.0"/>
    <m/>
    <x v="0"/>
    <x v="0"/>
    <x v="0"/>
    <n v="0"/>
    <n v="0"/>
    <n v="7"/>
    <x v="2"/>
  </r>
  <r>
    <x v="3"/>
    <s v="Asset Description Metadata Schema (ADMS)"/>
    <s v="ADMS"/>
    <m/>
    <s v="W3C"/>
    <s v="1.0.0"/>
    <m/>
    <x v="5"/>
    <x v="0"/>
    <x v="4"/>
    <n v="0"/>
    <n v="0"/>
    <n v="9"/>
    <x v="2"/>
  </r>
  <r>
    <x v="3"/>
    <s v="Core Public Service Vocabulary Application Profile 2.2"/>
    <s v="CPSV-AP"/>
    <m/>
    <s v="EC"/>
    <s v="2.2.0"/>
    <m/>
    <x v="10"/>
    <x v="0"/>
    <x v="3"/>
    <n v="0"/>
    <n v="1"/>
    <n v="6"/>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952D4C-EC1D-4DB9-B5E8-AB6AFAF2AC9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F9" firstHeaderRow="0" firstDataRow="1" firstDataCol="1"/>
  <pivotFields count="14">
    <pivotField axis="axisRow" showAll="0">
      <items count="5">
        <item h="1" x="3"/>
        <item h="1" x="2"/>
        <item x="0"/>
        <item h="1" x="1"/>
        <item t="default"/>
      </items>
    </pivotField>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axis="axisRow" showAll="0">
      <items count="5">
        <item x="0"/>
        <item x="1"/>
        <item x="2"/>
        <item x="3"/>
        <item t="default"/>
      </items>
    </pivotField>
  </pivotFields>
  <rowFields count="2">
    <field x="0"/>
    <field x="13"/>
  </rowFields>
  <rowItems count="6">
    <i>
      <x v="2"/>
    </i>
    <i r="1">
      <x/>
    </i>
    <i r="1">
      <x v="1"/>
    </i>
    <i r="1">
      <x v="2"/>
    </i>
    <i r="1">
      <x v="3"/>
    </i>
    <i t="grand">
      <x/>
    </i>
  </rowItems>
  <colFields count="1">
    <field x="-2"/>
  </colFields>
  <colItems count="5">
    <i>
      <x/>
    </i>
    <i i="1">
      <x v="1"/>
    </i>
    <i i="2">
      <x v="2"/>
    </i>
    <i i="3">
      <x v="3"/>
    </i>
    <i i="4">
      <x v="4"/>
    </i>
  </colItems>
  <dataFields count="5">
    <dataField name="Sum of Tech Application" fld="9" baseField="0" baseItem="0"/>
    <dataField name="Sum of Tech Infrastructure" fld="8" baseField="0" baseItem="0"/>
    <dataField name="Sum of Legal View" fld="10" baseField="0" baseItem="0"/>
    <dataField name="Sum of Organisational View" fld="11" baseField="0" baseItem="0"/>
    <dataField name="Sum of Semantic View" fld="12" baseField="0" baseItem="0"/>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3"/>
          </reference>
        </references>
      </pivotArea>
    </chartFormat>
    <chartFormat chart="1" format="4" series="1">
      <pivotArea type="data" outline="0" fieldPosition="0">
        <references count="1">
          <reference field="4294967294" count="1" selected="0">
            <x v="4"/>
          </reference>
        </references>
      </pivotArea>
    </chartFormat>
    <chartFormat chart="1" format="5">
      <pivotArea type="data" outline="0" fieldPosition="0">
        <references count="3">
          <reference field="4294967294" count="1" selected="0">
            <x v="1"/>
          </reference>
          <reference field="0" count="1" selected="0">
            <x v="2"/>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92E7EDA-FE3C-4BC6-9BC9-5061C889B9E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8" firstHeaderRow="0" firstDataRow="1" firstDataCol="1"/>
  <pivotFields count="14">
    <pivotField axis="axisRow" showAll="0">
      <items count="5">
        <item x="3"/>
        <item x="2"/>
        <item x="0"/>
        <item x="1"/>
        <item t="default"/>
      </items>
    </pivotField>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showAll="0"/>
  </pivotFields>
  <rowFields count="1">
    <field x="0"/>
  </rowFields>
  <rowItems count="5">
    <i>
      <x/>
    </i>
    <i>
      <x v="1"/>
    </i>
    <i>
      <x v="2"/>
    </i>
    <i>
      <x v="3"/>
    </i>
    <i t="grand">
      <x/>
    </i>
  </rowItems>
  <colFields count="1">
    <field x="-2"/>
  </colFields>
  <colItems count="5">
    <i>
      <x/>
    </i>
    <i i="1">
      <x v="1"/>
    </i>
    <i i="2">
      <x v="2"/>
    </i>
    <i i="3">
      <x v="3"/>
    </i>
    <i i="4">
      <x v="4"/>
    </i>
  </colItems>
  <dataFields count="5">
    <dataField name="Sum of Tech Application" fld="9" baseField="0" baseItem="0"/>
    <dataField name="Sum of Tech Infrastructure" fld="8" baseField="0" baseItem="0"/>
    <dataField name="Sum of Legal View" fld="10" baseField="0" baseItem="0"/>
    <dataField name="Sum of Organisational View" fld="11" baseField="0" baseItem="0"/>
    <dataField name="Sum of Semantic View"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84FB98-AD20-4B40-B9DE-C337B0E38F1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8" firstHeaderRow="0" firstDataRow="1" firstDataCol="1"/>
  <pivotFields count="14">
    <pivotField axis="axisRow" showAll="0">
      <items count="5">
        <item x="3"/>
        <item x="2"/>
        <item x="0"/>
        <item x="1"/>
        <item t="default"/>
      </items>
    </pivotField>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5">
    <i>
      <x/>
    </i>
    <i>
      <x v="1"/>
    </i>
    <i>
      <x v="2"/>
    </i>
    <i>
      <x v="3"/>
    </i>
    <i t="grand">
      <x/>
    </i>
  </rowItems>
  <colFields count="1">
    <field x="-2"/>
  </colFields>
  <colItems count="3">
    <i>
      <x/>
    </i>
    <i i="1">
      <x v="1"/>
    </i>
    <i i="2">
      <x v="2"/>
    </i>
  </colItems>
  <dataFields count="3">
    <dataField name="Count of Title" fld="1" subtotal="count" baseField="0" baseItem="0"/>
    <dataField name="Count of Alternative" fld="3" subtotal="count" baseField="0" baseItem="0"/>
    <dataField name="Count of Acronym"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D283885-60FB-4D9B-B4E4-B1E81739F55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F27" firstHeaderRow="1" firstDataRow="2" firstDataCol="1"/>
  <pivotFields count="14">
    <pivotField axis="axisCol" showAll="0">
      <items count="5">
        <item x="3"/>
        <item x="2"/>
        <item x="0"/>
        <item x="1"/>
        <item t="default"/>
      </items>
    </pivotField>
    <pivotField showAll="0"/>
    <pivotField showAll="0"/>
    <pivotField showAll="0"/>
    <pivotField showAll="0"/>
    <pivotField showAll="0"/>
    <pivotField showAll="0"/>
    <pivotField axis="axisRow" showAll="0" sortType="ascending">
      <items count="22">
        <item x="12"/>
        <item x="9"/>
        <item x="3"/>
        <item x="18"/>
        <item x="16"/>
        <item x="2"/>
        <item x="15"/>
        <item x="0"/>
        <item x="7"/>
        <item x="14"/>
        <item x="20"/>
        <item x="17"/>
        <item x="13"/>
        <item x="10"/>
        <item x="5"/>
        <item x="1"/>
        <item x="4"/>
        <item x="8"/>
        <item x="6"/>
        <item x="19"/>
        <item x="11"/>
        <item t="default"/>
      </items>
      <autoSortScope>
        <pivotArea dataOnly="0" outline="0" fieldPosition="0">
          <references count="1">
            <reference field="4294967294" count="1" selected="0">
              <x v="0"/>
            </reference>
          </references>
        </pivotArea>
      </autoSortScope>
    </pivotField>
    <pivotField showAll="0">
      <items count="9">
        <item x="0"/>
        <item x="1"/>
        <item x="2"/>
        <item x="6"/>
        <item x="5"/>
        <item x="7"/>
        <item x="4"/>
        <item x="3"/>
        <item t="default"/>
      </items>
    </pivotField>
    <pivotField showAll="0">
      <items count="11">
        <item sd="0" x="0"/>
        <item sd="0" x="5"/>
        <item sd="0" x="1"/>
        <item sd="0" x="3"/>
        <item sd="0" x="2"/>
        <item x="6"/>
        <item x="4"/>
        <item x="7"/>
        <item x="8"/>
        <item x="9"/>
        <item t="default"/>
      </items>
    </pivotField>
    <pivotField showAll="0"/>
    <pivotField showAll="0"/>
    <pivotField showAll="0"/>
    <pivotField dataField="1" showAll="0"/>
  </pivotFields>
  <rowFields count="1">
    <field x="7"/>
  </rowFields>
  <rowItems count="22">
    <i>
      <x v="10"/>
    </i>
    <i>
      <x v="11"/>
    </i>
    <i>
      <x v="9"/>
    </i>
    <i>
      <x v="3"/>
    </i>
    <i>
      <x v="4"/>
    </i>
    <i>
      <x v="19"/>
    </i>
    <i>
      <x v="2"/>
    </i>
    <i>
      <x v="20"/>
    </i>
    <i>
      <x v="17"/>
    </i>
    <i>
      <x v="16"/>
    </i>
    <i>
      <x v="13"/>
    </i>
    <i>
      <x v="6"/>
    </i>
    <i>
      <x v="12"/>
    </i>
    <i>
      <x v="5"/>
    </i>
    <i>
      <x v="1"/>
    </i>
    <i>
      <x v="18"/>
    </i>
    <i>
      <x v="14"/>
    </i>
    <i>
      <x/>
    </i>
    <i>
      <x v="15"/>
    </i>
    <i>
      <x v="7"/>
    </i>
    <i>
      <x v="8"/>
    </i>
    <i t="grand">
      <x/>
    </i>
  </rowItems>
  <colFields count="1">
    <field x="0"/>
  </colFields>
  <colItems count="5">
    <i>
      <x/>
    </i>
    <i>
      <x v="1"/>
    </i>
    <i>
      <x v="2"/>
    </i>
    <i>
      <x v="3"/>
    </i>
    <i t="grand">
      <x/>
    </i>
  </colItems>
  <dataFields count="1">
    <dataField name="Count of CAMSSA Count" fld="13" subtotal="count" baseField="7" baseItem="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A4161-FDC5-4CF0-863C-7F314542B77B}">
  <dimension ref="A3:F9"/>
  <sheetViews>
    <sheetView workbookViewId="0">
      <selection activeCell="F16" sqref="F16"/>
    </sheetView>
  </sheetViews>
  <sheetFormatPr baseColWidth="10" defaultColWidth="8.7265625" defaultRowHeight="14.5" x14ac:dyDescent="0.35"/>
  <cols>
    <col min="1" max="1" width="13.1796875" bestFit="1" customWidth="1"/>
    <col min="2" max="2" width="21.1796875" bestFit="1" customWidth="1"/>
    <col min="3" max="3" width="23.453125" bestFit="1" customWidth="1"/>
    <col min="4" max="4" width="15.81640625" bestFit="1" customWidth="1"/>
    <col min="5" max="5" width="24.1796875" bestFit="1" customWidth="1"/>
    <col min="6" max="6" width="19.453125" bestFit="1" customWidth="1"/>
    <col min="7" max="7" width="6.1796875" bestFit="1" customWidth="1"/>
    <col min="8" max="8" width="11.453125" bestFit="1" customWidth="1"/>
    <col min="9" max="9" width="8.453125" bestFit="1" customWidth="1"/>
    <col min="10" max="10" width="26" bestFit="1" customWidth="1"/>
    <col min="11" max="11" width="28.26953125" bestFit="1" customWidth="1"/>
  </cols>
  <sheetData>
    <row r="3" spans="1:6" x14ac:dyDescent="0.35">
      <c r="A3" s="1" t="s">
        <v>0</v>
      </c>
      <c r="B3" t="s">
        <v>1</v>
      </c>
      <c r="C3" t="s">
        <v>2</v>
      </c>
      <c r="D3" t="s">
        <v>3</v>
      </c>
      <c r="E3" t="s">
        <v>4</v>
      </c>
      <c r="F3" t="s">
        <v>5</v>
      </c>
    </row>
    <row r="4" spans="1:6" x14ac:dyDescent="0.35">
      <c r="A4" s="2" t="s">
        <v>6</v>
      </c>
      <c r="B4">
        <v>1096</v>
      </c>
      <c r="C4">
        <v>246</v>
      </c>
      <c r="D4">
        <v>169</v>
      </c>
      <c r="E4">
        <v>136</v>
      </c>
      <c r="F4">
        <v>692</v>
      </c>
    </row>
    <row r="5" spans="1:6" x14ac:dyDescent="0.35">
      <c r="A5" s="3">
        <v>0</v>
      </c>
      <c r="B5">
        <v>894</v>
      </c>
      <c r="C5">
        <v>187</v>
      </c>
      <c r="D5">
        <v>135</v>
      </c>
      <c r="E5">
        <v>108</v>
      </c>
      <c r="F5">
        <v>544</v>
      </c>
    </row>
    <row r="6" spans="1:6" x14ac:dyDescent="0.35">
      <c r="A6" s="3">
        <v>1</v>
      </c>
      <c r="B6">
        <v>132</v>
      </c>
      <c r="C6">
        <v>49</v>
      </c>
      <c r="D6">
        <v>16</v>
      </c>
      <c r="E6">
        <v>23</v>
      </c>
      <c r="F6">
        <v>60</v>
      </c>
    </row>
    <row r="7" spans="1:6" x14ac:dyDescent="0.35">
      <c r="A7" s="3">
        <v>2</v>
      </c>
      <c r="B7">
        <v>64</v>
      </c>
      <c r="C7">
        <v>4</v>
      </c>
      <c r="D7">
        <v>18</v>
      </c>
      <c r="E7">
        <v>5</v>
      </c>
      <c r="F7">
        <v>86</v>
      </c>
    </row>
    <row r="8" spans="1:6" x14ac:dyDescent="0.35">
      <c r="A8" s="3">
        <v>3</v>
      </c>
      <c r="B8">
        <v>6</v>
      </c>
      <c r="C8">
        <v>6</v>
      </c>
      <c r="D8">
        <v>0</v>
      </c>
      <c r="E8">
        <v>0</v>
      </c>
      <c r="F8">
        <v>2</v>
      </c>
    </row>
    <row r="9" spans="1:6" x14ac:dyDescent="0.35">
      <c r="A9" s="2" t="s">
        <v>7</v>
      </c>
      <c r="B9">
        <v>1096</v>
      </c>
      <c r="C9">
        <v>246</v>
      </c>
      <c r="D9">
        <v>169</v>
      </c>
      <c r="E9">
        <v>136</v>
      </c>
      <c r="F9">
        <v>692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8E37AB-915D-4248-969B-90521EE147C2}">
  <dimension ref="A3:F8"/>
  <sheetViews>
    <sheetView workbookViewId="0">
      <selection activeCell="B16" sqref="B16"/>
    </sheetView>
  </sheetViews>
  <sheetFormatPr baseColWidth="10" defaultColWidth="8.7265625" defaultRowHeight="14.5" x14ac:dyDescent="0.35"/>
  <cols>
    <col min="1" max="1" width="15.54296875" bestFit="1" customWidth="1"/>
    <col min="2" max="2" width="21.1796875" bestFit="1" customWidth="1"/>
    <col min="3" max="3" width="23.453125" bestFit="1" customWidth="1"/>
    <col min="4" max="4" width="15.81640625" bestFit="1" customWidth="1"/>
    <col min="5" max="5" width="24.1796875" bestFit="1" customWidth="1"/>
    <col min="6" max="6" width="19.453125" bestFit="1" customWidth="1"/>
    <col min="7" max="7" width="6.1796875" bestFit="1" customWidth="1"/>
    <col min="8" max="8" width="11.453125" bestFit="1" customWidth="1"/>
    <col min="9" max="9" width="8.453125" bestFit="1" customWidth="1"/>
    <col min="10" max="10" width="26" bestFit="1" customWidth="1"/>
    <col min="11" max="11" width="28.26953125" bestFit="1" customWidth="1"/>
  </cols>
  <sheetData>
    <row r="3" spans="1:6" x14ac:dyDescent="0.35">
      <c r="A3" s="1" t="s">
        <v>0</v>
      </c>
      <c r="B3" t="s">
        <v>1</v>
      </c>
      <c r="C3" t="s">
        <v>2</v>
      </c>
      <c r="D3" t="s">
        <v>3</v>
      </c>
      <c r="E3" t="s">
        <v>4</v>
      </c>
      <c r="F3" t="s">
        <v>5</v>
      </c>
    </row>
    <row r="4" spans="1:6" x14ac:dyDescent="0.35">
      <c r="A4" s="2" t="s">
        <v>8</v>
      </c>
      <c r="B4">
        <v>19</v>
      </c>
      <c r="C4">
        <v>0</v>
      </c>
      <c r="D4">
        <v>0</v>
      </c>
      <c r="E4">
        <v>2</v>
      </c>
      <c r="F4">
        <v>44</v>
      </c>
    </row>
    <row r="5" spans="1:6" x14ac:dyDescent="0.35">
      <c r="A5" s="2" t="s">
        <v>9</v>
      </c>
      <c r="B5">
        <v>2</v>
      </c>
      <c r="C5">
        <v>3</v>
      </c>
      <c r="D5">
        <v>0</v>
      </c>
      <c r="E5">
        <v>2</v>
      </c>
      <c r="F5">
        <v>9</v>
      </c>
    </row>
    <row r="6" spans="1:6" x14ac:dyDescent="0.35">
      <c r="A6" s="2" t="s">
        <v>6</v>
      </c>
      <c r="B6">
        <v>1096</v>
      </c>
      <c r="C6">
        <v>246</v>
      </c>
      <c r="D6">
        <v>169</v>
      </c>
      <c r="E6">
        <v>136</v>
      </c>
      <c r="F6">
        <v>692</v>
      </c>
    </row>
    <row r="7" spans="1:6" x14ac:dyDescent="0.35">
      <c r="A7" s="2" t="s">
        <v>10</v>
      </c>
      <c r="B7">
        <v>42</v>
      </c>
      <c r="C7">
        <v>2</v>
      </c>
      <c r="D7">
        <v>10</v>
      </c>
      <c r="E7">
        <v>4</v>
      </c>
      <c r="F7">
        <v>34</v>
      </c>
    </row>
    <row r="8" spans="1:6" x14ac:dyDescent="0.35">
      <c r="A8" s="2" t="s">
        <v>7</v>
      </c>
      <c r="B8">
        <v>1159</v>
      </c>
      <c r="C8">
        <v>251</v>
      </c>
      <c r="D8">
        <v>179</v>
      </c>
      <c r="E8">
        <v>144</v>
      </c>
      <c r="F8">
        <v>779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70BAF-EC0E-48CF-A870-03C0E0C8AE29}">
  <dimension ref="A3:D8"/>
  <sheetViews>
    <sheetView workbookViewId="0">
      <selection activeCell="C16" sqref="C16"/>
    </sheetView>
  </sheetViews>
  <sheetFormatPr baseColWidth="10" defaultColWidth="8.7265625" defaultRowHeight="14.5" x14ac:dyDescent="0.35"/>
  <cols>
    <col min="1" max="1" width="15.54296875" bestFit="1" customWidth="1"/>
    <col min="2" max="2" width="12.1796875" bestFit="1" customWidth="1"/>
    <col min="3" max="3" width="18" bestFit="1" customWidth="1"/>
    <col min="4" max="4" width="16.1796875" bestFit="1" customWidth="1"/>
  </cols>
  <sheetData>
    <row r="3" spans="1:4" x14ac:dyDescent="0.35">
      <c r="A3" s="1" t="s">
        <v>0</v>
      </c>
      <c r="B3" t="s">
        <v>11</v>
      </c>
      <c r="C3" t="s">
        <v>12</v>
      </c>
      <c r="D3" t="s">
        <v>13</v>
      </c>
    </row>
    <row r="4" spans="1:4" x14ac:dyDescent="0.35">
      <c r="A4" s="2" t="s">
        <v>8</v>
      </c>
      <c r="B4">
        <v>6</v>
      </c>
      <c r="D4">
        <v>5</v>
      </c>
    </row>
    <row r="5" spans="1:4" x14ac:dyDescent="0.35">
      <c r="A5" s="2" t="s">
        <v>9</v>
      </c>
      <c r="B5">
        <v>5</v>
      </c>
      <c r="C5">
        <v>1</v>
      </c>
      <c r="D5">
        <v>2</v>
      </c>
    </row>
    <row r="6" spans="1:4" x14ac:dyDescent="0.35">
      <c r="A6" s="2" t="s">
        <v>6</v>
      </c>
      <c r="B6">
        <v>810</v>
      </c>
      <c r="C6">
        <v>267</v>
      </c>
      <c r="D6">
        <v>389</v>
      </c>
    </row>
    <row r="7" spans="1:4" x14ac:dyDescent="0.35">
      <c r="A7" s="2" t="s">
        <v>10</v>
      </c>
      <c r="B7">
        <v>45</v>
      </c>
      <c r="C7">
        <v>19</v>
      </c>
      <c r="D7">
        <v>23</v>
      </c>
    </row>
    <row r="8" spans="1:4" x14ac:dyDescent="0.35">
      <c r="A8" s="2" t="s">
        <v>7</v>
      </c>
      <c r="B8">
        <v>866</v>
      </c>
      <c r="C8">
        <v>287</v>
      </c>
      <c r="D8">
        <v>419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E19C-B4EC-40C7-BFB9-E67854C06515}">
  <dimension ref="A4:F27"/>
  <sheetViews>
    <sheetView topLeftCell="A4" workbookViewId="0">
      <selection activeCell="A15" sqref="A15"/>
    </sheetView>
  </sheetViews>
  <sheetFormatPr baseColWidth="10" defaultColWidth="8.7265625" defaultRowHeight="14.5" x14ac:dyDescent="0.35"/>
  <cols>
    <col min="1" max="1" width="55.453125" bestFit="1" customWidth="1"/>
    <col min="2" max="2" width="15.81640625" bestFit="1" customWidth="1"/>
    <col min="3" max="3" width="6.1796875" bestFit="1" customWidth="1"/>
    <col min="4" max="4" width="11.453125" bestFit="1" customWidth="1"/>
    <col min="5" max="5" width="8.453125" bestFit="1" customWidth="1"/>
    <col min="6" max="6" width="10.7265625" bestFit="1" customWidth="1"/>
    <col min="7" max="9" width="1.81640625" bestFit="1" customWidth="1"/>
    <col min="10" max="10" width="10.7265625" bestFit="1" customWidth="1"/>
    <col min="11" max="13" width="1.81640625" bestFit="1" customWidth="1"/>
    <col min="14" max="14" width="6.54296875" bestFit="1" customWidth="1"/>
    <col min="15" max="15" width="3.54296875" bestFit="1" customWidth="1"/>
    <col min="16" max="18" width="1.81640625" bestFit="1" customWidth="1"/>
    <col min="19" max="19" width="6.54296875" bestFit="1" customWidth="1"/>
    <col min="20" max="20" width="3.54296875" bestFit="1" customWidth="1"/>
    <col min="21" max="21" width="1.81640625" bestFit="1" customWidth="1"/>
    <col min="22" max="22" width="6.54296875" bestFit="1" customWidth="1"/>
    <col min="23" max="23" width="3.54296875" bestFit="1" customWidth="1"/>
    <col min="24" max="27" width="1.81640625" bestFit="1" customWidth="1"/>
    <col min="28" max="28" width="6.54296875" bestFit="1" customWidth="1"/>
    <col min="29" max="29" width="3.54296875" bestFit="1" customWidth="1"/>
    <col min="30" max="30" width="1.81640625" bestFit="1" customWidth="1"/>
    <col min="31" max="31" width="6.54296875" bestFit="1" customWidth="1"/>
    <col min="32" max="32" width="3.54296875" bestFit="1" customWidth="1"/>
    <col min="33" max="34" width="1.81640625" bestFit="1" customWidth="1"/>
    <col min="35" max="35" width="6.54296875" bestFit="1" customWidth="1"/>
    <col min="36" max="36" width="3.54296875" bestFit="1" customWidth="1"/>
    <col min="37" max="37" width="6.54296875" bestFit="1" customWidth="1"/>
    <col min="38" max="38" width="3.54296875" bestFit="1" customWidth="1"/>
    <col min="39" max="39" width="6.54296875" bestFit="1" customWidth="1"/>
    <col min="40" max="40" width="4.54296875" bestFit="1" customWidth="1"/>
    <col min="41" max="41" width="7.54296875" bestFit="1" customWidth="1"/>
    <col min="42" max="42" width="10.7265625" bestFit="1" customWidth="1"/>
  </cols>
  <sheetData>
    <row r="4" spans="1:6" x14ac:dyDescent="0.35">
      <c r="A4" s="1" t="s">
        <v>14</v>
      </c>
      <c r="B4" s="1" t="s">
        <v>15</v>
      </c>
    </row>
    <row r="5" spans="1:6" x14ac:dyDescent="0.35">
      <c r="A5" s="1" t="s">
        <v>0</v>
      </c>
      <c r="B5" t="s">
        <v>8</v>
      </c>
      <c r="C5" t="s">
        <v>9</v>
      </c>
      <c r="D5" t="s">
        <v>6</v>
      </c>
      <c r="E5" t="s">
        <v>10</v>
      </c>
      <c r="F5" t="s">
        <v>7</v>
      </c>
    </row>
    <row r="6" spans="1:6" x14ac:dyDescent="0.35">
      <c r="A6" s="2" t="s">
        <v>16</v>
      </c>
      <c r="D6">
        <v>1</v>
      </c>
      <c r="F6">
        <v>1</v>
      </c>
    </row>
    <row r="7" spans="1:6" x14ac:dyDescent="0.35">
      <c r="A7" s="2" t="s">
        <v>17</v>
      </c>
      <c r="D7">
        <v>1</v>
      </c>
      <c r="F7">
        <v>1</v>
      </c>
    </row>
    <row r="8" spans="1:6" x14ac:dyDescent="0.35">
      <c r="A8" s="2" t="s">
        <v>18</v>
      </c>
      <c r="D8">
        <v>2</v>
      </c>
      <c r="F8">
        <v>2</v>
      </c>
    </row>
    <row r="9" spans="1:6" x14ac:dyDescent="0.35">
      <c r="A9" s="2" t="s">
        <v>19</v>
      </c>
      <c r="D9">
        <v>2</v>
      </c>
      <c r="F9">
        <v>2</v>
      </c>
    </row>
    <row r="10" spans="1:6" x14ac:dyDescent="0.35">
      <c r="A10" s="2" t="s">
        <v>20</v>
      </c>
      <c r="D10">
        <v>3</v>
      </c>
      <c r="F10">
        <v>3</v>
      </c>
    </row>
    <row r="11" spans="1:6" x14ac:dyDescent="0.35">
      <c r="A11" s="2" t="s">
        <v>21</v>
      </c>
      <c r="D11">
        <v>3</v>
      </c>
      <c r="F11">
        <v>3</v>
      </c>
    </row>
    <row r="12" spans="1:6" x14ac:dyDescent="0.35">
      <c r="A12" s="2" t="s">
        <v>22</v>
      </c>
      <c r="D12">
        <v>3</v>
      </c>
      <c r="F12">
        <v>3</v>
      </c>
    </row>
    <row r="13" spans="1:6" x14ac:dyDescent="0.35">
      <c r="A13" s="2" t="s">
        <v>23</v>
      </c>
      <c r="D13">
        <v>7</v>
      </c>
      <c r="F13">
        <v>7</v>
      </c>
    </row>
    <row r="14" spans="1:6" x14ac:dyDescent="0.35">
      <c r="A14" s="2" t="s">
        <v>24</v>
      </c>
      <c r="D14">
        <v>7</v>
      </c>
      <c r="F14">
        <v>7</v>
      </c>
    </row>
    <row r="15" spans="1:6" x14ac:dyDescent="0.35">
      <c r="A15" s="2" t="s">
        <v>25</v>
      </c>
      <c r="C15">
        <v>1</v>
      </c>
      <c r="D15">
        <v>6</v>
      </c>
      <c r="F15">
        <v>7</v>
      </c>
    </row>
    <row r="16" spans="1:6" x14ac:dyDescent="0.35">
      <c r="A16" s="2" t="s">
        <v>26</v>
      </c>
      <c r="B16">
        <v>2</v>
      </c>
      <c r="D16">
        <v>6</v>
      </c>
      <c r="F16">
        <v>8</v>
      </c>
    </row>
    <row r="17" spans="1:6" x14ac:dyDescent="0.35">
      <c r="A17" s="2" t="s">
        <v>27</v>
      </c>
      <c r="D17">
        <v>9</v>
      </c>
      <c r="F17">
        <v>9</v>
      </c>
    </row>
    <row r="18" spans="1:6" x14ac:dyDescent="0.35">
      <c r="A18" s="2" t="s">
        <v>28</v>
      </c>
      <c r="D18">
        <v>23</v>
      </c>
      <c r="F18">
        <v>23</v>
      </c>
    </row>
    <row r="19" spans="1:6" x14ac:dyDescent="0.35">
      <c r="A19" s="2" t="s">
        <v>29</v>
      </c>
      <c r="D19">
        <v>29</v>
      </c>
      <c r="E19">
        <v>3</v>
      </c>
      <c r="F19">
        <v>32</v>
      </c>
    </row>
    <row r="20" spans="1:6" x14ac:dyDescent="0.35">
      <c r="A20" s="2" t="s">
        <v>30</v>
      </c>
      <c r="D20">
        <v>48</v>
      </c>
      <c r="E20">
        <v>2</v>
      </c>
      <c r="F20">
        <v>50</v>
      </c>
    </row>
    <row r="21" spans="1:6" x14ac:dyDescent="0.35">
      <c r="A21" s="2" t="s">
        <v>31</v>
      </c>
      <c r="D21">
        <v>58</v>
      </c>
      <c r="F21">
        <v>58</v>
      </c>
    </row>
    <row r="22" spans="1:6" x14ac:dyDescent="0.35">
      <c r="A22" s="2" t="s">
        <v>32</v>
      </c>
      <c r="B22">
        <v>2</v>
      </c>
      <c r="C22">
        <v>1</v>
      </c>
      <c r="D22">
        <v>63</v>
      </c>
      <c r="E22">
        <v>2</v>
      </c>
      <c r="F22">
        <v>68</v>
      </c>
    </row>
    <row r="23" spans="1:6" x14ac:dyDescent="0.35">
      <c r="A23" s="2"/>
      <c r="D23">
        <v>57</v>
      </c>
      <c r="E23">
        <v>12</v>
      </c>
      <c r="F23">
        <v>69</v>
      </c>
    </row>
    <row r="24" spans="1:6" x14ac:dyDescent="0.35">
      <c r="A24" s="2" t="s">
        <v>33</v>
      </c>
      <c r="C24">
        <v>1</v>
      </c>
      <c r="D24">
        <v>74</v>
      </c>
      <c r="E24">
        <v>2</v>
      </c>
      <c r="F24">
        <v>77</v>
      </c>
    </row>
    <row r="25" spans="1:6" x14ac:dyDescent="0.35">
      <c r="A25" s="2" t="s">
        <v>34</v>
      </c>
      <c r="B25">
        <v>1</v>
      </c>
      <c r="C25">
        <v>1</v>
      </c>
      <c r="D25">
        <v>148</v>
      </c>
      <c r="E25">
        <v>10</v>
      </c>
      <c r="F25">
        <v>160</v>
      </c>
    </row>
    <row r="26" spans="1:6" x14ac:dyDescent="0.35">
      <c r="A26" s="2" t="s">
        <v>35</v>
      </c>
      <c r="B26">
        <v>1</v>
      </c>
      <c r="C26">
        <v>1</v>
      </c>
      <c r="D26">
        <v>260</v>
      </c>
      <c r="E26">
        <v>14</v>
      </c>
      <c r="F26">
        <v>276</v>
      </c>
    </row>
    <row r="27" spans="1:6" x14ac:dyDescent="0.35">
      <c r="A27" s="2" t="s">
        <v>7</v>
      </c>
      <c r="B27">
        <v>6</v>
      </c>
      <c r="C27">
        <v>5</v>
      </c>
      <c r="D27">
        <v>810</v>
      </c>
      <c r="E27">
        <v>45</v>
      </c>
      <c r="F27">
        <v>866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67"/>
  <sheetViews>
    <sheetView workbookViewId="0">
      <selection activeCell="N11" sqref="N11"/>
    </sheetView>
  </sheetViews>
  <sheetFormatPr baseColWidth="10" defaultColWidth="8.7265625" defaultRowHeight="14.5" x14ac:dyDescent="0.35"/>
  <cols>
    <col min="8" max="8" width="30.26953125" customWidth="1"/>
  </cols>
  <sheetData>
    <row r="1" spans="1:14" x14ac:dyDescent="0.35">
      <c r="A1" t="s">
        <v>36</v>
      </c>
      <c r="B1" t="s">
        <v>37</v>
      </c>
      <c r="C1" t="s">
        <v>38</v>
      </c>
      <c r="D1" t="s">
        <v>39</v>
      </c>
      <c r="E1" t="s">
        <v>40</v>
      </c>
      <c r="F1" t="s">
        <v>41</v>
      </c>
      <c r="G1" t="s">
        <v>42</v>
      </c>
      <c r="H1" t="s">
        <v>43</v>
      </c>
      <c r="I1" t="s">
        <v>33</v>
      </c>
      <c r="J1" t="s">
        <v>35</v>
      </c>
      <c r="K1" t="s">
        <v>30</v>
      </c>
      <c r="L1" t="s">
        <v>29</v>
      </c>
      <c r="M1" t="s">
        <v>34</v>
      </c>
      <c r="N1" t="s">
        <v>44</v>
      </c>
    </row>
    <row r="2" spans="1:14" x14ac:dyDescent="0.35">
      <c r="A2" t="s">
        <v>6</v>
      </c>
      <c r="B2" t="s">
        <v>45</v>
      </c>
      <c r="E2" t="s">
        <v>46</v>
      </c>
      <c r="F2" t="s">
        <v>47</v>
      </c>
      <c r="H2" t="str" cm="1">
        <f t="array" ref="H2">_xlfn.TEXTJOIN(", ", TRUE, IF(I2:M2&gt;0, I$1:M$1, ""))</f>
        <v>Semantic View</v>
      </c>
      <c r="I2">
        <v>0</v>
      </c>
      <c r="J2">
        <v>0</v>
      </c>
      <c r="K2">
        <v>0</v>
      </c>
      <c r="L2">
        <v>0</v>
      </c>
      <c r="M2">
        <v>1</v>
      </c>
      <c r="N2">
        <v>0</v>
      </c>
    </row>
    <row r="3" spans="1:14" x14ac:dyDescent="0.35">
      <c r="A3" t="s">
        <v>6</v>
      </c>
      <c r="B3" t="s">
        <v>48</v>
      </c>
      <c r="D3" t="s">
        <v>49</v>
      </c>
      <c r="E3" t="s">
        <v>50</v>
      </c>
      <c r="F3" t="s">
        <v>51</v>
      </c>
      <c r="H3" t="str" cm="1">
        <f t="array" ref="H3">_xlfn.TEXTJOIN(", ", TRUE, IF(I3:M3&gt;0, I$1:M$1, ""))</f>
        <v>Tech Infrastructure</v>
      </c>
      <c r="I3">
        <v>1</v>
      </c>
      <c r="J3">
        <v>0</v>
      </c>
      <c r="K3">
        <v>0</v>
      </c>
      <c r="L3">
        <v>0</v>
      </c>
      <c r="M3">
        <v>0</v>
      </c>
      <c r="N3">
        <v>0</v>
      </c>
    </row>
    <row r="4" spans="1:14" x14ac:dyDescent="0.35">
      <c r="A4" t="s">
        <v>6</v>
      </c>
      <c r="B4" t="s">
        <v>52</v>
      </c>
      <c r="C4" t="s">
        <v>53</v>
      </c>
      <c r="D4" t="s">
        <v>54</v>
      </c>
      <c r="E4" t="s">
        <v>50</v>
      </c>
      <c r="F4" t="s">
        <v>55</v>
      </c>
      <c r="H4" t="str" cm="1">
        <f t="array" ref="H4">_xlfn.TEXTJOIN(", ", TRUE, IF(I4:M4&gt;0, I$1:M$1, ""))</f>
        <v>Semantic View</v>
      </c>
      <c r="I4">
        <v>0</v>
      </c>
      <c r="J4">
        <v>0</v>
      </c>
      <c r="K4">
        <v>0</v>
      </c>
      <c r="L4">
        <v>0</v>
      </c>
      <c r="M4">
        <v>2</v>
      </c>
      <c r="N4">
        <v>0</v>
      </c>
    </row>
    <row r="5" spans="1:14" x14ac:dyDescent="0.35">
      <c r="A5" t="s">
        <v>6</v>
      </c>
      <c r="B5" t="s">
        <v>56</v>
      </c>
      <c r="C5" t="s">
        <v>57</v>
      </c>
      <c r="D5" t="s">
        <v>58</v>
      </c>
      <c r="E5" t="s">
        <v>59</v>
      </c>
      <c r="F5" t="s">
        <v>60</v>
      </c>
      <c r="H5" t="str" cm="1">
        <f t="array" ref="H5">_xlfn.TEXTJOIN(", ", TRUE, IF(I5:M5&gt;0, I$1:M$1, ""))</f>
        <v>Tech Infrastructure</v>
      </c>
      <c r="I5">
        <v>2</v>
      </c>
      <c r="J5">
        <v>0</v>
      </c>
      <c r="K5">
        <v>0</v>
      </c>
      <c r="L5">
        <v>0</v>
      </c>
      <c r="M5">
        <v>0</v>
      </c>
      <c r="N5">
        <v>0</v>
      </c>
    </row>
    <row r="6" spans="1:14" x14ac:dyDescent="0.35">
      <c r="A6" t="s">
        <v>6</v>
      </c>
      <c r="B6" t="s">
        <v>61</v>
      </c>
      <c r="E6" t="s">
        <v>62</v>
      </c>
      <c r="F6" t="s">
        <v>55</v>
      </c>
      <c r="H6" t="str" cm="1">
        <f t="array" ref="H6">_xlfn.TEXTJOIN(", ", TRUE, IF(I6:M6&gt;0, I$1:M$1, ""))</f>
        <v>Organisational View</v>
      </c>
      <c r="I6">
        <v>0</v>
      </c>
      <c r="J6">
        <v>0</v>
      </c>
      <c r="K6">
        <v>0</v>
      </c>
      <c r="L6">
        <v>1</v>
      </c>
      <c r="M6">
        <v>0</v>
      </c>
      <c r="N6">
        <v>0</v>
      </c>
    </row>
    <row r="7" spans="1:14" x14ac:dyDescent="0.35">
      <c r="A7" t="s">
        <v>6</v>
      </c>
      <c r="B7" t="s">
        <v>63</v>
      </c>
      <c r="D7" t="s">
        <v>64</v>
      </c>
      <c r="E7" t="s">
        <v>50</v>
      </c>
      <c r="F7" t="s">
        <v>55</v>
      </c>
      <c r="H7" t="str" cm="1">
        <f t="array" ref="H7">_xlfn.TEXTJOIN(", ", TRUE, IF(I7:M7&gt;0, I$1:M$1, ""))</f>
        <v>Tech Infrastructure</v>
      </c>
      <c r="I7">
        <v>1</v>
      </c>
      <c r="J7">
        <v>0</v>
      </c>
      <c r="K7">
        <v>0</v>
      </c>
      <c r="L7">
        <v>0</v>
      </c>
      <c r="M7">
        <v>0</v>
      </c>
      <c r="N7">
        <v>0</v>
      </c>
    </row>
    <row r="8" spans="1:14" x14ac:dyDescent="0.35">
      <c r="A8" t="s">
        <v>6</v>
      </c>
      <c r="B8" t="s">
        <v>65</v>
      </c>
      <c r="E8" t="s">
        <v>66</v>
      </c>
      <c r="F8" t="s">
        <v>55</v>
      </c>
      <c r="H8" t="str" cm="1">
        <f t="array" ref="H8">_xlfn.TEXTJOIN(", ", TRUE, IF(I8:M8&gt;0, I$1:M$1, ""))</f>
        <v>Legal View, Organisational View</v>
      </c>
      <c r="I8">
        <v>0</v>
      </c>
      <c r="J8">
        <v>0</v>
      </c>
      <c r="K8">
        <v>2</v>
      </c>
      <c r="L8">
        <v>1</v>
      </c>
      <c r="M8">
        <v>0</v>
      </c>
      <c r="N8">
        <v>0</v>
      </c>
    </row>
    <row r="9" spans="1:14" x14ac:dyDescent="0.35">
      <c r="A9" t="s">
        <v>6</v>
      </c>
      <c r="B9" t="s">
        <v>67</v>
      </c>
      <c r="D9" t="s">
        <v>68</v>
      </c>
      <c r="E9" t="s">
        <v>69</v>
      </c>
      <c r="F9" t="s">
        <v>55</v>
      </c>
      <c r="H9" t="str" cm="1">
        <f t="array" ref="H9">_xlfn.TEXTJOIN(", ", TRUE, IF(I9:M9&gt;0, I$1:M$1, ""))</f>
        <v>Tech Infrastructure, Organisational View</v>
      </c>
      <c r="I9">
        <v>1</v>
      </c>
      <c r="J9">
        <v>0</v>
      </c>
      <c r="K9">
        <v>0</v>
      </c>
      <c r="L9">
        <v>1</v>
      </c>
      <c r="M9">
        <v>0</v>
      </c>
      <c r="N9">
        <v>0</v>
      </c>
    </row>
    <row r="10" spans="1:14" x14ac:dyDescent="0.35">
      <c r="A10" t="s">
        <v>6</v>
      </c>
      <c r="B10" t="s">
        <v>70</v>
      </c>
      <c r="C10" t="s">
        <v>71</v>
      </c>
      <c r="E10" t="s">
        <v>71</v>
      </c>
      <c r="F10" t="s">
        <v>55</v>
      </c>
      <c r="H10" t="str" cm="1">
        <f t="array" ref="H10">_xlfn.TEXTJOIN(", ", TRUE, IF(I10:M10&gt;0, I$1:M$1, ""))</f>
        <v>Tech Application, Semantic View</v>
      </c>
      <c r="I10">
        <v>0</v>
      </c>
      <c r="J10">
        <v>2</v>
      </c>
      <c r="K10">
        <v>0</v>
      </c>
      <c r="L10">
        <v>0</v>
      </c>
      <c r="M10">
        <v>1</v>
      </c>
      <c r="N10">
        <v>0</v>
      </c>
    </row>
    <row r="11" spans="1:14" x14ac:dyDescent="0.35">
      <c r="A11" t="s">
        <v>6</v>
      </c>
      <c r="B11" t="s">
        <v>72</v>
      </c>
      <c r="C11" t="s">
        <v>73</v>
      </c>
      <c r="E11" t="s">
        <v>50</v>
      </c>
      <c r="F11" t="s">
        <v>74</v>
      </c>
      <c r="H11" t="str" cm="1">
        <f t="array" ref="H11">_xlfn.TEXTJOIN(", ", TRUE, IF(I11:M11&gt;0, I$1:M$1, ""))</f>
        <v>Tech Infrastructure, Tech Application</v>
      </c>
      <c r="I11">
        <v>7</v>
      </c>
      <c r="J11">
        <v>4</v>
      </c>
      <c r="K11">
        <v>0</v>
      </c>
      <c r="L11">
        <v>0</v>
      </c>
      <c r="M11">
        <v>0</v>
      </c>
      <c r="N11">
        <v>1</v>
      </c>
    </row>
    <row r="12" spans="1:14" x14ac:dyDescent="0.35">
      <c r="A12" t="s">
        <v>6</v>
      </c>
      <c r="B12" t="s">
        <v>75</v>
      </c>
      <c r="C12" t="s">
        <v>76</v>
      </c>
      <c r="E12" t="s">
        <v>77</v>
      </c>
      <c r="F12" t="s">
        <v>55</v>
      </c>
      <c r="H12" t="str" cm="1">
        <f t="array" ref="H12">_xlfn.TEXTJOIN(", ", TRUE, IF(I12:M12&gt;0, I$1:M$1, ""))</f>
        <v>Semantic View</v>
      </c>
      <c r="I12">
        <v>0</v>
      </c>
      <c r="J12">
        <v>0</v>
      </c>
      <c r="K12">
        <v>0</v>
      </c>
      <c r="L12">
        <v>0</v>
      </c>
      <c r="M12">
        <v>4</v>
      </c>
      <c r="N12">
        <v>0</v>
      </c>
    </row>
    <row r="13" spans="1:14" x14ac:dyDescent="0.35">
      <c r="A13" t="s">
        <v>6</v>
      </c>
      <c r="B13" t="s">
        <v>78</v>
      </c>
      <c r="D13" t="s">
        <v>79</v>
      </c>
      <c r="E13" t="s">
        <v>50</v>
      </c>
      <c r="F13" t="s">
        <v>80</v>
      </c>
      <c r="H13" t="str" cm="1">
        <f t="array" ref="H13">_xlfn.TEXTJOIN(", ", TRUE, IF(I13:M13&gt;0, I$1:M$1, ""))</f>
        <v>Tech Application</v>
      </c>
      <c r="I13">
        <v>0</v>
      </c>
      <c r="J13">
        <v>4</v>
      </c>
      <c r="K13">
        <v>0</v>
      </c>
      <c r="L13">
        <v>0</v>
      </c>
      <c r="M13">
        <v>0</v>
      </c>
      <c r="N13">
        <v>1</v>
      </c>
    </row>
    <row r="14" spans="1:14" x14ac:dyDescent="0.35">
      <c r="A14" t="s">
        <v>6</v>
      </c>
      <c r="B14" t="s">
        <v>81</v>
      </c>
      <c r="C14" t="s">
        <v>82</v>
      </c>
      <c r="D14" t="s">
        <v>83</v>
      </c>
      <c r="E14" t="s">
        <v>59</v>
      </c>
      <c r="F14" t="s">
        <v>60</v>
      </c>
      <c r="H14" t="str" cm="1">
        <f t="array" ref="H14">_xlfn.TEXTJOIN(", ", TRUE, IF(I14:M14&gt;0, I$1:M$1, ""))</f>
        <v>Tech Infrastructure, Semantic View</v>
      </c>
      <c r="I14">
        <v>2</v>
      </c>
      <c r="J14">
        <v>0</v>
      </c>
      <c r="K14">
        <v>0</v>
      </c>
      <c r="L14">
        <v>0</v>
      </c>
      <c r="M14">
        <v>1</v>
      </c>
      <c r="N14">
        <v>1</v>
      </c>
    </row>
    <row r="15" spans="1:14" x14ac:dyDescent="0.35">
      <c r="A15" t="s">
        <v>6</v>
      </c>
      <c r="B15" t="s">
        <v>84</v>
      </c>
      <c r="D15" t="s">
        <v>85</v>
      </c>
      <c r="E15" t="s">
        <v>86</v>
      </c>
      <c r="F15" t="s">
        <v>55</v>
      </c>
      <c r="H15" t="str" cm="1">
        <f t="array" ref="H15">_xlfn.TEXTJOIN(", ", TRUE, IF(I15:M15&gt;0, I$1:M$1, ""))</f>
        <v>Tech Application</v>
      </c>
      <c r="I15">
        <v>0</v>
      </c>
      <c r="J15">
        <v>3</v>
      </c>
      <c r="K15">
        <v>0</v>
      </c>
      <c r="L15">
        <v>0</v>
      </c>
      <c r="M15">
        <v>0</v>
      </c>
      <c r="N15">
        <v>0</v>
      </c>
    </row>
    <row r="16" spans="1:14" x14ac:dyDescent="0.35">
      <c r="A16" t="s">
        <v>6</v>
      </c>
      <c r="B16" t="s">
        <v>87</v>
      </c>
      <c r="D16" t="s">
        <v>88</v>
      </c>
      <c r="E16" t="s">
        <v>69</v>
      </c>
      <c r="F16" t="s">
        <v>55</v>
      </c>
      <c r="H16" t="str" cm="1">
        <f t="array" ref="H16">_xlfn.TEXTJOIN(", ", TRUE, IF(I16:M16&gt;0, I$1:M$1, ""))</f>
        <v>Tech Application</v>
      </c>
      <c r="I16">
        <v>0</v>
      </c>
      <c r="J16">
        <v>2</v>
      </c>
      <c r="K16">
        <v>0</v>
      </c>
      <c r="L16">
        <v>0</v>
      </c>
      <c r="M16">
        <v>0</v>
      </c>
      <c r="N16">
        <v>0</v>
      </c>
    </row>
    <row r="17" spans="1:14" x14ac:dyDescent="0.35">
      <c r="A17" t="s">
        <v>6</v>
      </c>
      <c r="B17" t="s">
        <v>89</v>
      </c>
      <c r="C17" t="s">
        <v>90</v>
      </c>
      <c r="E17" t="s">
        <v>91</v>
      </c>
      <c r="F17" t="s">
        <v>92</v>
      </c>
      <c r="H17" t="str" cm="1">
        <f t="array" ref="H17">_xlfn.TEXTJOIN(", ", TRUE, IF(I17:M17&gt;0, I$1:M$1, ""))</f>
        <v>Tech Application</v>
      </c>
      <c r="I17">
        <v>0</v>
      </c>
      <c r="J17">
        <v>6</v>
      </c>
      <c r="K17">
        <v>0</v>
      </c>
      <c r="L17">
        <v>0</v>
      </c>
      <c r="M17">
        <v>0</v>
      </c>
      <c r="N17">
        <v>0</v>
      </c>
    </row>
    <row r="18" spans="1:14" x14ac:dyDescent="0.35">
      <c r="A18" t="s">
        <v>6</v>
      </c>
      <c r="B18" t="s">
        <v>93</v>
      </c>
      <c r="E18" t="s">
        <v>62</v>
      </c>
      <c r="F18" t="s">
        <v>55</v>
      </c>
      <c r="H18" t="str" cm="1">
        <f t="array" ref="H18">_xlfn.TEXTJOIN(", ", TRUE, IF(I18:M18&gt;0, I$1:M$1, ""))</f>
        <v>Organisational View</v>
      </c>
      <c r="I18">
        <v>0</v>
      </c>
      <c r="J18">
        <v>0</v>
      </c>
      <c r="K18">
        <v>0</v>
      </c>
      <c r="L18">
        <v>1</v>
      </c>
      <c r="M18">
        <v>0</v>
      </c>
      <c r="N18">
        <v>0</v>
      </c>
    </row>
    <row r="19" spans="1:14" x14ac:dyDescent="0.35">
      <c r="A19" t="s">
        <v>6</v>
      </c>
      <c r="B19" t="s">
        <v>94</v>
      </c>
      <c r="C19" t="s">
        <v>95</v>
      </c>
      <c r="E19" t="s">
        <v>96</v>
      </c>
      <c r="F19" t="s">
        <v>97</v>
      </c>
      <c r="H19" t="str" cm="1">
        <f t="array" ref="H19">_xlfn.TEXTJOIN(", ", TRUE, IF(I19:M19&gt;0, I$1:M$1, ""))</f>
        <v>Tech Application</v>
      </c>
      <c r="I19">
        <v>0</v>
      </c>
      <c r="J19">
        <v>2</v>
      </c>
      <c r="K19">
        <v>0</v>
      </c>
      <c r="L19">
        <v>0</v>
      </c>
      <c r="M19">
        <v>0</v>
      </c>
      <c r="N19">
        <v>1</v>
      </c>
    </row>
    <row r="20" spans="1:14" x14ac:dyDescent="0.35">
      <c r="A20" t="s">
        <v>6</v>
      </c>
      <c r="B20" t="s">
        <v>98</v>
      </c>
      <c r="E20" t="s">
        <v>99</v>
      </c>
      <c r="F20" t="s">
        <v>100</v>
      </c>
      <c r="H20" t="str" cm="1">
        <f t="array" ref="H20">_xlfn.TEXTJOIN(", ", TRUE, IF(I20:M20&gt;0, I$1:M$1, ""))</f>
        <v>Tech Application</v>
      </c>
      <c r="I20">
        <v>0</v>
      </c>
      <c r="J20">
        <v>1</v>
      </c>
      <c r="K20">
        <v>0</v>
      </c>
      <c r="L20">
        <v>0</v>
      </c>
      <c r="M20">
        <v>0</v>
      </c>
      <c r="N20">
        <v>0</v>
      </c>
    </row>
    <row r="21" spans="1:14" x14ac:dyDescent="0.35">
      <c r="A21" t="s">
        <v>6</v>
      </c>
      <c r="B21" t="s">
        <v>101</v>
      </c>
      <c r="C21" t="s">
        <v>102</v>
      </c>
      <c r="E21" t="s">
        <v>103</v>
      </c>
      <c r="F21" t="s">
        <v>51</v>
      </c>
      <c r="H21" t="str" cm="1">
        <f t="array" ref="H21">_xlfn.TEXTJOIN(", ", TRUE, IF(I21:M21&gt;0, I$1:M$1, ""))</f>
        <v>Tech Application</v>
      </c>
      <c r="I21">
        <v>0</v>
      </c>
      <c r="J21">
        <v>3</v>
      </c>
      <c r="K21">
        <v>0</v>
      </c>
      <c r="L21">
        <v>0</v>
      </c>
      <c r="M21">
        <v>0</v>
      </c>
      <c r="N21">
        <v>0</v>
      </c>
    </row>
    <row r="22" spans="1:14" x14ac:dyDescent="0.35">
      <c r="A22" t="s">
        <v>6</v>
      </c>
      <c r="B22" t="s">
        <v>104</v>
      </c>
      <c r="E22" t="s">
        <v>66</v>
      </c>
      <c r="F22" t="s">
        <v>105</v>
      </c>
      <c r="H22" t="str" cm="1">
        <f t="array" ref="H22">_xlfn.TEXTJOIN(", ", TRUE, IF(I22:M22&gt;0, I$1:M$1, ""))</f>
        <v>Legal View</v>
      </c>
      <c r="I22">
        <v>0</v>
      </c>
      <c r="J22">
        <v>0</v>
      </c>
      <c r="K22">
        <v>1</v>
      </c>
      <c r="L22">
        <v>0</v>
      </c>
      <c r="M22">
        <v>0</v>
      </c>
      <c r="N22">
        <v>0</v>
      </c>
    </row>
    <row r="23" spans="1:14" x14ac:dyDescent="0.35">
      <c r="A23" t="s">
        <v>6</v>
      </c>
      <c r="B23" t="s">
        <v>106</v>
      </c>
      <c r="D23" t="s">
        <v>107</v>
      </c>
      <c r="E23" t="s">
        <v>59</v>
      </c>
      <c r="F23" t="s">
        <v>100</v>
      </c>
      <c r="H23" t="str" cm="1">
        <f t="array" ref="H23">_xlfn.TEXTJOIN(", ", TRUE, IF(I23:M23&gt;0, I$1:M$1, ""))</f>
        <v>Tech Application</v>
      </c>
      <c r="I23">
        <v>0</v>
      </c>
      <c r="J23">
        <v>4</v>
      </c>
      <c r="K23">
        <v>0</v>
      </c>
      <c r="L23">
        <v>0</v>
      </c>
      <c r="M23">
        <v>0</v>
      </c>
      <c r="N23">
        <v>0</v>
      </c>
    </row>
    <row r="24" spans="1:14" x14ac:dyDescent="0.35">
      <c r="A24" t="s">
        <v>6</v>
      </c>
      <c r="B24" t="s">
        <v>108</v>
      </c>
      <c r="C24" t="s">
        <v>109</v>
      </c>
      <c r="E24" t="s">
        <v>110</v>
      </c>
      <c r="F24" t="s">
        <v>111</v>
      </c>
      <c r="H24" t="str" cm="1">
        <f t="array" ref="H24">_xlfn.TEXTJOIN(", ", TRUE, IF(I24:M24&gt;0, I$1:M$1, ""))</f>
        <v>Tech Application</v>
      </c>
      <c r="I24">
        <v>0</v>
      </c>
      <c r="J24">
        <v>2</v>
      </c>
      <c r="K24">
        <v>0</v>
      </c>
      <c r="L24">
        <v>0</v>
      </c>
      <c r="M24">
        <v>0</v>
      </c>
      <c r="N24">
        <v>0</v>
      </c>
    </row>
    <row r="25" spans="1:14" x14ac:dyDescent="0.35">
      <c r="A25" t="s">
        <v>6</v>
      </c>
      <c r="B25" t="s">
        <v>112</v>
      </c>
      <c r="E25" t="s">
        <v>62</v>
      </c>
      <c r="F25" t="s">
        <v>55</v>
      </c>
      <c r="H25" t="str" cm="1">
        <f t="array" ref="H25">_xlfn.TEXTJOIN(", ", TRUE, IF(I25:M25&gt;0, I$1:M$1, ""))</f>
        <v>Organisational View</v>
      </c>
      <c r="I25">
        <v>0</v>
      </c>
      <c r="J25">
        <v>0</v>
      </c>
      <c r="K25">
        <v>0</v>
      </c>
      <c r="L25">
        <v>1</v>
      </c>
      <c r="M25">
        <v>0</v>
      </c>
      <c r="N25">
        <v>0</v>
      </c>
    </row>
    <row r="26" spans="1:14" x14ac:dyDescent="0.35">
      <c r="A26" t="s">
        <v>6</v>
      </c>
      <c r="B26" t="s">
        <v>113</v>
      </c>
      <c r="C26" t="s">
        <v>114</v>
      </c>
      <c r="D26" t="s">
        <v>115</v>
      </c>
      <c r="E26" t="s">
        <v>62</v>
      </c>
      <c r="F26" t="s">
        <v>116</v>
      </c>
      <c r="H26" t="str" cm="1">
        <f t="array" ref="H26">_xlfn.TEXTJOIN(", ", TRUE, IF(I26:M26&gt;0, I$1:M$1, ""))</f>
        <v>Tech Application, Organisational View, Semantic View</v>
      </c>
      <c r="I26">
        <v>0</v>
      </c>
      <c r="J26">
        <v>3</v>
      </c>
      <c r="K26">
        <v>0</v>
      </c>
      <c r="L26">
        <v>1</v>
      </c>
      <c r="M26">
        <v>3</v>
      </c>
      <c r="N26">
        <v>0</v>
      </c>
    </row>
    <row r="27" spans="1:14" x14ac:dyDescent="0.35">
      <c r="A27" t="s">
        <v>6</v>
      </c>
      <c r="B27" t="s">
        <v>117</v>
      </c>
      <c r="D27" t="s">
        <v>118</v>
      </c>
      <c r="E27" t="s">
        <v>119</v>
      </c>
      <c r="F27" t="s">
        <v>92</v>
      </c>
      <c r="H27" t="str" cm="1">
        <f t="array" ref="H27">_xlfn.TEXTJOIN(", ", TRUE, IF(I27:M27&gt;0, I$1:M$1, ""))</f>
        <v>Tech Application</v>
      </c>
      <c r="I27">
        <v>0</v>
      </c>
      <c r="J27">
        <v>2</v>
      </c>
      <c r="K27">
        <v>0</v>
      </c>
      <c r="L27">
        <v>0</v>
      </c>
      <c r="M27">
        <v>0</v>
      </c>
      <c r="N27">
        <v>0</v>
      </c>
    </row>
    <row r="28" spans="1:14" x14ac:dyDescent="0.35">
      <c r="A28" t="s">
        <v>6</v>
      </c>
      <c r="B28" t="s">
        <v>120</v>
      </c>
      <c r="C28" t="s">
        <v>120</v>
      </c>
      <c r="E28" t="s">
        <v>121</v>
      </c>
      <c r="F28" t="s">
        <v>92</v>
      </c>
      <c r="H28" t="str" cm="1">
        <f t="array" ref="H28">_xlfn.TEXTJOIN(", ", TRUE, IF(I28:M28&gt;0, I$1:M$1, ""))</f>
        <v>Tech Application</v>
      </c>
      <c r="I28">
        <v>0</v>
      </c>
      <c r="J28">
        <v>2</v>
      </c>
      <c r="K28">
        <v>0</v>
      </c>
      <c r="L28">
        <v>0</v>
      </c>
      <c r="M28">
        <v>0</v>
      </c>
      <c r="N28">
        <v>2</v>
      </c>
    </row>
    <row r="29" spans="1:14" x14ac:dyDescent="0.35">
      <c r="A29" t="s">
        <v>6</v>
      </c>
      <c r="B29" t="s">
        <v>122</v>
      </c>
      <c r="D29" t="s">
        <v>123</v>
      </c>
      <c r="E29" t="s">
        <v>124</v>
      </c>
      <c r="F29" t="s">
        <v>125</v>
      </c>
      <c r="H29" t="str" cm="1">
        <f t="array" ref="H29">_xlfn.TEXTJOIN(", ", TRUE, IF(I29:M29&gt;0, I$1:M$1, ""))</f>
        <v>Tech Application, Semantic View</v>
      </c>
      <c r="I29">
        <v>0</v>
      </c>
      <c r="J29">
        <v>3</v>
      </c>
      <c r="K29">
        <v>0</v>
      </c>
      <c r="L29">
        <v>0</v>
      </c>
      <c r="M29">
        <v>1</v>
      </c>
      <c r="N29">
        <v>0</v>
      </c>
    </row>
    <row r="30" spans="1:14" x14ac:dyDescent="0.35">
      <c r="A30" t="s">
        <v>6</v>
      </c>
      <c r="B30" t="s">
        <v>126</v>
      </c>
      <c r="D30" t="s">
        <v>127</v>
      </c>
      <c r="E30" t="s">
        <v>69</v>
      </c>
      <c r="F30" t="s">
        <v>55</v>
      </c>
      <c r="H30" t="str" cm="1">
        <f t="array" ref="H30">_xlfn.TEXTJOIN(", ", TRUE, IF(I30:M30&gt;0, I$1:M$1, ""))</f>
        <v>Tech Application</v>
      </c>
      <c r="I30">
        <v>0</v>
      </c>
      <c r="J30">
        <v>6</v>
      </c>
      <c r="K30">
        <v>0</v>
      </c>
      <c r="L30">
        <v>0</v>
      </c>
      <c r="M30">
        <v>0</v>
      </c>
      <c r="N30">
        <v>0</v>
      </c>
    </row>
    <row r="31" spans="1:14" x14ac:dyDescent="0.35">
      <c r="A31" t="s">
        <v>6</v>
      </c>
      <c r="B31" t="s">
        <v>128</v>
      </c>
      <c r="C31" t="s">
        <v>129</v>
      </c>
      <c r="D31" t="s">
        <v>130</v>
      </c>
      <c r="E31" t="s">
        <v>59</v>
      </c>
      <c r="F31" t="s">
        <v>100</v>
      </c>
      <c r="H31" t="str" cm="1">
        <f t="array" ref="H31">_xlfn.TEXTJOIN(", ", TRUE, IF(I31:M31&gt;0, I$1:M$1, ""))</f>
        <v>Tech Application</v>
      </c>
      <c r="I31">
        <v>0</v>
      </c>
      <c r="J31">
        <v>4</v>
      </c>
      <c r="K31">
        <v>0</v>
      </c>
      <c r="L31">
        <v>0</v>
      </c>
      <c r="M31">
        <v>0</v>
      </c>
      <c r="N31">
        <v>0</v>
      </c>
    </row>
    <row r="32" spans="1:14" x14ac:dyDescent="0.35">
      <c r="A32" t="s">
        <v>6</v>
      </c>
      <c r="B32" t="s">
        <v>131</v>
      </c>
      <c r="C32" t="s">
        <v>132</v>
      </c>
      <c r="D32" t="s">
        <v>133</v>
      </c>
      <c r="E32" t="s">
        <v>134</v>
      </c>
      <c r="F32" t="s">
        <v>51</v>
      </c>
      <c r="H32" t="str" cm="1">
        <f t="array" ref="H32">_xlfn.TEXTJOIN(", ", TRUE, IF(I32:M32&gt;0, I$1:M$1, ""))</f>
        <v>Semantic View</v>
      </c>
      <c r="I32">
        <v>0</v>
      </c>
      <c r="J32">
        <v>0</v>
      </c>
      <c r="K32">
        <v>0</v>
      </c>
      <c r="L32">
        <v>0</v>
      </c>
      <c r="M32">
        <v>2</v>
      </c>
      <c r="N32">
        <v>2</v>
      </c>
    </row>
    <row r="33" spans="1:14" x14ac:dyDescent="0.35">
      <c r="A33" t="s">
        <v>6</v>
      </c>
      <c r="B33" t="s">
        <v>135</v>
      </c>
      <c r="D33" t="s">
        <v>136</v>
      </c>
      <c r="E33" t="s">
        <v>50</v>
      </c>
      <c r="F33" t="s">
        <v>51</v>
      </c>
      <c r="H33" t="str" cm="1">
        <f t="array" ref="H33">_xlfn.TEXTJOIN(", ", TRUE, IF(I33:M33&gt;0, I$1:M$1, ""))</f>
        <v>Tech Infrastructure, Tech Application</v>
      </c>
      <c r="I33">
        <v>1</v>
      </c>
      <c r="J33">
        <v>3</v>
      </c>
      <c r="K33">
        <v>0</v>
      </c>
      <c r="L33">
        <v>0</v>
      </c>
      <c r="M33">
        <v>0</v>
      </c>
      <c r="N33">
        <v>0</v>
      </c>
    </row>
    <row r="34" spans="1:14" x14ac:dyDescent="0.35">
      <c r="A34" t="s">
        <v>6</v>
      </c>
      <c r="B34" t="s">
        <v>137</v>
      </c>
      <c r="D34" t="s">
        <v>138</v>
      </c>
      <c r="E34" t="s">
        <v>59</v>
      </c>
      <c r="F34" t="s">
        <v>100</v>
      </c>
      <c r="H34" t="str" cm="1">
        <f t="array" ref="H34">_xlfn.TEXTJOIN(", ", TRUE, IF(I34:M34&gt;0, I$1:M$1, ""))</f>
        <v>Tech Infrastructure, Tech Application, Semantic View</v>
      </c>
      <c r="I34">
        <v>1</v>
      </c>
      <c r="J34">
        <v>2</v>
      </c>
      <c r="K34">
        <v>0</v>
      </c>
      <c r="L34">
        <v>0</v>
      </c>
      <c r="M34">
        <v>1</v>
      </c>
      <c r="N34">
        <v>0</v>
      </c>
    </row>
    <row r="35" spans="1:14" x14ac:dyDescent="0.35">
      <c r="A35" t="s">
        <v>6</v>
      </c>
      <c r="B35" t="s">
        <v>139</v>
      </c>
      <c r="C35" t="s">
        <v>140</v>
      </c>
      <c r="E35" t="s">
        <v>62</v>
      </c>
      <c r="F35" t="s">
        <v>51</v>
      </c>
      <c r="H35" t="str" cm="1">
        <f t="array" ref="H35">_xlfn.TEXTJOIN(", ", TRUE, IF(I35:M35&gt;0, I$1:M$1, ""))</f>
        <v>Semantic View</v>
      </c>
      <c r="I35">
        <v>0</v>
      </c>
      <c r="J35">
        <v>0</v>
      </c>
      <c r="K35">
        <v>0</v>
      </c>
      <c r="L35">
        <v>0</v>
      </c>
      <c r="M35">
        <v>2</v>
      </c>
      <c r="N35">
        <v>2</v>
      </c>
    </row>
    <row r="36" spans="1:14" x14ac:dyDescent="0.35">
      <c r="A36" t="s">
        <v>6</v>
      </c>
      <c r="B36" t="s">
        <v>141</v>
      </c>
      <c r="C36" t="s">
        <v>142</v>
      </c>
      <c r="D36" t="s">
        <v>143</v>
      </c>
      <c r="E36" t="s">
        <v>59</v>
      </c>
      <c r="F36" t="s">
        <v>100</v>
      </c>
      <c r="H36" t="str" cm="1">
        <f t="array" ref="H36">_xlfn.TEXTJOIN(", ", TRUE, IF(I36:M36&gt;0, I$1:M$1, ""))</f>
        <v>Tech Application</v>
      </c>
      <c r="I36">
        <v>0</v>
      </c>
      <c r="J36">
        <v>2</v>
      </c>
      <c r="K36">
        <v>0</v>
      </c>
      <c r="L36">
        <v>0</v>
      </c>
      <c r="M36">
        <v>0</v>
      </c>
      <c r="N36">
        <v>0</v>
      </c>
    </row>
    <row r="37" spans="1:14" x14ac:dyDescent="0.35">
      <c r="A37" t="s">
        <v>6</v>
      </c>
      <c r="B37" t="s">
        <v>144</v>
      </c>
      <c r="C37" t="s">
        <v>145</v>
      </c>
      <c r="D37" t="s">
        <v>146</v>
      </c>
      <c r="E37" t="s">
        <v>50</v>
      </c>
      <c r="F37" t="s">
        <v>55</v>
      </c>
      <c r="H37" t="str" cm="1">
        <f t="array" ref="H37">_xlfn.TEXTJOIN(", ", TRUE, IF(I37:M37&gt;0, I$1:M$1, ""))</f>
        <v>Tech Application</v>
      </c>
      <c r="I37">
        <v>0</v>
      </c>
      <c r="J37">
        <v>2</v>
      </c>
      <c r="K37">
        <v>0</v>
      </c>
      <c r="L37">
        <v>0</v>
      </c>
      <c r="M37">
        <v>0</v>
      </c>
      <c r="N37">
        <v>0</v>
      </c>
    </row>
    <row r="38" spans="1:14" x14ac:dyDescent="0.35">
      <c r="A38" t="s">
        <v>6</v>
      </c>
      <c r="B38" t="s">
        <v>147</v>
      </c>
      <c r="E38" t="s">
        <v>148</v>
      </c>
      <c r="F38" t="s">
        <v>149</v>
      </c>
      <c r="H38" t="str" cm="1">
        <f t="array" ref="H38">_xlfn.TEXTJOIN(", ", TRUE, IF(I38:M38&gt;0, I$1:M$1, ""))</f>
        <v>Semantic View</v>
      </c>
      <c r="I38">
        <v>0</v>
      </c>
      <c r="J38">
        <v>0</v>
      </c>
      <c r="K38">
        <v>0</v>
      </c>
      <c r="L38">
        <v>0</v>
      </c>
      <c r="M38">
        <v>2</v>
      </c>
      <c r="N38">
        <v>0</v>
      </c>
    </row>
    <row r="39" spans="1:14" x14ac:dyDescent="0.35">
      <c r="A39" t="s">
        <v>6</v>
      </c>
      <c r="B39" t="s">
        <v>150</v>
      </c>
      <c r="C39" t="s">
        <v>151</v>
      </c>
      <c r="E39" t="s">
        <v>62</v>
      </c>
      <c r="F39" t="s">
        <v>152</v>
      </c>
      <c r="H39" t="str" cm="1">
        <f t="array" ref="H39">_xlfn.TEXTJOIN(", ", TRUE, IF(I39:M39&gt;0, I$1:M$1, ""))</f>
        <v>Tech Infrastructure, Tech Application</v>
      </c>
      <c r="I39">
        <v>1</v>
      </c>
      <c r="J39">
        <v>5</v>
      </c>
      <c r="K39">
        <v>0</v>
      </c>
      <c r="L39">
        <v>0</v>
      </c>
      <c r="M39">
        <v>0</v>
      </c>
      <c r="N39">
        <v>0</v>
      </c>
    </row>
    <row r="40" spans="1:14" x14ac:dyDescent="0.35">
      <c r="A40" t="s">
        <v>6</v>
      </c>
      <c r="B40" t="s">
        <v>153</v>
      </c>
      <c r="E40" t="s">
        <v>154</v>
      </c>
      <c r="F40" t="s">
        <v>155</v>
      </c>
      <c r="H40" t="str" cm="1">
        <f t="array" ref="H40">_xlfn.TEXTJOIN(", ", TRUE, IF(I40:M40&gt;0, I$1:M$1, ""))</f>
        <v>Tech Application</v>
      </c>
      <c r="I40">
        <v>0</v>
      </c>
      <c r="J40">
        <v>3</v>
      </c>
      <c r="K40">
        <v>0</v>
      </c>
      <c r="L40">
        <v>0</v>
      </c>
      <c r="M40">
        <v>0</v>
      </c>
      <c r="N40">
        <v>0</v>
      </c>
    </row>
    <row r="41" spans="1:14" x14ac:dyDescent="0.35">
      <c r="A41" t="s">
        <v>6</v>
      </c>
      <c r="B41" t="s">
        <v>156</v>
      </c>
      <c r="E41" t="s">
        <v>157</v>
      </c>
      <c r="F41" t="s">
        <v>158</v>
      </c>
      <c r="H41" t="str" cm="1">
        <f t="array" ref="H41">_xlfn.TEXTJOIN(", ", TRUE, IF(I41:M41&gt;0, I$1:M$1, ""))</f>
        <v>Semantic View</v>
      </c>
      <c r="I41">
        <v>0</v>
      </c>
      <c r="J41">
        <v>0</v>
      </c>
      <c r="K41">
        <v>0</v>
      </c>
      <c r="L41">
        <v>0</v>
      </c>
      <c r="M41">
        <v>1</v>
      </c>
      <c r="N41">
        <v>0</v>
      </c>
    </row>
    <row r="42" spans="1:14" x14ac:dyDescent="0.35">
      <c r="A42" t="s">
        <v>6</v>
      </c>
      <c r="B42" t="s">
        <v>159</v>
      </c>
      <c r="C42" t="s">
        <v>160</v>
      </c>
      <c r="E42" t="s">
        <v>161</v>
      </c>
      <c r="F42" t="s">
        <v>162</v>
      </c>
      <c r="H42" t="str" cm="1">
        <f t="array" ref="H42">_xlfn.TEXTJOIN(", ", TRUE, IF(I42:M42&gt;0, I$1:M$1, ""))</f>
        <v>Tech Application</v>
      </c>
      <c r="I42">
        <v>0</v>
      </c>
      <c r="J42">
        <v>1</v>
      </c>
      <c r="K42">
        <v>0</v>
      </c>
      <c r="L42">
        <v>0</v>
      </c>
      <c r="M42">
        <v>0</v>
      </c>
      <c r="N42">
        <v>0</v>
      </c>
    </row>
    <row r="43" spans="1:14" x14ac:dyDescent="0.35">
      <c r="A43" t="s">
        <v>6</v>
      </c>
      <c r="B43" t="s">
        <v>163</v>
      </c>
      <c r="D43" t="s">
        <v>164</v>
      </c>
      <c r="E43" t="s">
        <v>62</v>
      </c>
      <c r="F43" t="s">
        <v>165</v>
      </c>
      <c r="H43" t="str" cm="1">
        <f t="array" ref="H43">_xlfn.TEXTJOIN(", ", TRUE, IF(I43:M43&gt;0, I$1:M$1, ""))</f>
        <v>Legal View</v>
      </c>
      <c r="I43">
        <v>0</v>
      </c>
      <c r="J43">
        <v>0</v>
      </c>
      <c r="K43">
        <v>5</v>
      </c>
      <c r="L43">
        <v>0</v>
      </c>
      <c r="M43">
        <v>0</v>
      </c>
      <c r="N43">
        <v>0</v>
      </c>
    </row>
    <row r="44" spans="1:14" x14ac:dyDescent="0.35">
      <c r="A44" t="s">
        <v>6</v>
      </c>
      <c r="B44" t="s">
        <v>166</v>
      </c>
      <c r="C44" t="s">
        <v>167</v>
      </c>
      <c r="E44" t="s">
        <v>96</v>
      </c>
      <c r="F44" t="s">
        <v>55</v>
      </c>
      <c r="H44" t="str" cm="1">
        <f t="array" ref="H44">_xlfn.TEXTJOIN(", ", TRUE, IF(I44:M44&gt;0, I$1:M$1, ""))</f>
        <v>Tech Application</v>
      </c>
      <c r="I44">
        <v>0</v>
      </c>
      <c r="J44">
        <v>2</v>
      </c>
      <c r="K44">
        <v>0</v>
      </c>
      <c r="L44">
        <v>0</v>
      </c>
      <c r="M44">
        <v>0</v>
      </c>
      <c r="N44">
        <v>0</v>
      </c>
    </row>
    <row r="45" spans="1:14" x14ac:dyDescent="0.35">
      <c r="A45" t="s">
        <v>6</v>
      </c>
      <c r="B45" t="s">
        <v>168</v>
      </c>
      <c r="E45" t="s">
        <v>169</v>
      </c>
      <c r="F45" t="s">
        <v>170</v>
      </c>
      <c r="H45" t="str" cm="1">
        <f t="array" ref="H45">_xlfn.TEXTJOIN(", ", TRUE, IF(I45:M45&gt;0, I$1:M$1, ""))</f>
        <v>Tech Application</v>
      </c>
      <c r="I45">
        <v>0</v>
      </c>
      <c r="J45">
        <v>2</v>
      </c>
      <c r="K45">
        <v>0</v>
      </c>
      <c r="L45">
        <v>0</v>
      </c>
      <c r="M45">
        <v>0</v>
      </c>
      <c r="N45">
        <v>0</v>
      </c>
    </row>
    <row r="46" spans="1:14" x14ac:dyDescent="0.35">
      <c r="A46" t="s">
        <v>6</v>
      </c>
      <c r="B46" t="s">
        <v>171</v>
      </c>
      <c r="C46" t="s">
        <v>172</v>
      </c>
      <c r="D46" t="s">
        <v>173</v>
      </c>
      <c r="E46" t="s">
        <v>59</v>
      </c>
      <c r="F46" t="s">
        <v>100</v>
      </c>
      <c r="H46" t="str" cm="1">
        <f t="array" ref="H46">_xlfn.TEXTJOIN(", ", TRUE, IF(I46:M46&gt;0, I$1:M$1, ""))</f>
        <v>Tech Application</v>
      </c>
      <c r="I46">
        <v>0</v>
      </c>
      <c r="J46">
        <v>2</v>
      </c>
      <c r="K46">
        <v>0</v>
      </c>
      <c r="L46">
        <v>0</v>
      </c>
      <c r="M46">
        <v>0</v>
      </c>
      <c r="N46">
        <v>0</v>
      </c>
    </row>
    <row r="47" spans="1:14" x14ac:dyDescent="0.35">
      <c r="A47" t="s">
        <v>6</v>
      </c>
      <c r="B47" t="s">
        <v>174</v>
      </c>
      <c r="E47" t="s">
        <v>99</v>
      </c>
      <c r="F47" t="s">
        <v>152</v>
      </c>
      <c r="H47" t="str" cm="1">
        <f t="array" ref="H47">_xlfn.TEXTJOIN(", ", TRUE, IF(I47:M47&gt;0, I$1:M$1, ""))</f>
        <v/>
      </c>
      <c r="I47">
        <v>0</v>
      </c>
      <c r="J47">
        <v>0</v>
      </c>
      <c r="K47">
        <v>0</v>
      </c>
      <c r="L47">
        <v>0</v>
      </c>
      <c r="M47">
        <v>0</v>
      </c>
      <c r="N47">
        <v>0</v>
      </c>
    </row>
    <row r="48" spans="1:14" x14ac:dyDescent="0.35">
      <c r="A48" t="s">
        <v>6</v>
      </c>
      <c r="B48" t="s">
        <v>175</v>
      </c>
      <c r="D48" t="s">
        <v>176</v>
      </c>
      <c r="E48" t="s">
        <v>69</v>
      </c>
      <c r="F48" t="s">
        <v>55</v>
      </c>
      <c r="H48" t="str" cm="1">
        <f t="array" ref="H48">_xlfn.TEXTJOIN(", ", TRUE, IF(I48:M48&gt;0, I$1:M$1, ""))</f>
        <v>Tech Infrastructure, Organisational View</v>
      </c>
      <c r="I48">
        <v>1</v>
      </c>
      <c r="J48">
        <v>0</v>
      </c>
      <c r="K48">
        <v>0</v>
      </c>
      <c r="L48">
        <v>1</v>
      </c>
      <c r="M48">
        <v>0</v>
      </c>
      <c r="N48">
        <v>0</v>
      </c>
    </row>
    <row r="49" spans="1:14" x14ac:dyDescent="0.35">
      <c r="A49" t="s">
        <v>6</v>
      </c>
      <c r="B49" t="s">
        <v>177</v>
      </c>
      <c r="C49" t="s">
        <v>178</v>
      </c>
      <c r="D49" t="s">
        <v>179</v>
      </c>
      <c r="E49" t="s">
        <v>124</v>
      </c>
      <c r="F49" t="s">
        <v>180</v>
      </c>
      <c r="H49" t="str" cm="1">
        <f t="array" ref="H49">_xlfn.TEXTJOIN(", ", TRUE, IF(I49:M49&gt;0, I$1:M$1, ""))</f>
        <v>Tech Application</v>
      </c>
      <c r="I49">
        <v>0</v>
      </c>
      <c r="J49">
        <v>3</v>
      </c>
      <c r="K49">
        <v>0</v>
      </c>
      <c r="L49">
        <v>0</v>
      </c>
      <c r="M49">
        <v>0</v>
      </c>
      <c r="N49">
        <v>0</v>
      </c>
    </row>
    <row r="50" spans="1:14" x14ac:dyDescent="0.35">
      <c r="A50" t="s">
        <v>6</v>
      </c>
      <c r="B50" t="s">
        <v>181</v>
      </c>
      <c r="E50" t="s">
        <v>182</v>
      </c>
      <c r="F50" t="s">
        <v>183</v>
      </c>
      <c r="H50" t="str" cm="1">
        <f t="array" ref="H50">_xlfn.TEXTJOIN(", ", TRUE, IF(I50:M50&gt;0, I$1:M$1, ""))</f>
        <v>Tech Application</v>
      </c>
      <c r="I50">
        <v>0</v>
      </c>
      <c r="J50">
        <v>2</v>
      </c>
      <c r="K50">
        <v>0</v>
      </c>
      <c r="L50">
        <v>0</v>
      </c>
      <c r="M50">
        <v>0</v>
      </c>
      <c r="N50">
        <v>0</v>
      </c>
    </row>
    <row r="51" spans="1:14" x14ac:dyDescent="0.35">
      <c r="A51" t="s">
        <v>6</v>
      </c>
      <c r="B51" t="s">
        <v>184</v>
      </c>
      <c r="C51" t="s">
        <v>185</v>
      </c>
      <c r="D51" t="s">
        <v>186</v>
      </c>
      <c r="E51" t="s">
        <v>50</v>
      </c>
      <c r="F51" t="s">
        <v>55</v>
      </c>
      <c r="H51" t="str" cm="1">
        <f t="array" ref="H51">_xlfn.TEXTJOIN(", ", TRUE, IF(I51:M51&gt;0, I$1:M$1, ""))</f>
        <v>Tech Application</v>
      </c>
      <c r="I51">
        <v>0</v>
      </c>
      <c r="J51">
        <v>2</v>
      </c>
      <c r="K51">
        <v>0</v>
      </c>
      <c r="L51">
        <v>0</v>
      </c>
      <c r="M51">
        <v>0</v>
      </c>
      <c r="N51">
        <v>0</v>
      </c>
    </row>
    <row r="52" spans="1:14" x14ac:dyDescent="0.35">
      <c r="A52" t="s">
        <v>6</v>
      </c>
      <c r="B52" t="s">
        <v>187</v>
      </c>
      <c r="C52" t="s">
        <v>172</v>
      </c>
      <c r="D52" t="s">
        <v>188</v>
      </c>
      <c r="E52" t="s">
        <v>59</v>
      </c>
      <c r="F52" t="s">
        <v>189</v>
      </c>
      <c r="H52" t="str" cm="1">
        <f t="array" ref="H52">_xlfn.TEXTJOIN(", ", TRUE, IF(I52:M52&gt;0, I$1:M$1, ""))</f>
        <v>Tech Application</v>
      </c>
      <c r="I52">
        <v>0</v>
      </c>
      <c r="J52">
        <v>2</v>
      </c>
      <c r="K52">
        <v>0</v>
      </c>
      <c r="L52">
        <v>0</v>
      </c>
      <c r="M52">
        <v>0</v>
      </c>
      <c r="N52">
        <v>0</v>
      </c>
    </row>
    <row r="53" spans="1:14" x14ac:dyDescent="0.35">
      <c r="A53" t="s">
        <v>6</v>
      </c>
      <c r="B53" t="s">
        <v>190</v>
      </c>
      <c r="C53" t="s">
        <v>191</v>
      </c>
      <c r="E53" t="s">
        <v>96</v>
      </c>
      <c r="F53" t="s">
        <v>51</v>
      </c>
      <c r="H53" t="str" cm="1">
        <f t="array" ref="H53">_xlfn.TEXTJOIN(", ", TRUE, IF(I53:M53&gt;0, I$1:M$1, ""))</f>
        <v/>
      </c>
      <c r="I53">
        <v>0</v>
      </c>
      <c r="J53">
        <v>0</v>
      </c>
      <c r="K53">
        <v>0</v>
      </c>
      <c r="L53">
        <v>0</v>
      </c>
      <c r="M53">
        <v>0</v>
      </c>
      <c r="N53">
        <v>0</v>
      </c>
    </row>
    <row r="54" spans="1:14" x14ac:dyDescent="0.35">
      <c r="A54" t="s">
        <v>6</v>
      </c>
      <c r="B54" t="s">
        <v>192</v>
      </c>
      <c r="C54" t="s">
        <v>193</v>
      </c>
      <c r="E54" t="s">
        <v>121</v>
      </c>
      <c r="F54" t="s">
        <v>55</v>
      </c>
      <c r="H54" t="str" cm="1">
        <f t="array" ref="H54">_xlfn.TEXTJOIN(", ", TRUE, IF(I54:M54&gt;0, I$1:M$1, ""))</f>
        <v>Semantic View</v>
      </c>
      <c r="I54">
        <v>0</v>
      </c>
      <c r="J54">
        <v>0</v>
      </c>
      <c r="K54">
        <v>0</v>
      </c>
      <c r="L54">
        <v>0</v>
      </c>
      <c r="M54">
        <v>8</v>
      </c>
      <c r="N54">
        <v>1</v>
      </c>
    </row>
    <row r="55" spans="1:14" x14ac:dyDescent="0.35">
      <c r="A55" t="s">
        <v>6</v>
      </c>
      <c r="B55" t="s">
        <v>194</v>
      </c>
      <c r="C55" t="s">
        <v>195</v>
      </c>
      <c r="E55" t="s">
        <v>96</v>
      </c>
      <c r="F55" t="s">
        <v>55</v>
      </c>
      <c r="H55" t="str" cm="1">
        <f t="array" ref="H55">_xlfn.TEXTJOIN(", ", TRUE, IF(I55:M55&gt;0, I$1:M$1, ""))</f>
        <v>Tech Application, Organisational View, Semantic View</v>
      </c>
      <c r="I55">
        <v>0</v>
      </c>
      <c r="J55">
        <v>4</v>
      </c>
      <c r="K55">
        <v>0</v>
      </c>
      <c r="L55">
        <v>1</v>
      </c>
      <c r="M55">
        <v>1</v>
      </c>
      <c r="N55">
        <v>0</v>
      </c>
    </row>
    <row r="56" spans="1:14" x14ac:dyDescent="0.35">
      <c r="A56" t="s">
        <v>6</v>
      </c>
      <c r="B56" t="s">
        <v>196</v>
      </c>
      <c r="D56" t="s">
        <v>197</v>
      </c>
      <c r="E56" t="s">
        <v>62</v>
      </c>
      <c r="F56" t="s">
        <v>198</v>
      </c>
      <c r="H56" t="str" cm="1">
        <f t="array" ref="H56">_xlfn.TEXTJOIN(", ", TRUE, IF(I56:M56&gt;0, I$1:M$1, ""))</f>
        <v>Organisational View</v>
      </c>
      <c r="I56">
        <v>0</v>
      </c>
      <c r="J56">
        <v>0</v>
      </c>
      <c r="K56">
        <v>0</v>
      </c>
      <c r="L56">
        <v>1</v>
      </c>
      <c r="M56">
        <v>0</v>
      </c>
      <c r="N56">
        <v>0</v>
      </c>
    </row>
    <row r="57" spans="1:14" x14ac:dyDescent="0.35">
      <c r="A57" t="s">
        <v>6</v>
      </c>
      <c r="B57" t="s">
        <v>199</v>
      </c>
      <c r="C57" t="s">
        <v>200</v>
      </c>
      <c r="E57" t="s">
        <v>66</v>
      </c>
      <c r="F57" t="s">
        <v>55</v>
      </c>
      <c r="H57" t="str" cm="1">
        <f t="array" ref="H57">_xlfn.TEXTJOIN(", ", TRUE, IF(I57:M57&gt;0, I$1:M$1, ""))</f>
        <v>Semantic View</v>
      </c>
      <c r="I57">
        <v>0</v>
      </c>
      <c r="J57">
        <v>0</v>
      </c>
      <c r="K57">
        <v>0</v>
      </c>
      <c r="L57">
        <v>0</v>
      </c>
      <c r="M57">
        <v>1</v>
      </c>
      <c r="N57">
        <v>0</v>
      </c>
    </row>
    <row r="58" spans="1:14" x14ac:dyDescent="0.35">
      <c r="A58" t="s">
        <v>6</v>
      </c>
      <c r="B58" t="s">
        <v>201</v>
      </c>
      <c r="E58" t="s">
        <v>66</v>
      </c>
      <c r="F58" t="s">
        <v>202</v>
      </c>
      <c r="H58" t="str" cm="1">
        <f t="array" ref="H58">_xlfn.TEXTJOIN(", ", TRUE, IF(I58:M58&gt;0, I$1:M$1, ""))</f>
        <v>Legal View</v>
      </c>
      <c r="I58">
        <v>0</v>
      </c>
      <c r="J58">
        <v>0</v>
      </c>
      <c r="K58">
        <v>9</v>
      </c>
      <c r="L58">
        <v>0</v>
      </c>
      <c r="M58">
        <v>0</v>
      </c>
      <c r="N58">
        <v>2</v>
      </c>
    </row>
    <row r="59" spans="1:14" x14ac:dyDescent="0.35">
      <c r="A59" t="s">
        <v>6</v>
      </c>
      <c r="B59" t="s">
        <v>203</v>
      </c>
      <c r="C59" t="s">
        <v>204</v>
      </c>
      <c r="D59" t="s">
        <v>205</v>
      </c>
      <c r="E59" t="s">
        <v>59</v>
      </c>
      <c r="F59" t="s">
        <v>206</v>
      </c>
      <c r="H59" t="str" cm="1">
        <f t="array" ref="H59">_xlfn.TEXTJOIN(", ", TRUE, IF(I59:M59&gt;0, I$1:M$1, ""))</f>
        <v>Tech Application</v>
      </c>
      <c r="I59">
        <v>0</v>
      </c>
      <c r="J59">
        <v>1</v>
      </c>
      <c r="K59">
        <v>0</v>
      </c>
      <c r="L59">
        <v>0</v>
      </c>
      <c r="M59">
        <v>0</v>
      </c>
      <c r="N59">
        <v>0</v>
      </c>
    </row>
    <row r="60" spans="1:14" x14ac:dyDescent="0.35">
      <c r="A60" t="s">
        <v>6</v>
      </c>
      <c r="B60" t="s">
        <v>207</v>
      </c>
      <c r="D60" t="s">
        <v>208</v>
      </c>
      <c r="E60" t="s">
        <v>69</v>
      </c>
      <c r="F60" t="s">
        <v>55</v>
      </c>
      <c r="H60" t="str" cm="1">
        <f t="array" ref="H60">_xlfn.TEXTJOIN(", ", TRUE, IF(I60:M60&gt;0, I$1:M$1, ""))</f>
        <v>Tech Application, Organisational View</v>
      </c>
      <c r="I60">
        <v>0</v>
      </c>
      <c r="J60">
        <v>2</v>
      </c>
      <c r="K60">
        <v>0</v>
      </c>
      <c r="L60">
        <v>1</v>
      </c>
      <c r="M60">
        <v>0</v>
      </c>
      <c r="N60">
        <v>0</v>
      </c>
    </row>
    <row r="61" spans="1:14" x14ac:dyDescent="0.35">
      <c r="A61" t="s">
        <v>6</v>
      </c>
      <c r="B61" t="s">
        <v>209</v>
      </c>
      <c r="E61" t="s">
        <v>62</v>
      </c>
      <c r="F61" t="s">
        <v>55</v>
      </c>
      <c r="H61" t="str" cm="1">
        <f t="array" ref="H61">_xlfn.TEXTJOIN(", ", TRUE, IF(I61:M61&gt;0, I$1:M$1, ""))</f>
        <v>Tech Application</v>
      </c>
      <c r="I61">
        <v>0</v>
      </c>
      <c r="J61">
        <v>1</v>
      </c>
      <c r="K61">
        <v>0</v>
      </c>
      <c r="L61">
        <v>0</v>
      </c>
      <c r="M61">
        <v>0</v>
      </c>
      <c r="N61">
        <v>0</v>
      </c>
    </row>
    <row r="62" spans="1:14" x14ac:dyDescent="0.35">
      <c r="A62" t="s">
        <v>6</v>
      </c>
      <c r="B62" t="s">
        <v>210</v>
      </c>
      <c r="C62" t="s">
        <v>211</v>
      </c>
      <c r="E62" t="s">
        <v>62</v>
      </c>
      <c r="F62" t="s">
        <v>51</v>
      </c>
      <c r="H62" t="str" cm="1">
        <f t="array" ref="H62">_xlfn.TEXTJOIN(", ", TRUE, IF(I62:M62&gt;0, I$1:M$1, ""))</f>
        <v>Semantic View</v>
      </c>
      <c r="I62">
        <v>0</v>
      </c>
      <c r="J62">
        <v>0</v>
      </c>
      <c r="K62">
        <v>0</v>
      </c>
      <c r="L62">
        <v>0</v>
      </c>
      <c r="M62">
        <v>6</v>
      </c>
      <c r="N62">
        <v>0</v>
      </c>
    </row>
    <row r="63" spans="1:14" x14ac:dyDescent="0.35">
      <c r="A63" t="s">
        <v>6</v>
      </c>
      <c r="B63" t="s">
        <v>212</v>
      </c>
      <c r="C63" t="s">
        <v>213</v>
      </c>
      <c r="E63" t="s">
        <v>214</v>
      </c>
      <c r="F63" t="s">
        <v>215</v>
      </c>
      <c r="H63" t="str" cm="1">
        <f t="array" ref="H63">_xlfn.TEXTJOIN(", ", TRUE, IF(I63:M63&gt;0, I$1:M$1, ""))</f>
        <v>Tech Application</v>
      </c>
      <c r="I63">
        <v>0</v>
      </c>
      <c r="J63">
        <v>2</v>
      </c>
      <c r="K63">
        <v>0</v>
      </c>
      <c r="L63">
        <v>0</v>
      </c>
      <c r="M63">
        <v>0</v>
      </c>
      <c r="N63">
        <v>0</v>
      </c>
    </row>
    <row r="64" spans="1:14" x14ac:dyDescent="0.35">
      <c r="A64" t="s">
        <v>6</v>
      </c>
      <c r="B64" t="s">
        <v>216</v>
      </c>
      <c r="C64" t="s">
        <v>217</v>
      </c>
      <c r="D64" t="s">
        <v>218</v>
      </c>
      <c r="E64" t="s">
        <v>62</v>
      </c>
      <c r="F64" t="s">
        <v>55</v>
      </c>
      <c r="H64" t="str" cm="1">
        <f t="array" ref="H64">_xlfn.TEXTJOIN(", ", TRUE, IF(I64:M64&gt;0, I$1:M$1, ""))</f>
        <v>Legal View</v>
      </c>
      <c r="I64">
        <v>0</v>
      </c>
      <c r="J64">
        <v>0</v>
      </c>
      <c r="K64">
        <v>4</v>
      </c>
      <c r="L64">
        <v>0</v>
      </c>
      <c r="M64">
        <v>0</v>
      </c>
      <c r="N64">
        <v>0</v>
      </c>
    </row>
    <row r="65" spans="1:14" x14ac:dyDescent="0.35">
      <c r="A65" t="s">
        <v>6</v>
      </c>
      <c r="B65" t="s">
        <v>219</v>
      </c>
      <c r="E65" t="s">
        <v>220</v>
      </c>
      <c r="F65" t="s">
        <v>51</v>
      </c>
      <c r="H65" t="str" cm="1">
        <f t="array" ref="H65">_xlfn.TEXTJOIN(", ", TRUE, IF(I65:M65&gt;0, I$1:M$1, ""))</f>
        <v>Semantic View</v>
      </c>
      <c r="I65">
        <v>0</v>
      </c>
      <c r="J65">
        <v>0</v>
      </c>
      <c r="K65">
        <v>0</v>
      </c>
      <c r="L65">
        <v>0</v>
      </c>
      <c r="M65">
        <v>2</v>
      </c>
      <c r="N65">
        <v>0</v>
      </c>
    </row>
    <row r="66" spans="1:14" x14ac:dyDescent="0.35">
      <c r="A66" t="s">
        <v>6</v>
      </c>
      <c r="B66" t="s">
        <v>221</v>
      </c>
      <c r="E66" t="s">
        <v>222</v>
      </c>
      <c r="F66" t="s">
        <v>55</v>
      </c>
      <c r="H66" t="str" cm="1">
        <f t="array" ref="H66">_xlfn.TEXTJOIN(", ", TRUE, IF(I66:M66&gt;0, I$1:M$1, ""))</f>
        <v>Tech Application</v>
      </c>
      <c r="I66">
        <v>0</v>
      </c>
      <c r="J66">
        <v>2</v>
      </c>
      <c r="K66">
        <v>0</v>
      </c>
      <c r="L66">
        <v>0</v>
      </c>
      <c r="M66">
        <v>0</v>
      </c>
      <c r="N66">
        <v>0</v>
      </c>
    </row>
    <row r="67" spans="1:14" x14ac:dyDescent="0.35">
      <c r="A67" t="s">
        <v>6</v>
      </c>
      <c r="B67" t="s">
        <v>223</v>
      </c>
      <c r="C67" t="s">
        <v>224</v>
      </c>
      <c r="E67" t="s">
        <v>96</v>
      </c>
      <c r="F67" t="s">
        <v>92</v>
      </c>
      <c r="H67" t="str" cm="1">
        <f t="array" ref="H67">_xlfn.TEXTJOIN(", ", TRUE, IF(I67:M67&gt;0, I$1:M$1, ""))</f>
        <v>Tech Application, Legal View, Organisational View</v>
      </c>
      <c r="I67">
        <v>0</v>
      </c>
      <c r="J67">
        <v>3</v>
      </c>
      <c r="K67">
        <v>2</v>
      </c>
      <c r="L67">
        <v>1</v>
      </c>
      <c r="M67">
        <v>0</v>
      </c>
      <c r="N67">
        <v>2</v>
      </c>
    </row>
    <row r="68" spans="1:14" x14ac:dyDescent="0.35">
      <c r="A68" t="s">
        <v>6</v>
      </c>
      <c r="B68" t="s">
        <v>225</v>
      </c>
      <c r="D68" t="s">
        <v>226</v>
      </c>
      <c r="E68" t="s">
        <v>69</v>
      </c>
      <c r="F68" t="s">
        <v>55</v>
      </c>
      <c r="H68" t="str" cm="1">
        <f t="array" ref="H68">_xlfn.TEXTJOIN(", ", TRUE, IF(I68:M68&gt;0, I$1:M$1, ""))</f>
        <v>Tech Infrastructure</v>
      </c>
      <c r="I68">
        <v>2</v>
      </c>
      <c r="J68">
        <v>0</v>
      </c>
      <c r="K68">
        <v>0</v>
      </c>
      <c r="L68">
        <v>0</v>
      </c>
      <c r="M68">
        <v>0</v>
      </c>
      <c r="N68">
        <v>0</v>
      </c>
    </row>
    <row r="69" spans="1:14" x14ac:dyDescent="0.35">
      <c r="A69" t="s">
        <v>6</v>
      </c>
      <c r="B69" t="s">
        <v>227</v>
      </c>
      <c r="C69" t="s">
        <v>228</v>
      </c>
      <c r="D69" t="s">
        <v>229</v>
      </c>
      <c r="E69" t="s">
        <v>230</v>
      </c>
      <c r="F69" t="s">
        <v>55</v>
      </c>
      <c r="H69" t="str" cm="1">
        <f t="array" ref="H69">_xlfn.TEXTJOIN(", ", TRUE, IF(I69:M69&gt;0, I$1:M$1, ""))</f>
        <v>Tech Infrastructure</v>
      </c>
      <c r="I69">
        <v>1</v>
      </c>
      <c r="J69">
        <v>0</v>
      </c>
      <c r="K69">
        <v>0</v>
      </c>
      <c r="L69">
        <v>0</v>
      </c>
      <c r="M69">
        <v>0</v>
      </c>
      <c r="N69">
        <v>0</v>
      </c>
    </row>
    <row r="70" spans="1:14" x14ac:dyDescent="0.35">
      <c r="A70" t="s">
        <v>6</v>
      </c>
      <c r="B70" t="s">
        <v>231</v>
      </c>
      <c r="E70" t="s">
        <v>232</v>
      </c>
      <c r="F70" t="s">
        <v>92</v>
      </c>
      <c r="H70" t="str" cm="1">
        <f t="array" ref="H70">_xlfn.TEXTJOIN(", ", TRUE, IF(I70:M70&gt;0, I$1:M$1, ""))</f>
        <v>Tech Application</v>
      </c>
      <c r="I70">
        <v>0</v>
      </c>
      <c r="J70">
        <v>1</v>
      </c>
      <c r="K70">
        <v>0</v>
      </c>
      <c r="L70">
        <v>0</v>
      </c>
      <c r="M70">
        <v>0</v>
      </c>
      <c r="N70">
        <v>0</v>
      </c>
    </row>
    <row r="71" spans="1:14" x14ac:dyDescent="0.35">
      <c r="A71" t="s">
        <v>6</v>
      </c>
      <c r="B71" t="s">
        <v>233</v>
      </c>
      <c r="E71" t="s">
        <v>69</v>
      </c>
      <c r="F71" t="s">
        <v>55</v>
      </c>
      <c r="H71" t="str" cm="1">
        <f t="array" ref="H71">_xlfn.TEXTJOIN(", ", TRUE, IF(I71:M71&gt;0, I$1:M$1, ""))</f>
        <v>Tech Application</v>
      </c>
      <c r="I71">
        <v>0</v>
      </c>
      <c r="J71">
        <v>4</v>
      </c>
      <c r="K71">
        <v>0</v>
      </c>
      <c r="L71">
        <v>0</v>
      </c>
      <c r="M71">
        <v>0</v>
      </c>
      <c r="N71">
        <v>0</v>
      </c>
    </row>
    <row r="72" spans="1:14" x14ac:dyDescent="0.35">
      <c r="A72" t="s">
        <v>6</v>
      </c>
      <c r="B72" t="s">
        <v>234</v>
      </c>
      <c r="E72" t="s">
        <v>99</v>
      </c>
      <c r="F72" t="s">
        <v>235</v>
      </c>
      <c r="H72" t="str" cm="1">
        <f t="array" ref="H72">_xlfn.TEXTJOIN(", ", TRUE, IF(I72:M72&gt;0, I$1:M$1, ""))</f>
        <v>Semantic View</v>
      </c>
      <c r="I72">
        <v>0</v>
      </c>
      <c r="J72">
        <v>0</v>
      </c>
      <c r="K72">
        <v>0</v>
      </c>
      <c r="L72">
        <v>0</v>
      </c>
      <c r="M72">
        <v>1</v>
      </c>
      <c r="N72">
        <v>0</v>
      </c>
    </row>
    <row r="73" spans="1:14" x14ac:dyDescent="0.35">
      <c r="A73" t="s">
        <v>6</v>
      </c>
      <c r="B73" t="s">
        <v>236</v>
      </c>
      <c r="C73" t="s">
        <v>237</v>
      </c>
      <c r="E73" t="s">
        <v>86</v>
      </c>
      <c r="F73" t="s">
        <v>55</v>
      </c>
      <c r="H73" t="str" cm="1">
        <f t="array" ref="H73">_xlfn.TEXTJOIN(", ", TRUE, IF(I73:M73&gt;0, I$1:M$1, ""))</f>
        <v>Tech Application</v>
      </c>
      <c r="I73">
        <v>0</v>
      </c>
      <c r="J73">
        <v>3</v>
      </c>
      <c r="K73">
        <v>0</v>
      </c>
      <c r="L73">
        <v>0</v>
      </c>
      <c r="M73">
        <v>0</v>
      </c>
      <c r="N73">
        <v>0</v>
      </c>
    </row>
    <row r="74" spans="1:14" x14ac:dyDescent="0.35">
      <c r="A74" t="s">
        <v>6</v>
      </c>
      <c r="B74" t="s">
        <v>238</v>
      </c>
      <c r="D74" t="s">
        <v>239</v>
      </c>
      <c r="E74" t="s">
        <v>230</v>
      </c>
      <c r="F74" t="s">
        <v>55</v>
      </c>
      <c r="H74" t="str" cm="1">
        <f t="array" ref="H74">_xlfn.TEXTJOIN(", ", TRUE, IF(I74:M74&gt;0, I$1:M$1, ""))</f>
        <v>Organisational View</v>
      </c>
      <c r="I74">
        <v>0</v>
      </c>
      <c r="J74">
        <v>0</v>
      </c>
      <c r="K74">
        <v>0</v>
      </c>
      <c r="L74">
        <v>1</v>
      </c>
      <c r="M74">
        <v>0</v>
      </c>
      <c r="N74">
        <v>0</v>
      </c>
    </row>
    <row r="75" spans="1:14" x14ac:dyDescent="0.35">
      <c r="A75" t="s">
        <v>6</v>
      </c>
      <c r="B75" t="s">
        <v>240</v>
      </c>
      <c r="C75" t="s">
        <v>241</v>
      </c>
      <c r="E75" t="s">
        <v>91</v>
      </c>
      <c r="F75" t="s">
        <v>180</v>
      </c>
      <c r="H75" t="str" cm="1">
        <f t="array" ref="H75">_xlfn.TEXTJOIN(", ", TRUE, IF(I75:M75&gt;0, I$1:M$1, ""))</f>
        <v>Tech Application</v>
      </c>
      <c r="I75">
        <v>0</v>
      </c>
      <c r="J75">
        <v>1</v>
      </c>
      <c r="K75">
        <v>0</v>
      </c>
      <c r="L75">
        <v>0</v>
      </c>
      <c r="M75">
        <v>0</v>
      </c>
      <c r="N75">
        <v>0</v>
      </c>
    </row>
    <row r="76" spans="1:14" x14ac:dyDescent="0.35">
      <c r="A76" t="s">
        <v>6</v>
      </c>
      <c r="B76" t="s">
        <v>242</v>
      </c>
      <c r="D76" t="s">
        <v>243</v>
      </c>
      <c r="E76" t="s">
        <v>244</v>
      </c>
      <c r="F76" t="s">
        <v>55</v>
      </c>
      <c r="H76" t="str" cm="1">
        <f t="array" ref="H76">_xlfn.TEXTJOIN(", ", TRUE, IF(I76:M76&gt;0, I$1:M$1, ""))</f>
        <v>Organisational View</v>
      </c>
      <c r="I76">
        <v>0</v>
      </c>
      <c r="J76">
        <v>0</v>
      </c>
      <c r="K76">
        <v>0</v>
      </c>
      <c r="L76">
        <v>1</v>
      </c>
      <c r="M76">
        <v>0</v>
      </c>
      <c r="N76">
        <v>1</v>
      </c>
    </row>
    <row r="77" spans="1:14" x14ac:dyDescent="0.35">
      <c r="A77" t="s">
        <v>6</v>
      </c>
      <c r="B77" t="s">
        <v>245</v>
      </c>
      <c r="C77" t="s">
        <v>246</v>
      </c>
      <c r="E77" t="s">
        <v>121</v>
      </c>
      <c r="F77" t="s">
        <v>55</v>
      </c>
      <c r="H77" t="str" cm="1">
        <f t="array" ref="H77">_xlfn.TEXTJOIN(", ", TRUE, IF(I77:M77&gt;0, I$1:M$1, ""))</f>
        <v>Tech Application</v>
      </c>
      <c r="I77">
        <v>0</v>
      </c>
      <c r="J77">
        <v>2</v>
      </c>
      <c r="K77">
        <v>0</v>
      </c>
      <c r="L77">
        <v>0</v>
      </c>
      <c r="M77">
        <v>0</v>
      </c>
      <c r="N77">
        <v>0</v>
      </c>
    </row>
    <row r="78" spans="1:14" x14ac:dyDescent="0.35">
      <c r="A78" t="s">
        <v>6</v>
      </c>
      <c r="B78" t="s">
        <v>247</v>
      </c>
      <c r="D78" t="s">
        <v>248</v>
      </c>
      <c r="E78" t="s">
        <v>59</v>
      </c>
      <c r="F78" t="s">
        <v>249</v>
      </c>
      <c r="H78" t="str" cm="1">
        <f t="array" ref="H78">_xlfn.TEXTJOIN(", ", TRUE, IF(I78:M78&gt;0, I$1:M$1, ""))</f>
        <v>Tech Application</v>
      </c>
      <c r="I78">
        <v>0</v>
      </c>
      <c r="J78">
        <v>4</v>
      </c>
      <c r="K78">
        <v>0</v>
      </c>
      <c r="L78">
        <v>0</v>
      </c>
      <c r="M78">
        <v>0</v>
      </c>
      <c r="N78">
        <v>0</v>
      </c>
    </row>
    <row r="79" spans="1:14" x14ac:dyDescent="0.35">
      <c r="A79" t="s">
        <v>6</v>
      </c>
      <c r="B79" t="s">
        <v>250</v>
      </c>
      <c r="C79" t="s">
        <v>251</v>
      </c>
      <c r="E79" t="s">
        <v>252</v>
      </c>
      <c r="F79" t="s">
        <v>55</v>
      </c>
      <c r="H79" t="str" cm="1">
        <f t="array" ref="H79">_xlfn.TEXTJOIN(", ", TRUE, IF(I79:M79&gt;0, I$1:M$1, ""))</f>
        <v>Tech Application, Semantic View</v>
      </c>
      <c r="I79">
        <v>0</v>
      </c>
      <c r="J79">
        <v>2</v>
      </c>
      <c r="K79">
        <v>0</v>
      </c>
      <c r="L79">
        <v>0</v>
      </c>
      <c r="M79">
        <v>4</v>
      </c>
      <c r="N79">
        <v>0</v>
      </c>
    </row>
    <row r="80" spans="1:14" x14ac:dyDescent="0.35">
      <c r="A80" t="s">
        <v>6</v>
      </c>
      <c r="B80" t="s">
        <v>253</v>
      </c>
      <c r="C80" t="s">
        <v>254</v>
      </c>
      <c r="E80" t="s">
        <v>50</v>
      </c>
      <c r="F80" t="s">
        <v>255</v>
      </c>
      <c r="H80" t="str" cm="1">
        <f t="array" ref="H80">_xlfn.TEXTJOIN(", ", TRUE, IF(I80:M80&gt;0, I$1:M$1, ""))</f>
        <v>Tech Application</v>
      </c>
      <c r="I80">
        <v>0</v>
      </c>
      <c r="J80">
        <v>2</v>
      </c>
      <c r="K80">
        <v>0</v>
      </c>
      <c r="L80">
        <v>0</v>
      </c>
      <c r="M80">
        <v>0</v>
      </c>
      <c r="N80">
        <v>0</v>
      </c>
    </row>
    <row r="81" spans="1:14" x14ac:dyDescent="0.35">
      <c r="A81" t="s">
        <v>6</v>
      </c>
      <c r="B81" t="s">
        <v>256</v>
      </c>
      <c r="E81" t="s">
        <v>62</v>
      </c>
      <c r="F81" t="s">
        <v>55</v>
      </c>
      <c r="H81" t="str" cm="1">
        <f t="array" ref="H81">_xlfn.TEXTJOIN(", ", TRUE, IF(I81:M81&gt;0, I$1:M$1, ""))</f>
        <v>Tech Application, Organisational View</v>
      </c>
      <c r="I81">
        <v>0</v>
      </c>
      <c r="J81">
        <v>1</v>
      </c>
      <c r="K81">
        <v>0</v>
      </c>
      <c r="L81">
        <v>1</v>
      </c>
      <c r="M81">
        <v>0</v>
      </c>
      <c r="N81">
        <v>0</v>
      </c>
    </row>
    <row r="82" spans="1:14" x14ac:dyDescent="0.35">
      <c r="A82" t="s">
        <v>6</v>
      </c>
      <c r="B82" t="s">
        <v>257</v>
      </c>
      <c r="D82" t="s">
        <v>258</v>
      </c>
      <c r="E82" t="s">
        <v>59</v>
      </c>
      <c r="F82" t="s">
        <v>100</v>
      </c>
      <c r="H82" t="str" cm="1">
        <f t="array" ref="H82">_xlfn.TEXTJOIN(", ", TRUE, IF(I82:M82&gt;0, I$1:M$1, ""))</f>
        <v>Tech Application, Organisational View, Semantic View</v>
      </c>
      <c r="I82">
        <v>0</v>
      </c>
      <c r="J82">
        <v>2</v>
      </c>
      <c r="K82">
        <v>0</v>
      </c>
      <c r="L82">
        <v>1</v>
      </c>
      <c r="M82">
        <v>1</v>
      </c>
      <c r="N82">
        <v>0</v>
      </c>
    </row>
    <row r="83" spans="1:14" x14ac:dyDescent="0.35">
      <c r="A83" t="s">
        <v>6</v>
      </c>
      <c r="B83" t="s">
        <v>259</v>
      </c>
      <c r="C83" t="s">
        <v>260</v>
      </c>
      <c r="E83" t="s">
        <v>261</v>
      </c>
      <c r="F83" t="s">
        <v>55</v>
      </c>
      <c r="H83" t="str" cm="1">
        <f t="array" ref="H83">_xlfn.TEXTJOIN(", ", TRUE, IF(I83:M83&gt;0, I$1:M$1, ""))</f>
        <v>Tech Application, Semantic View</v>
      </c>
      <c r="I83">
        <v>0</v>
      </c>
      <c r="J83">
        <v>2</v>
      </c>
      <c r="K83">
        <v>0</v>
      </c>
      <c r="L83">
        <v>0</v>
      </c>
      <c r="M83">
        <v>7</v>
      </c>
      <c r="N83">
        <v>0</v>
      </c>
    </row>
    <row r="84" spans="1:14" x14ac:dyDescent="0.35">
      <c r="A84" t="s">
        <v>6</v>
      </c>
      <c r="B84" t="s">
        <v>262</v>
      </c>
      <c r="D84" t="s">
        <v>262</v>
      </c>
      <c r="E84" t="s">
        <v>59</v>
      </c>
      <c r="F84" t="s">
        <v>189</v>
      </c>
      <c r="H84" t="str" cm="1">
        <f t="array" ref="H84">_xlfn.TEXTJOIN(", ", TRUE, IF(I84:M84&gt;0, I$1:M$1, ""))</f>
        <v>Tech Application, Semantic View</v>
      </c>
      <c r="I84">
        <v>0</v>
      </c>
      <c r="J84">
        <v>3</v>
      </c>
      <c r="K84">
        <v>0</v>
      </c>
      <c r="L84">
        <v>0</v>
      </c>
      <c r="M84">
        <v>2</v>
      </c>
      <c r="N84">
        <v>0</v>
      </c>
    </row>
    <row r="85" spans="1:14" x14ac:dyDescent="0.35">
      <c r="A85" t="s">
        <v>6</v>
      </c>
      <c r="B85" t="s">
        <v>263</v>
      </c>
      <c r="C85" t="s">
        <v>172</v>
      </c>
      <c r="D85" t="s">
        <v>264</v>
      </c>
      <c r="E85" t="s">
        <v>59</v>
      </c>
      <c r="F85" t="s">
        <v>100</v>
      </c>
      <c r="H85" t="str" cm="1">
        <f t="array" ref="H85">_xlfn.TEXTJOIN(", ", TRUE, IF(I85:M85&gt;0, I$1:M$1, ""))</f>
        <v>Tech Infrastructure</v>
      </c>
      <c r="I85">
        <v>1</v>
      </c>
      <c r="J85">
        <v>0</v>
      </c>
      <c r="K85">
        <v>0</v>
      </c>
      <c r="L85">
        <v>0</v>
      </c>
      <c r="M85">
        <v>0</v>
      </c>
      <c r="N85">
        <v>0</v>
      </c>
    </row>
    <row r="86" spans="1:14" x14ac:dyDescent="0.35">
      <c r="A86" t="s">
        <v>6</v>
      </c>
      <c r="B86" t="s">
        <v>265</v>
      </c>
      <c r="C86" t="s">
        <v>266</v>
      </c>
      <c r="E86" t="s">
        <v>50</v>
      </c>
      <c r="F86" t="s">
        <v>267</v>
      </c>
      <c r="H86" t="str" cm="1">
        <f t="array" ref="H86">_xlfn.TEXTJOIN(", ", TRUE, IF(I86:M86&gt;0, I$1:M$1, ""))</f>
        <v>Tech Infrastructure</v>
      </c>
      <c r="I86">
        <v>1</v>
      </c>
      <c r="J86">
        <v>0</v>
      </c>
      <c r="K86">
        <v>0</v>
      </c>
      <c r="L86">
        <v>0</v>
      </c>
      <c r="M86">
        <v>0</v>
      </c>
      <c r="N86">
        <v>0</v>
      </c>
    </row>
    <row r="87" spans="1:14" x14ac:dyDescent="0.35">
      <c r="A87" t="s">
        <v>6</v>
      </c>
      <c r="B87" t="s">
        <v>268</v>
      </c>
      <c r="D87" t="s">
        <v>269</v>
      </c>
      <c r="E87" t="s">
        <v>66</v>
      </c>
      <c r="F87" t="s">
        <v>270</v>
      </c>
      <c r="H87" t="str" cm="1">
        <f t="array" ref="H87">_xlfn.TEXTJOIN(", ", TRUE, IF(I87:M87&gt;0, I$1:M$1, ""))</f>
        <v>Legal View</v>
      </c>
      <c r="I87">
        <v>0</v>
      </c>
      <c r="J87">
        <v>0</v>
      </c>
      <c r="K87">
        <v>1</v>
      </c>
      <c r="L87">
        <v>0</v>
      </c>
      <c r="M87">
        <v>0</v>
      </c>
      <c r="N87">
        <v>0</v>
      </c>
    </row>
    <row r="88" spans="1:14" x14ac:dyDescent="0.35">
      <c r="A88" t="s">
        <v>6</v>
      </c>
      <c r="B88" t="s">
        <v>271</v>
      </c>
      <c r="D88" t="s">
        <v>272</v>
      </c>
      <c r="E88" t="s">
        <v>62</v>
      </c>
      <c r="F88" t="s">
        <v>273</v>
      </c>
      <c r="H88" t="str" cm="1">
        <f t="array" ref="H88">_xlfn.TEXTJOIN(", ", TRUE, IF(I88:M88&gt;0, I$1:M$1, ""))</f>
        <v>Legal View</v>
      </c>
      <c r="I88">
        <v>0</v>
      </c>
      <c r="J88">
        <v>0</v>
      </c>
      <c r="K88">
        <v>1</v>
      </c>
      <c r="L88">
        <v>0</v>
      </c>
      <c r="M88">
        <v>0</v>
      </c>
      <c r="N88">
        <v>0</v>
      </c>
    </row>
    <row r="89" spans="1:14" x14ac:dyDescent="0.35">
      <c r="A89" t="s">
        <v>6</v>
      </c>
      <c r="B89" t="s">
        <v>274</v>
      </c>
      <c r="C89" t="s">
        <v>275</v>
      </c>
      <c r="E89" t="s">
        <v>121</v>
      </c>
      <c r="F89" t="s">
        <v>276</v>
      </c>
      <c r="H89" t="str" cm="1">
        <f t="array" ref="H89">_xlfn.TEXTJOIN(", ", TRUE, IF(I89:M89&gt;0, I$1:M$1, ""))</f>
        <v>Tech Application</v>
      </c>
      <c r="I89">
        <v>0</v>
      </c>
      <c r="J89">
        <v>2</v>
      </c>
      <c r="K89">
        <v>0</v>
      </c>
      <c r="L89">
        <v>0</v>
      </c>
      <c r="M89">
        <v>0</v>
      </c>
      <c r="N89">
        <v>1</v>
      </c>
    </row>
    <row r="90" spans="1:14" x14ac:dyDescent="0.35">
      <c r="A90" t="s">
        <v>6</v>
      </c>
      <c r="B90" t="s">
        <v>277</v>
      </c>
      <c r="D90" t="s">
        <v>278</v>
      </c>
      <c r="E90" t="s">
        <v>124</v>
      </c>
      <c r="F90" t="s">
        <v>180</v>
      </c>
      <c r="H90" t="str" cm="1">
        <f t="array" ref="H90">_xlfn.TEXTJOIN(", ", TRUE, IF(I90:M90&gt;0, I$1:M$1, ""))</f>
        <v>Tech Application</v>
      </c>
      <c r="I90">
        <v>0</v>
      </c>
      <c r="J90">
        <v>2</v>
      </c>
      <c r="K90">
        <v>0</v>
      </c>
      <c r="L90">
        <v>0</v>
      </c>
      <c r="M90">
        <v>0</v>
      </c>
      <c r="N90">
        <v>0</v>
      </c>
    </row>
    <row r="91" spans="1:14" x14ac:dyDescent="0.35">
      <c r="A91" t="s">
        <v>6</v>
      </c>
      <c r="B91" t="s">
        <v>279</v>
      </c>
      <c r="C91" t="s">
        <v>280</v>
      </c>
      <c r="E91" t="s">
        <v>121</v>
      </c>
      <c r="F91" t="s">
        <v>281</v>
      </c>
      <c r="H91" t="str" cm="1">
        <f t="array" ref="H91">_xlfn.TEXTJOIN(", ", TRUE, IF(I91:M91&gt;0, I$1:M$1, ""))</f>
        <v>Semantic View</v>
      </c>
      <c r="I91">
        <v>0</v>
      </c>
      <c r="J91">
        <v>0</v>
      </c>
      <c r="K91">
        <v>0</v>
      </c>
      <c r="L91">
        <v>0</v>
      </c>
      <c r="M91">
        <v>4</v>
      </c>
      <c r="N91">
        <v>0</v>
      </c>
    </row>
    <row r="92" spans="1:14" x14ac:dyDescent="0.35">
      <c r="A92" t="s">
        <v>6</v>
      </c>
      <c r="B92" t="s">
        <v>282</v>
      </c>
      <c r="C92" t="s">
        <v>283</v>
      </c>
      <c r="E92" t="s">
        <v>96</v>
      </c>
      <c r="F92" t="s">
        <v>55</v>
      </c>
      <c r="H92" t="str" cm="1">
        <f t="array" ref="H92">_xlfn.TEXTJOIN(", ", TRUE, IF(I92:M92&gt;0, I$1:M$1, ""))</f>
        <v>Tech Application, Organisational View</v>
      </c>
      <c r="I92">
        <v>0</v>
      </c>
      <c r="J92">
        <v>2</v>
      </c>
      <c r="K92">
        <v>0</v>
      </c>
      <c r="L92">
        <v>1</v>
      </c>
      <c r="M92">
        <v>0</v>
      </c>
      <c r="N92">
        <v>0</v>
      </c>
    </row>
    <row r="93" spans="1:14" x14ac:dyDescent="0.35">
      <c r="A93" t="s">
        <v>6</v>
      </c>
      <c r="B93" t="s">
        <v>284</v>
      </c>
      <c r="E93" t="s">
        <v>62</v>
      </c>
      <c r="F93" t="s">
        <v>285</v>
      </c>
      <c r="H93" t="str" cm="1">
        <f t="array" ref="H93">_xlfn.TEXTJOIN(", ", TRUE, IF(I93:M93&gt;0, I$1:M$1, ""))</f>
        <v/>
      </c>
      <c r="I93">
        <v>0</v>
      </c>
      <c r="J93">
        <v>0</v>
      </c>
      <c r="K93">
        <v>0</v>
      </c>
      <c r="L93">
        <v>0</v>
      </c>
      <c r="M93">
        <v>0</v>
      </c>
      <c r="N93">
        <v>0</v>
      </c>
    </row>
    <row r="94" spans="1:14" x14ac:dyDescent="0.35">
      <c r="A94" t="s">
        <v>6</v>
      </c>
      <c r="B94" t="s">
        <v>286</v>
      </c>
      <c r="D94" t="s">
        <v>287</v>
      </c>
      <c r="E94" t="s">
        <v>230</v>
      </c>
      <c r="F94" t="s">
        <v>55</v>
      </c>
      <c r="H94" t="str" cm="1">
        <f t="array" ref="H94">_xlfn.TEXTJOIN(", ", TRUE, IF(I94:M94&gt;0, I$1:M$1, ""))</f>
        <v>Tech Infrastructure</v>
      </c>
      <c r="I94">
        <v>2</v>
      </c>
      <c r="J94">
        <v>0</v>
      </c>
      <c r="K94">
        <v>0</v>
      </c>
      <c r="L94">
        <v>0</v>
      </c>
      <c r="M94">
        <v>0</v>
      </c>
      <c r="N94">
        <v>0</v>
      </c>
    </row>
    <row r="95" spans="1:14" x14ac:dyDescent="0.35">
      <c r="A95" t="s">
        <v>6</v>
      </c>
      <c r="B95" t="s">
        <v>288</v>
      </c>
      <c r="C95" t="s">
        <v>289</v>
      </c>
      <c r="E95" t="s">
        <v>290</v>
      </c>
      <c r="F95" t="s">
        <v>291</v>
      </c>
      <c r="H95" t="str" cm="1">
        <f t="array" ref="H95">_xlfn.TEXTJOIN(", ", TRUE, IF(I95:M95&gt;0, I$1:M$1, ""))</f>
        <v>Tech Infrastructure</v>
      </c>
      <c r="I95">
        <v>6</v>
      </c>
      <c r="J95">
        <v>0</v>
      </c>
      <c r="K95">
        <v>0</v>
      </c>
      <c r="L95">
        <v>0</v>
      </c>
      <c r="M95">
        <v>0</v>
      </c>
      <c r="N95">
        <v>0</v>
      </c>
    </row>
    <row r="96" spans="1:14" x14ac:dyDescent="0.35">
      <c r="A96" t="s">
        <v>6</v>
      </c>
      <c r="B96" t="s">
        <v>292</v>
      </c>
      <c r="E96" t="s">
        <v>293</v>
      </c>
      <c r="F96" t="s">
        <v>55</v>
      </c>
      <c r="H96" t="str" cm="1">
        <f t="array" ref="H96">_xlfn.TEXTJOIN(", ", TRUE, IF(I96:M96&gt;0, I$1:M$1, ""))</f>
        <v/>
      </c>
      <c r="I96">
        <v>0</v>
      </c>
      <c r="J96">
        <v>0</v>
      </c>
      <c r="K96">
        <v>0</v>
      </c>
      <c r="L96">
        <v>0</v>
      </c>
      <c r="M96">
        <v>0</v>
      </c>
      <c r="N96">
        <v>0</v>
      </c>
    </row>
    <row r="97" spans="1:14" x14ac:dyDescent="0.35">
      <c r="A97" t="s">
        <v>6</v>
      </c>
      <c r="B97" t="s">
        <v>294</v>
      </c>
      <c r="D97" t="s">
        <v>295</v>
      </c>
      <c r="E97" t="s">
        <v>124</v>
      </c>
      <c r="F97" t="s">
        <v>100</v>
      </c>
      <c r="H97" t="str" cm="1">
        <f t="array" ref="H97">_xlfn.TEXTJOIN(", ", TRUE, IF(I97:M97&gt;0, I$1:M$1, ""))</f>
        <v>Tech Application</v>
      </c>
      <c r="I97">
        <v>0</v>
      </c>
      <c r="J97">
        <v>4</v>
      </c>
      <c r="K97">
        <v>0</v>
      </c>
      <c r="L97">
        <v>0</v>
      </c>
      <c r="M97">
        <v>0</v>
      </c>
      <c r="N97">
        <v>0</v>
      </c>
    </row>
    <row r="98" spans="1:14" x14ac:dyDescent="0.35">
      <c r="A98" t="s">
        <v>6</v>
      </c>
      <c r="B98" t="s">
        <v>296</v>
      </c>
      <c r="C98" t="s">
        <v>297</v>
      </c>
      <c r="E98" t="s">
        <v>121</v>
      </c>
      <c r="F98" t="s">
        <v>55</v>
      </c>
      <c r="H98" t="str" cm="1">
        <f t="array" ref="H98">_xlfn.TEXTJOIN(", ", TRUE, IF(I98:M98&gt;0, I$1:M$1, ""))</f>
        <v>Semantic View</v>
      </c>
      <c r="I98">
        <v>0</v>
      </c>
      <c r="J98">
        <v>0</v>
      </c>
      <c r="K98">
        <v>0</v>
      </c>
      <c r="L98">
        <v>0</v>
      </c>
      <c r="M98">
        <v>1</v>
      </c>
      <c r="N98">
        <v>0</v>
      </c>
    </row>
    <row r="99" spans="1:14" x14ac:dyDescent="0.35">
      <c r="A99" t="s">
        <v>6</v>
      </c>
      <c r="B99" t="s">
        <v>298</v>
      </c>
      <c r="E99" t="s">
        <v>62</v>
      </c>
      <c r="F99" t="s">
        <v>51</v>
      </c>
      <c r="H99" t="str" cm="1">
        <f t="array" ref="H99">_xlfn.TEXTJOIN(", ", TRUE, IF(I99:M99&gt;0, I$1:M$1, ""))</f>
        <v>Tech Application</v>
      </c>
      <c r="I99">
        <v>0</v>
      </c>
      <c r="J99">
        <v>2</v>
      </c>
      <c r="K99">
        <v>0</v>
      </c>
      <c r="L99">
        <v>0</v>
      </c>
      <c r="M99">
        <v>0</v>
      </c>
      <c r="N99">
        <v>0</v>
      </c>
    </row>
    <row r="100" spans="1:14" x14ac:dyDescent="0.35">
      <c r="A100" t="s">
        <v>6</v>
      </c>
      <c r="B100" t="s">
        <v>299</v>
      </c>
      <c r="C100" t="s">
        <v>300</v>
      </c>
      <c r="E100" t="s">
        <v>301</v>
      </c>
      <c r="F100" t="s">
        <v>97</v>
      </c>
      <c r="H100" t="str" cm="1">
        <f t="array" ref="H100">_xlfn.TEXTJOIN(", ", TRUE, IF(I100:M100&gt;0, I$1:M$1, ""))</f>
        <v>Tech Infrastructure</v>
      </c>
      <c r="I100">
        <v>1</v>
      </c>
      <c r="J100">
        <v>0</v>
      </c>
      <c r="K100">
        <v>0</v>
      </c>
      <c r="L100">
        <v>0</v>
      </c>
      <c r="M100">
        <v>0</v>
      </c>
      <c r="N100">
        <v>0</v>
      </c>
    </row>
    <row r="101" spans="1:14" x14ac:dyDescent="0.35">
      <c r="A101" t="s">
        <v>6</v>
      </c>
      <c r="B101" t="s">
        <v>302</v>
      </c>
      <c r="C101" t="s">
        <v>303</v>
      </c>
      <c r="E101" t="s">
        <v>304</v>
      </c>
      <c r="F101" t="s">
        <v>305</v>
      </c>
      <c r="H101" t="str" cm="1">
        <f t="array" ref="H101">_xlfn.TEXTJOIN(", ", TRUE, IF(I101:M101&gt;0, I$1:M$1, ""))</f>
        <v>Tech Infrastructure</v>
      </c>
      <c r="I101">
        <v>1</v>
      </c>
      <c r="J101">
        <v>0</v>
      </c>
      <c r="K101">
        <v>0</v>
      </c>
      <c r="L101">
        <v>0</v>
      </c>
      <c r="M101">
        <v>0</v>
      </c>
      <c r="N101">
        <v>0</v>
      </c>
    </row>
    <row r="102" spans="1:14" x14ac:dyDescent="0.35">
      <c r="A102" t="s">
        <v>6</v>
      </c>
      <c r="B102" t="s">
        <v>306</v>
      </c>
      <c r="C102" t="s">
        <v>307</v>
      </c>
      <c r="E102" t="s">
        <v>308</v>
      </c>
      <c r="F102" t="s">
        <v>55</v>
      </c>
      <c r="H102" t="str" cm="1">
        <f t="array" ref="H102">_xlfn.TEXTJOIN(", ", TRUE, IF(I102:M102&gt;0, I$1:M$1, ""))</f>
        <v>Tech Infrastructure</v>
      </c>
      <c r="I102">
        <v>6</v>
      </c>
      <c r="J102">
        <v>0</v>
      </c>
      <c r="K102">
        <v>0</v>
      </c>
      <c r="L102">
        <v>0</v>
      </c>
      <c r="M102">
        <v>0</v>
      </c>
      <c r="N102">
        <v>0</v>
      </c>
    </row>
    <row r="103" spans="1:14" x14ac:dyDescent="0.35">
      <c r="A103" t="s">
        <v>6</v>
      </c>
      <c r="B103" t="s">
        <v>309</v>
      </c>
      <c r="C103" t="s">
        <v>310</v>
      </c>
      <c r="E103" t="s">
        <v>311</v>
      </c>
      <c r="F103" t="s">
        <v>152</v>
      </c>
      <c r="H103" t="str" cm="1">
        <f t="array" ref="H103">_xlfn.TEXTJOIN(", ", TRUE, IF(I103:M103&gt;0, I$1:M$1, ""))</f>
        <v>Semantic View</v>
      </c>
      <c r="I103">
        <v>0</v>
      </c>
      <c r="J103">
        <v>0</v>
      </c>
      <c r="K103">
        <v>0</v>
      </c>
      <c r="L103">
        <v>0</v>
      </c>
      <c r="M103">
        <v>2</v>
      </c>
      <c r="N103">
        <v>0</v>
      </c>
    </row>
    <row r="104" spans="1:14" x14ac:dyDescent="0.35">
      <c r="A104" t="s">
        <v>6</v>
      </c>
      <c r="B104" t="s">
        <v>312</v>
      </c>
      <c r="C104" t="s">
        <v>313</v>
      </c>
      <c r="E104" t="s">
        <v>230</v>
      </c>
      <c r="F104" t="s">
        <v>314</v>
      </c>
      <c r="H104" t="str" cm="1">
        <f t="array" ref="H104">_xlfn.TEXTJOIN(", ", TRUE, IF(I104:M104&gt;0, I$1:M$1, ""))</f>
        <v/>
      </c>
      <c r="I104">
        <v>0</v>
      </c>
      <c r="J104">
        <v>0</v>
      </c>
      <c r="K104">
        <v>0</v>
      </c>
      <c r="L104">
        <v>0</v>
      </c>
      <c r="M104">
        <v>0</v>
      </c>
      <c r="N104">
        <v>0</v>
      </c>
    </row>
    <row r="105" spans="1:14" x14ac:dyDescent="0.35">
      <c r="A105" t="s">
        <v>6</v>
      </c>
      <c r="B105" t="s">
        <v>315</v>
      </c>
      <c r="D105" t="s">
        <v>316</v>
      </c>
      <c r="E105" t="s">
        <v>230</v>
      </c>
      <c r="F105" t="s">
        <v>55</v>
      </c>
      <c r="H105" t="str" cm="1">
        <f t="array" ref="H105">_xlfn.TEXTJOIN(", ", TRUE, IF(I105:M105&gt;0, I$1:M$1, ""))</f>
        <v>Organisational View</v>
      </c>
      <c r="I105">
        <v>0</v>
      </c>
      <c r="J105">
        <v>0</v>
      </c>
      <c r="K105">
        <v>0</v>
      </c>
      <c r="L105">
        <v>2</v>
      </c>
      <c r="M105">
        <v>0</v>
      </c>
      <c r="N105">
        <v>0</v>
      </c>
    </row>
    <row r="106" spans="1:14" x14ac:dyDescent="0.35">
      <c r="A106" t="s">
        <v>6</v>
      </c>
      <c r="B106" t="s">
        <v>317</v>
      </c>
      <c r="C106" t="s">
        <v>318</v>
      </c>
      <c r="E106" t="s">
        <v>96</v>
      </c>
      <c r="F106" t="s">
        <v>51</v>
      </c>
      <c r="H106" t="str" cm="1">
        <f t="array" ref="H106">_xlfn.TEXTJOIN(", ", TRUE, IF(I106:M106&gt;0, I$1:M$1, ""))</f>
        <v>Organisational View</v>
      </c>
      <c r="I106">
        <v>0</v>
      </c>
      <c r="J106">
        <v>0</v>
      </c>
      <c r="K106">
        <v>0</v>
      </c>
      <c r="L106">
        <v>14</v>
      </c>
      <c r="M106">
        <v>0</v>
      </c>
      <c r="N106">
        <v>1</v>
      </c>
    </row>
    <row r="107" spans="1:14" x14ac:dyDescent="0.35">
      <c r="A107" t="s">
        <v>6</v>
      </c>
      <c r="B107" t="s">
        <v>319</v>
      </c>
      <c r="C107" t="s">
        <v>320</v>
      </c>
      <c r="D107" t="s">
        <v>321</v>
      </c>
      <c r="E107" t="s">
        <v>230</v>
      </c>
      <c r="F107" t="s">
        <v>55</v>
      </c>
      <c r="H107" t="str" cm="1">
        <f t="array" ref="H107">_xlfn.TEXTJOIN(", ", TRUE, IF(I107:M107&gt;0, I$1:M$1, ""))</f>
        <v>Tech Application, Organisational View</v>
      </c>
      <c r="I107">
        <v>0</v>
      </c>
      <c r="J107">
        <v>3</v>
      </c>
      <c r="K107">
        <v>0</v>
      </c>
      <c r="L107">
        <v>2</v>
      </c>
      <c r="M107">
        <v>0</v>
      </c>
      <c r="N107">
        <v>2</v>
      </c>
    </row>
    <row r="108" spans="1:14" x14ac:dyDescent="0.35">
      <c r="A108" t="s">
        <v>6</v>
      </c>
      <c r="B108" t="s">
        <v>322</v>
      </c>
      <c r="C108" t="s">
        <v>323</v>
      </c>
      <c r="E108" t="s">
        <v>62</v>
      </c>
      <c r="F108" t="s">
        <v>324</v>
      </c>
      <c r="H108" t="str" cm="1">
        <f t="array" ref="H108">_xlfn.TEXTJOIN(", ", TRUE, IF(I108:M108&gt;0, I$1:M$1, ""))</f>
        <v>Semantic View</v>
      </c>
      <c r="I108">
        <v>0</v>
      </c>
      <c r="J108">
        <v>0</v>
      </c>
      <c r="K108">
        <v>0</v>
      </c>
      <c r="L108">
        <v>0</v>
      </c>
      <c r="M108">
        <v>8</v>
      </c>
      <c r="N108">
        <v>0</v>
      </c>
    </row>
    <row r="109" spans="1:14" x14ac:dyDescent="0.35">
      <c r="A109" t="s">
        <v>6</v>
      </c>
      <c r="B109" t="s">
        <v>325</v>
      </c>
      <c r="C109" t="s">
        <v>326</v>
      </c>
      <c r="E109" t="s">
        <v>50</v>
      </c>
      <c r="F109" t="s">
        <v>55</v>
      </c>
      <c r="H109" t="str" cm="1">
        <f t="array" ref="H109">_xlfn.TEXTJOIN(", ", TRUE, IF(I109:M109&gt;0, I$1:M$1, ""))</f>
        <v>Tech Infrastructure</v>
      </c>
      <c r="I109">
        <v>1</v>
      </c>
      <c r="J109">
        <v>0</v>
      </c>
      <c r="K109">
        <v>0</v>
      </c>
      <c r="L109">
        <v>0</v>
      </c>
      <c r="M109">
        <v>0</v>
      </c>
      <c r="N109">
        <v>0</v>
      </c>
    </row>
    <row r="110" spans="1:14" x14ac:dyDescent="0.35">
      <c r="A110" t="s">
        <v>6</v>
      </c>
      <c r="B110" t="s">
        <v>327</v>
      </c>
      <c r="E110" t="s">
        <v>62</v>
      </c>
      <c r="F110" t="s">
        <v>55</v>
      </c>
      <c r="H110" t="str" cm="1">
        <f t="array" ref="H110">_xlfn.TEXTJOIN(", ", TRUE, IF(I110:M110&gt;0, I$1:M$1, ""))</f>
        <v>Legal View</v>
      </c>
      <c r="I110">
        <v>0</v>
      </c>
      <c r="J110">
        <v>0</v>
      </c>
      <c r="K110">
        <v>2</v>
      </c>
      <c r="L110">
        <v>0</v>
      </c>
      <c r="M110">
        <v>0</v>
      </c>
      <c r="N110">
        <v>0</v>
      </c>
    </row>
    <row r="111" spans="1:14" x14ac:dyDescent="0.35">
      <c r="A111" t="s">
        <v>6</v>
      </c>
      <c r="B111" t="s">
        <v>328</v>
      </c>
      <c r="C111" t="s">
        <v>329</v>
      </c>
      <c r="E111" t="s">
        <v>59</v>
      </c>
      <c r="F111" t="s">
        <v>330</v>
      </c>
      <c r="H111" t="str" cm="1">
        <f t="array" ref="H111">_xlfn.TEXTJOIN(", ", TRUE, IF(I111:M111&gt;0, I$1:M$1, ""))</f>
        <v>Tech Application</v>
      </c>
      <c r="I111">
        <v>0</v>
      </c>
      <c r="J111">
        <v>2</v>
      </c>
      <c r="K111">
        <v>0</v>
      </c>
      <c r="L111">
        <v>0</v>
      </c>
      <c r="M111">
        <v>0</v>
      </c>
      <c r="N111">
        <v>0</v>
      </c>
    </row>
    <row r="112" spans="1:14" x14ac:dyDescent="0.35">
      <c r="A112" t="s">
        <v>6</v>
      </c>
      <c r="B112" t="s">
        <v>331</v>
      </c>
      <c r="D112" t="s">
        <v>332</v>
      </c>
      <c r="E112" t="s">
        <v>66</v>
      </c>
      <c r="F112" t="s">
        <v>333</v>
      </c>
      <c r="H112" t="str" cm="1">
        <f t="array" ref="H112">_xlfn.TEXTJOIN(", ", TRUE, IF(I112:M112&gt;0, I$1:M$1, ""))</f>
        <v>Legal View</v>
      </c>
      <c r="I112">
        <v>0</v>
      </c>
      <c r="J112">
        <v>0</v>
      </c>
      <c r="K112">
        <v>1</v>
      </c>
      <c r="L112">
        <v>0</v>
      </c>
      <c r="M112">
        <v>0</v>
      </c>
      <c r="N112">
        <v>0</v>
      </c>
    </row>
    <row r="113" spans="1:14" x14ac:dyDescent="0.35">
      <c r="A113" t="s">
        <v>6</v>
      </c>
      <c r="B113" t="s">
        <v>334</v>
      </c>
      <c r="D113" t="s">
        <v>335</v>
      </c>
      <c r="E113" t="s">
        <v>336</v>
      </c>
      <c r="F113" t="s">
        <v>276</v>
      </c>
      <c r="H113" t="str" cm="1">
        <f t="array" ref="H113">_xlfn.TEXTJOIN(", ", TRUE, IF(I113:M113&gt;0, I$1:M$1, ""))</f>
        <v>Tech Application</v>
      </c>
      <c r="I113">
        <v>0</v>
      </c>
      <c r="J113">
        <v>1</v>
      </c>
      <c r="K113">
        <v>0</v>
      </c>
      <c r="L113">
        <v>0</v>
      </c>
      <c r="M113">
        <v>0</v>
      </c>
      <c r="N113">
        <v>0</v>
      </c>
    </row>
    <row r="114" spans="1:14" x14ac:dyDescent="0.35">
      <c r="A114" t="s">
        <v>6</v>
      </c>
      <c r="B114" t="s">
        <v>337</v>
      </c>
      <c r="C114" t="s">
        <v>338</v>
      </c>
      <c r="E114" t="s">
        <v>50</v>
      </c>
      <c r="F114" t="s">
        <v>111</v>
      </c>
      <c r="H114" t="str" cm="1">
        <f t="array" ref="H114">_xlfn.TEXTJOIN(", ", TRUE, IF(I114:M114&gt;0, I$1:M$1, ""))</f>
        <v>Tech Infrastructure</v>
      </c>
      <c r="I114">
        <v>1</v>
      </c>
      <c r="J114">
        <v>0</v>
      </c>
      <c r="K114">
        <v>0</v>
      </c>
      <c r="L114">
        <v>0</v>
      </c>
      <c r="M114">
        <v>0</v>
      </c>
      <c r="N114">
        <v>0</v>
      </c>
    </row>
    <row r="115" spans="1:14" x14ac:dyDescent="0.35">
      <c r="A115" t="s">
        <v>6</v>
      </c>
      <c r="B115" t="s">
        <v>339</v>
      </c>
      <c r="C115" t="s">
        <v>340</v>
      </c>
      <c r="E115" t="s">
        <v>230</v>
      </c>
      <c r="F115" t="s">
        <v>55</v>
      </c>
      <c r="H115" t="str" cm="1">
        <f t="array" ref="H115">_xlfn.TEXTJOIN(", ", TRUE, IF(I115:M115&gt;0, I$1:M$1, ""))</f>
        <v/>
      </c>
      <c r="I115">
        <v>0</v>
      </c>
      <c r="J115">
        <v>0</v>
      </c>
      <c r="K115">
        <v>0</v>
      </c>
      <c r="L115">
        <v>0</v>
      </c>
      <c r="M115">
        <v>0</v>
      </c>
      <c r="N115">
        <v>0</v>
      </c>
    </row>
    <row r="116" spans="1:14" x14ac:dyDescent="0.35">
      <c r="A116" t="s">
        <v>6</v>
      </c>
      <c r="B116" t="s">
        <v>341</v>
      </c>
      <c r="E116" t="s">
        <v>91</v>
      </c>
      <c r="F116" t="s">
        <v>342</v>
      </c>
      <c r="H116" t="str" cm="1">
        <f t="array" ref="H116">_xlfn.TEXTJOIN(", ", TRUE, IF(I116:M116&gt;0, I$1:M$1, ""))</f>
        <v>Tech Application</v>
      </c>
      <c r="I116">
        <v>0</v>
      </c>
      <c r="J116">
        <v>2</v>
      </c>
      <c r="K116">
        <v>0</v>
      </c>
      <c r="L116">
        <v>0</v>
      </c>
      <c r="M116">
        <v>0</v>
      </c>
      <c r="N116">
        <v>0</v>
      </c>
    </row>
    <row r="117" spans="1:14" x14ac:dyDescent="0.35">
      <c r="A117" t="s">
        <v>6</v>
      </c>
      <c r="B117" t="s">
        <v>343</v>
      </c>
      <c r="C117" t="s">
        <v>344</v>
      </c>
      <c r="E117" t="s">
        <v>345</v>
      </c>
      <c r="F117" t="s">
        <v>51</v>
      </c>
      <c r="H117" t="str" cm="1">
        <f t="array" ref="H117">_xlfn.TEXTJOIN(", ", TRUE, IF(I117:M117&gt;0, I$1:M$1, ""))</f>
        <v>Tech Infrastructure</v>
      </c>
      <c r="I117">
        <v>2</v>
      </c>
      <c r="J117">
        <v>0</v>
      </c>
      <c r="K117">
        <v>0</v>
      </c>
      <c r="L117">
        <v>0</v>
      </c>
      <c r="M117">
        <v>0</v>
      </c>
      <c r="N117">
        <v>0</v>
      </c>
    </row>
    <row r="118" spans="1:14" x14ac:dyDescent="0.35">
      <c r="A118" t="s">
        <v>6</v>
      </c>
      <c r="B118" t="s">
        <v>346</v>
      </c>
      <c r="D118" t="s">
        <v>347</v>
      </c>
      <c r="E118" t="s">
        <v>50</v>
      </c>
      <c r="F118" t="s">
        <v>55</v>
      </c>
      <c r="H118" t="str" cm="1">
        <f t="array" ref="H118">_xlfn.TEXTJOIN(", ", TRUE, IF(I118:M118&gt;0, I$1:M$1, ""))</f>
        <v>Tech Infrastructure, Semantic View</v>
      </c>
      <c r="I118">
        <v>1</v>
      </c>
      <c r="J118">
        <v>0</v>
      </c>
      <c r="K118">
        <v>0</v>
      </c>
      <c r="L118">
        <v>0</v>
      </c>
      <c r="M118">
        <v>2</v>
      </c>
      <c r="N118">
        <v>0</v>
      </c>
    </row>
    <row r="119" spans="1:14" x14ac:dyDescent="0.35">
      <c r="A119" t="s">
        <v>6</v>
      </c>
      <c r="B119" t="s">
        <v>348</v>
      </c>
      <c r="D119" t="s">
        <v>349</v>
      </c>
      <c r="E119" t="s">
        <v>69</v>
      </c>
      <c r="F119" t="s">
        <v>55</v>
      </c>
      <c r="H119" t="str" cm="1">
        <f t="array" ref="H119">_xlfn.TEXTJOIN(", ", TRUE, IF(I119:M119&gt;0, I$1:M$1, ""))</f>
        <v>Tech Infrastructure, Tech Application</v>
      </c>
      <c r="I119">
        <v>1</v>
      </c>
      <c r="J119">
        <v>3</v>
      </c>
      <c r="K119">
        <v>0</v>
      </c>
      <c r="L119">
        <v>0</v>
      </c>
      <c r="M119">
        <v>0</v>
      </c>
      <c r="N119">
        <v>0</v>
      </c>
    </row>
    <row r="120" spans="1:14" x14ac:dyDescent="0.35">
      <c r="A120" t="s">
        <v>6</v>
      </c>
      <c r="B120" t="s">
        <v>350</v>
      </c>
      <c r="C120" t="s">
        <v>351</v>
      </c>
      <c r="D120" t="s">
        <v>352</v>
      </c>
      <c r="E120" t="s">
        <v>50</v>
      </c>
      <c r="F120" t="s">
        <v>55</v>
      </c>
      <c r="H120" t="str" cm="1">
        <f t="array" ref="H120">_xlfn.TEXTJOIN(", ", TRUE, IF(I120:M120&gt;0, I$1:M$1, ""))</f>
        <v>Semantic View</v>
      </c>
      <c r="I120">
        <v>0</v>
      </c>
      <c r="J120">
        <v>0</v>
      </c>
      <c r="K120">
        <v>0</v>
      </c>
      <c r="L120">
        <v>0</v>
      </c>
      <c r="M120">
        <v>2</v>
      </c>
      <c r="N120">
        <v>0</v>
      </c>
    </row>
    <row r="121" spans="1:14" x14ac:dyDescent="0.35">
      <c r="A121" t="s">
        <v>6</v>
      </c>
      <c r="B121" t="s">
        <v>353</v>
      </c>
      <c r="C121" t="s">
        <v>354</v>
      </c>
      <c r="D121" t="s">
        <v>355</v>
      </c>
      <c r="E121" t="s">
        <v>230</v>
      </c>
      <c r="F121" t="s">
        <v>276</v>
      </c>
      <c r="H121" t="str" cm="1">
        <f t="array" ref="H121">_xlfn.TEXTJOIN(", ", TRUE, IF(I121:M121&gt;0, I$1:M$1, ""))</f>
        <v>Semantic View</v>
      </c>
      <c r="I121">
        <v>0</v>
      </c>
      <c r="J121">
        <v>0</v>
      </c>
      <c r="K121">
        <v>0</v>
      </c>
      <c r="L121">
        <v>0</v>
      </c>
      <c r="M121">
        <v>1</v>
      </c>
      <c r="N121">
        <v>0</v>
      </c>
    </row>
    <row r="122" spans="1:14" x14ac:dyDescent="0.35">
      <c r="A122" t="s">
        <v>6</v>
      </c>
      <c r="B122" t="s">
        <v>356</v>
      </c>
      <c r="E122" t="s">
        <v>66</v>
      </c>
      <c r="F122" t="s">
        <v>55</v>
      </c>
      <c r="H122" t="str" cm="1">
        <f t="array" ref="H122">_xlfn.TEXTJOIN(", ", TRUE, IF(I122:M122&gt;0, I$1:M$1, ""))</f>
        <v>Semantic View</v>
      </c>
      <c r="I122">
        <v>0</v>
      </c>
      <c r="J122">
        <v>0</v>
      </c>
      <c r="K122">
        <v>0</v>
      </c>
      <c r="L122">
        <v>0</v>
      </c>
      <c r="M122">
        <v>2</v>
      </c>
      <c r="N122">
        <v>0</v>
      </c>
    </row>
    <row r="123" spans="1:14" x14ac:dyDescent="0.35">
      <c r="A123" t="s">
        <v>6</v>
      </c>
      <c r="B123" t="s">
        <v>357</v>
      </c>
      <c r="D123" t="s">
        <v>358</v>
      </c>
      <c r="E123" t="s">
        <v>69</v>
      </c>
      <c r="F123" t="s">
        <v>55</v>
      </c>
      <c r="H123" t="str" cm="1">
        <f t="array" ref="H123">_xlfn.TEXTJOIN(", ", TRUE, IF(I123:M123&gt;0, I$1:M$1, ""))</f>
        <v>Tech Application, Organisational View</v>
      </c>
      <c r="I123">
        <v>0</v>
      </c>
      <c r="J123">
        <v>2</v>
      </c>
      <c r="K123">
        <v>0</v>
      </c>
      <c r="L123">
        <v>1</v>
      </c>
      <c r="M123">
        <v>0</v>
      </c>
      <c r="N123">
        <v>0</v>
      </c>
    </row>
    <row r="124" spans="1:14" x14ac:dyDescent="0.35">
      <c r="A124" t="s">
        <v>6</v>
      </c>
      <c r="B124" t="s">
        <v>359</v>
      </c>
      <c r="E124" t="s">
        <v>360</v>
      </c>
      <c r="F124" t="s">
        <v>342</v>
      </c>
      <c r="H124" t="str" cm="1">
        <f t="array" ref="H124">_xlfn.TEXTJOIN(", ", TRUE, IF(I124:M124&gt;0, I$1:M$1, ""))</f>
        <v>Tech Infrastructure, Semantic View</v>
      </c>
      <c r="I124">
        <v>1</v>
      </c>
      <c r="J124">
        <v>0</v>
      </c>
      <c r="K124">
        <v>0</v>
      </c>
      <c r="L124">
        <v>0</v>
      </c>
      <c r="M124">
        <v>1</v>
      </c>
      <c r="N124">
        <v>0</v>
      </c>
    </row>
    <row r="125" spans="1:14" x14ac:dyDescent="0.35">
      <c r="A125" t="s">
        <v>6</v>
      </c>
      <c r="B125" t="s">
        <v>361</v>
      </c>
      <c r="C125" t="s">
        <v>362</v>
      </c>
      <c r="E125" t="s">
        <v>311</v>
      </c>
      <c r="F125" t="s">
        <v>55</v>
      </c>
      <c r="H125" t="str" cm="1">
        <f t="array" ref="H125">_xlfn.TEXTJOIN(", ", TRUE, IF(I125:M125&gt;0, I$1:M$1, ""))</f>
        <v>Tech Infrastructure</v>
      </c>
      <c r="I125">
        <v>1</v>
      </c>
      <c r="J125">
        <v>0</v>
      </c>
      <c r="K125">
        <v>0</v>
      </c>
      <c r="L125">
        <v>0</v>
      </c>
      <c r="M125">
        <v>0</v>
      </c>
      <c r="N125">
        <v>0</v>
      </c>
    </row>
    <row r="126" spans="1:14" x14ac:dyDescent="0.35">
      <c r="A126" t="s">
        <v>6</v>
      </c>
      <c r="B126" t="s">
        <v>363</v>
      </c>
      <c r="E126" t="s">
        <v>124</v>
      </c>
      <c r="F126" t="s">
        <v>180</v>
      </c>
      <c r="H126" t="str" cm="1">
        <f t="array" ref="H126">_xlfn.TEXTJOIN(", ", TRUE, IF(I126:M126&gt;0, I$1:M$1, ""))</f>
        <v>Tech Application</v>
      </c>
      <c r="I126">
        <v>0</v>
      </c>
      <c r="J126">
        <v>1</v>
      </c>
      <c r="K126">
        <v>0</v>
      </c>
      <c r="L126">
        <v>0</v>
      </c>
      <c r="M126">
        <v>0</v>
      </c>
      <c r="N126">
        <v>0</v>
      </c>
    </row>
    <row r="127" spans="1:14" x14ac:dyDescent="0.35">
      <c r="A127" t="s">
        <v>6</v>
      </c>
      <c r="B127" t="s">
        <v>364</v>
      </c>
      <c r="C127" t="s">
        <v>365</v>
      </c>
      <c r="D127" t="s">
        <v>366</v>
      </c>
      <c r="E127" t="s">
        <v>62</v>
      </c>
      <c r="F127" t="s">
        <v>367</v>
      </c>
      <c r="H127" t="str" cm="1">
        <f t="array" ref="H127">_xlfn.TEXTJOIN(", ", TRUE, IF(I127:M127&gt;0, I$1:M$1, ""))</f>
        <v>Tech Infrastructure</v>
      </c>
      <c r="I127">
        <v>4</v>
      </c>
      <c r="J127">
        <v>0</v>
      </c>
      <c r="K127">
        <v>0</v>
      </c>
      <c r="L127">
        <v>0</v>
      </c>
      <c r="M127">
        <v>0</v>
      </c>
      <c r="N127">
        <v>1</v>
      </c>
    </row>
    <row r="128" spans="1:14" x14ac:dyDescent="0.35">
      <c r="A128" t="s">
        <v>6</v>
      </c>
      <c r="B128" t="s">
        <v>368</v>
      </c>
      <c r="C128" t="s">
        <v>369</v>
      </c>
      <c r="D128" t="s">
        <v>370</v>
      </c>
      <c r="E128" t="s">
        <v>230</v>
      </c>
      <c r="F128" t="s">
        <v>92</v>
      </c>
      <c r="H128" t="str" cm="1">
        <f t="array" ref="H128">_xlfn.TEXTJOIN(", ", TRUE, IF(I128:M128&gt;0, I$1:M$1, ""))</f>
        <v>Semantic View</v>
      </c>
      <c r="I128">
        <v>0</v>
      </c>
      <c r="J128">
        <v>0</v>
      </c>
      <c r="K128">
        <v>0</v>
      </c>
      <c r="L128">
        <v>0</v>
      </c>
      <c r="M128">
        <v>1</v>
      </c>
      <c r="N128">
        <v>0</v>
      </c>
    </row>
    <row r="129" spans="1:14" x14ac:dyDescent="0.35">
      <c r="A129" t="s">
        <v>6</v>
      </c>
      <c r="B129" t="s">
        <v>371</v>
      </c>
      <c r="C129" t="s">
        <v>372</v>
      </c>
      <c r="E129" t="s">
        <v>121</v>
      </c>
      <c r="F129" t="s">
        <v>51</v>
      </c>
      <c r="H129" t="str" cm="1">
        <f t="array" ref="H129">_xlfn.TEXTJOIN(", ", TRUE, IF(I129:M129&gt;0, I$1:M$1, ""))</f>
        <v>Semantic View</v>
      </c>
      <c r="I129">
        <v>0</v>
      </c>
      <c r="J129">
        <v>0</v>
      </c>
      <c r="K129">
        <v>0</v>
      </c>
      <c r="L129">
        <v>0</v>
      </c>
      <c r="M129">
        <v>3</v>
      </c>
      <c r="N129">
        <v>1</v>
      </c>
    </row>
    <row r="130" spans="1:14" x14ac:dyDescent="0.35">
      <c r="A130" t="s">
        <v>6</v>
      </c>
      <c r="B130" t="s">
        <v>373</v>
      </c>
      <c r="D130" t="s">
        <v>374</v>
      </c>
      <c r="E130" t="s">
        <v>230</v>
      </c>
      <c r="F130" t="s">
        <v>55</v>
      </c>
      <c r="H130" t="str" cm="1">
        <f t="array" ref="H130">_xlfn.TEXTJOIN(", ", TRUE, IF(I130:M130&gt;0, I$1:M$1, ""))</f>
        <v>Organisational View, Semantic View</v>
      </c>
      <c r="I130">
        <v>0</v>
      </c>
      <c r="J130">
        <v>0</v>
      </c>
      <c r="K130">
        <v>0</v>
      </c>
      <c r="L130">
        <v>2</v>
      </c>
      <c r="M130">
        <v>2</v>
      </c>
      <c r="N130">
        <v>1</v>
      </c>
    </row>
    <row r="131" spans="1:14" x14ac:dyDescent="0.35">
      <c r="A131" t="s">
        <v>6</v>
      </c>
      <c r="B131" t="s">
        <v>375</v>
      </c>
      <c r="D131" t="s">
        <v>376</v>
      </c>
      <c r="E131" t="s">
        <v>59</v>
      </c>
      <c r="F131" t="s">
        <v>305</v>
      </c>
      <c r="H131" t="str" cm="1">
        <f t="array" ref="H131">_xlfn.TEXTJOIN(", ", TRUE, IF(I131:M131&gt;0, I$1:M$1, ""))</f>
        <v>Semantic View</v>
      </c>
      <c r="I131">
        <v>0</v>
      </c>
      <c r="J131">
        <v>0</v>
      </c>
      <c r="K131">
        <v>0</v>
      </c>
      <c r="L131">
        <v>0</v>
      </c>
      <c r="M131">
        <v>3</v>
      </c>
      <c r="N131">
        <v>0</v>
      </c>
    </row>
    <row r="132" spans="1:14" x14ac:dyDescent="0.35">
      <c r="A132" t="s">
        <v>6</v>
      </c>
      <c r="B132" t="s">
        <v>377</v>
      </c>
      <c r="D132" t="s">
        <v>378</v>
      </c>
      <c r="E132" t="s">
        <v>69</v>
      </c>
      <c r="F132" t="s">
        <v>55</v>
      </c>
      <c r="H132" t="str" cm="1">
        <f t="array" ref="H132">_xlfn.TEXTJOIN(", ", TRUE, IF(I132:M132&gt;0, I$1:M$1, ""))</f>
        <v>Tech Application</v>
      </c>
      <c r="I132">
        <v>0</v>
      </c>
      <c r="J132">
        <v>2</v>
      </c>
      <c r="K132">
        <v>0</v>
      </c>
      <c r="L132">
        <v>0</v>
      </c>
      <c r="M132">
        <v>0</v>
      </c>
      <c r="N132">
        <v>0</v>
      </c>
    </row>
    <row r="133" spans="1:14" x14ac:dyDescent="0.35">
      <c r="A133" t="s">
        <v>6</v>
      </c>
      <c r="B133" t="s">
        <v>379</v>
      </c>
      <c r="E133" t="s">
        <v>62</v>
      </c>
      <c r="F133" t="s">
        <v>152</v>
      </c>
      <c r="H133" t="str" cm="1">
        <f t="array" ref="H133">_xlfn.TEXTJOIN(", ", TRUE, IF(I133:M133&gt;0, I$1:M$1, ""))</f>
        <v/>
      </c>
      <c r="I133">
        <v>0</v>
      </c>
      <c r="J133">
        <v>0</v>
      </c>
      <c r="K133">
        <v>0</v>
      </c>
      <c r="L133">
        <v>0</v>
      </c>
      <c r="M133">
        <v>0</v>
      </c>
      <c r="N133">
        <v>0</v>
      </c>
    </row>
    <row r="134" spans="1:14" x14ac:dyDescent="0.35">
      <c r="A134" t="s">
        <v>6</v>
      </c>
      <c r="B134" t="s">
        <v>380</v>
      </c>
      <c r="C134" t="s">
        <v>381</v>
      </c>
      <c r="E134" t="s">
        <v>121</v>
      </c>
      <c r="F134" t="s">
        <v>382</v>
      </c>
      <c r="H134" t="str" cm="1">
        <f t="array" ref="H134">_xlfn.TEXTJOIN(", ", TRUE, IF(I134:M134&gt;0, I$1:M$1, ""))</f>
        <v>Tech Application, Semantic View</v>
      </c>
      <c r="I134">
        <v>0</v>
      </c>
      <c r="J134">
        <v>2</v>
      </c>
      <c r="K134">
        <v>0</v>
      </c>
      <c r="L134">
        <v>0</v>
      </c>
      <c r="M134">
        <v>10</v>
      </c>
      <c r="N134">
        <v>1</v>
      </c>
    </row>
    <row r="135" spans="1:14" x14ac:dyDescent="0.35">
      <c r="A135" t="s">
        <v>6</v>
      </c>
      <c r="B135" t="s">
        <v>383</v>
      </c>
      <c r="C135" t="s">
        <v>384</v>
      </c>
      <c r="D135" t="s">
        <v>385</v>
      </c>
      <c r="E135" t="s">
        <v>50</v>
      </c>
      <c r="F135" t="s">
        <v>97</v>
      </c>
      <c r="H135" t="str" cm="1">
        <f t="array" ref="H135">_xlfn.TEXTJOIN(", ", TRUE, IF(I135:M135&gt;0, I$1:M$1, ""))</f>
        <v>Tech Application</v>
      </c>
      <c r="I135">
        <v>0</v>
      </c>
      <c r="J135">
        <v>2</v>
      </c>
      <c r="K135">
        <v>0</v>
      </c>
      <c r="L135">
        <v>0</v>
      </c>
      <c r="M135">
        <v>0</v>
      </c>
      <c r="N135">
        <v>2</v>
      </c>
    </row>
    <row r="136" spans="1:14" x14ac:dyDescent="0.35">
      <c r="A136" t="s">
        <v>6</v>
      </c>
      <c r="B136" t="s">
        <v>386</v>
      </c>
      <c r="E136" t="s">
        <v>124</v>
      </c>
      <c r="F136" t="s">
        <v>180</v>
      </c>
      <c r="H136" t="str" cm="1">
        <f t="array" ref="H136">_xlfn.TEXTJOIN(", ", TRUE, IF(I136:M136&gt;0, I$1:M$1, ""))</f>
        <v>Tech Application, Organisational View</v>
      </c>
      <c r="I136">
        <v>0</v>
      </c>
      <c r="J136">
        <v>1</v>
      </c>
      <c r="K136">
        <v>0</v>
      </c>
      <c r="L136">
        <v>1</v>
      </c>
      <c r="M136">
        <v>0</v>
      </c>
      <c r="N136">
        <v>0</v>
      </c>
    </row>
    <row r="137" spans="1:14" x14ac:dyDescent="0.35">
      <c r="A137" t="s">
        <v>6</v>
      </c>
      <c r="B137" t="s">
        <v>387</v>
      </c>
      <c r="C137" t="s">
        <v>388</v>
      </c>
      <c r="E137" t="s">
        <v>121</v>
      </c>
      <c r="F137" t="s">
        <v>55</v>
      </c>
      <c r="H137" t="str" cm="1">
        <f t="array" ref="H137">_xlfn.TEXTJOIN(", ", TRUE, IF(I137:M137&gt;0, I$1:M$1, ""))</f>
        <v>Semantic View</v>
      </c>
      <c r="I137">
        <v>0</v>
      </c>
      <c r="J137">
        <v>0</v>
      </c>
      <c r="K137">
        <v>0</v>
      </c>
      <c r="L137">
        <v>0</v>
      </c>
      <c r="M137">
        <v>3</v>
      </c>
      <c r="N137">
        <v>0</v>
      </c>
    </row>
    <row r="138" spans="1:14" x14ac:dyDescent="0.35">
      <c r="A138" t="s">
        <v>6</v>
      </c>
      <c r="B138" t="s">
        <v>389</v>
      </c>
      <c r="D138" t="s">
        <v>390</v>
      </c>
      <c r="E138" t="s">
        <v>59</v>
      </c>
      <c r="F138" t="s">
        <v>100</v>
      </c>
      <c r="H138" t="str" cm="1">
        <f t="array" ref="H138">_xlfn.TEXTJOIN(", ", TRUE, IF(I138:M138&gt;0, I$1:M$1, ""))</f>
        <v>Organisational View</v>
      </c>
      <c r="I138">
        <v>0</v>
      </c>
      <c r="J138">
        <v>0</v>
      </c>
      <c r="K138">
        <v>0</v>
      </c>
      <c r="L138">
        <v>2</v>
      </c>
      <c r="M138">
        <v>0</v>
      </c>
      <c r="N138">
        <v>0</v>
      </c>
    </row>
    <row r="139" spans="1:14" x14ac:dyDescent="0.35">
      <c r="A139" t="s">
        <v>6</v>
      </c>
      <c r="B139" t="s">
        <v>391</v>
      </c>
      <c r="C139" t="s">
        <v>392</v>
      </c>
      <c r="E139" t="s">
        <v>393</v>
      </c>
      <c r="F139" t="s">
        <v>92</v>
      </c>
      <c r="H139" t="str" cm="1">
        <f t="array" ref="H139">_xlfn.TEXTJOIN(", ", TRUE, IF(I139:M139&gt;0, I$1:M$1, ""))</f>
        <v>Tech Application, Semantic View</v>
      </c>
      <c r="I139">
        <v>0</v>
      </c>
      <c r="J139">
        <v>2</v>
      </c>
      <c r="K139">
        <v>0</v>
      </c>
      <c r="L139">
        <v>0</v>
      </c>
      <c r="M139">
        <v>5</v>
      </c>
      <c r="N139">
        <v>0</v>
      </c>
    </row>
    <row r="140" spans="1:14" x14ac:dyDescent="0.35">
      <c r="A140" t="s">
        <v>6</v>
      </c>
      <c r="B140" t="s">
        <v>394</v>
      </c>
      <c r="E140" t="s">
        <v>96</v>
      </c>
      <c r="F140" t="s">
        <v>55</v>
      </c>
      <c r="H140" t="str" cm="1">
        <f t="array" ref="H140">_xlfn.TEXTJOIN(", ", TRUE, IF(I140:M140&gt;0, I$1:M$1, ""))</f>
        <v>Tech Application</v>
      </c>
      <c r="I140">
        <v>0</v>
      </c>
      <c r="J140">
        <v>2</v>
      </c>
      <c r="K140">
        <v>0</v>
      </c>
      <c r="L140">
        <v>0</v>
      </c>
      <c r="M140">
        <v>0</v>
      </c>
      <c r="N140">
        <v>0</v>
      </c>
    </row>
    <row r="141" spans="1:14" x14ac:dyDescent="0.35">
      <c r="A141" t="s">
        <v>6</v>
      </c>
      <c r="B141" t="s">
        <v>395</v>
      </c>
      <c r="C141" t="s">
        <v>396</v>
      </c>
      <c r="E141" t="s">
        <v>66</v>
      </c>
      <c r="F141" t="s">
        <v>55</v>
      </c>
      <c r="H141" t="str" cm="1">
        <f t="array" ref="H141">_xlfn.TEXTJOIN(", ", TRUE, IF(I141:M141&gt;0, I$1:M$1, ""))</f>
        <v>Legal View, Semantic View</v>
      </c>
      <c r="I141">
        <v>0</v>
      </c>
      <c r="J141">
        <v>0</v>
      </c>
      <c r="K141">
        <v>2</v>
      </c>
      <c r="L141">
        <v>0</v>
      </c>
      <c r="M141">
        <v>1</v>
      </c>
      <c r="N141">
        <v>2</v>
      </c>
    </row>
    <row r="142" spans="1:14" x14ac:dyDescent="0.35">
      <c r="A142" t="s">
        <v>6</v>
      </c>
      <c r="B142" t="s">
        <v>397</v>
      </c>
      <c r="D142" t="s">
        <v>398</v>
      </c>
      <c r="E142" t="s">
        <v>69</v>
      </c>
      <c r="F142" t="s">
        <v>55</v>
      </c>
      <c r="H142" t="str" cm="1">
        <f t="array" ref="H142">_xlfn.TEXTJOIN(", ", TRUE, IF(I142:M142&gt;0, I$1:M$1, ""))</f>
        <v>Tech Infrastructure, Tech Application</v>
      </c>
      <c r="I142">
        <v>2</v>
      </c>
      <c r="J142">
        <v>1</v>
      </c>
      <c r="K142">
        <v>0</v>
      </c>
      <c r="L142">
        <v>0</v>
      </c>
      <c r="M142">
        <v>0</v>
      </c>
      <c r="N142">
        <v>0</v>
      </c>
    </row>
    <row r="143" spans="1:14" x14ac:dyDescent="0.35">
      <c r="A143" t="s">
        <v>6</v>
      </c>
      <c r="B143" t="s">
        <v>399</v>
      </c>
      <c r="E143" t="s">
        <v>121</v>
      </c>
      <c r="F143" t="s">
        <v>55</v>
      </c>
      <c r="H143" t="str" cm="1">
        <f t="array" ref="H143">_xlfn.TEXTJOIN(", ", TRUE, IF(I143:M143&gt;0, I$1:M$1, ""))</f>
        <v>Tech Application</v>
      </c>
      <c r="I143">
        <v>0</v>
      </c>
      <c r="J143">
        <v>2</v>
      </c>
      <c r="K143">
        <v>0</v>
      </c>
      <c r="L143">
        <v>0</v>
      </c>
      <c r="M143">
        <v>0</v>
      </c>
      <c r="N143">
        <v>0</v>
      </c>
    </row>
    <row r="144" spans="1:14" x14ac:dyDescent="0.35">
      <c r="A144" t="s">
        <v>6</v>
      </c>
      <c r="B144" t="s">
        <v>400</v>
      </c>
      <c r="D144" t="s">
        <v>401</v>
      </c>
      <c r="E144" t="s">
        <v>402</v>
      </c>
      <c r="F144" t="s">
        <v>55</v>
      </c>
      <c r="H144" t="str" cm="1">
        <f t="array" ref="H144">_xlfn.TEXTJOIN(", ", TRUE, IF(I144:M144&gt;0, I$1:M$1, ""))</f>
        <v>Semantic View</v>
      </c>
      <c r="I144">
        <v>0</v>
      </c>
      <c r="J144">
        <v>0</v>
      </c>
      <c r="K144">
        <v>0</v>
      </c>
      <c r="L144">
        <v>0</v>
      </c>
      <c r="M144">
        <v>1</v>
      </c>
      <c r="N144">
        <v>0</v>
      </c>
    </row>
    <row r="145" spans="1:14" x14ac:dyDescent="0.35">
      <c r="A145" t="s">
        <v>6</v>
      </c>
      <c r="B145" t="s">
        <v>403</v>
      </c>
      <c r="C145" t="s">
        <v>404</v>
      </c>
      <c r="E145" t="s">
        <v>121</v>
      </c>
      <c r="F145" t="s">
        <v>97</v>
      </c>
      <c r="H145" t="str" cm="1">
        <f t="array" ref="H145">_xlfn.TEXTJOIN(", ", TRUE, IF(I145:M145&gt;0, I$1:M$1, ""))</f>
        <v>Semantic View</v>
      </c>
      <c r="I145">
        <v>0</v>
      </c>
      <c r="J145">
        <v>0</v>
      </c>
      <c r="K145">
        <v>0</v>
      </c>
      <c r="L145">
        <v>0</v>
      </c>
      <c r="M145">
        <v>6</v>
      </c>
      <c r="N145">
        <v>0</v>
      </c>
    </row>
    <row r="146" spans="1:14" x14ac:dyDescent="0.35">
      <c r="A146" t="s">
        <v>6</v>
      </c>
      <c r="B146" t="s">
        <v>405</v>
      </c>
      <c r="C146" t="s">
        <v>406</v>
      </c>
      <c r="E146" t="s">
        <v>121</v>
      </c>
      <c r="F146" t="s">
        <v>55</v>
      </c>
      <c r="H146" t="str" cm="1">
        <f t="array" ref="H146">_xlfn.TEXTJOIN(", ", TRUE, IF(I146:M146&gt;0, I$1:M$1, ""))</f>
        <v>Tech Application</v>
      </c>
      <c r="I146">
        <v>0</v>
      </c>
      <c r="J146">
        <v>2</v>
      </c>
      <c r="K146">
        <v>0</v>
      </c>
      <c r="L146">
        <v>0</v>
      </c>
      <c r="M146">
        <v>0</v>
      </c>
      <c r="N146">
        <v>0</v>
      </c>
    </row>
    <row r="147" spans="1:14" x14ac:dyDescent="0.35">
      <c r="A147" t="s">
        <v>6</v>
      </c>
      <c r="B147" t="s">
        <v>407</v>
      </c>
      <c r="C147" t="s">
        <v>408</v>
      </c>
      <c r="E147" t="s">
        <v>62</v>
      </c>
      <c r="F147" t="s">
        <v>409</v>
      </c>
      <c r="H147" t="str" cm="1">
        <f t="array" ref="H147">_xlfn.TEXTJOIN(", ", TRUE, IF(I147:M147&gt;0, I$1:M$1, ""))</f>
        <v>Tech Application, Organisational View, Semantic View</v>
      </c>
      <c r="I147">
        <v>0</v>
      </c>
      <c r="J147">
        <v>3</v>
      </c>
      <c r="K147">
        <v>0</v>
      </c>
      <c r="L147">
        <v>1</v>
      </c>
      <c r="M147">
        <v>14</v>
      </c>
      <c r="N147">
        <v>0</v>
      </c>
    </row>
    <row r="148" spans="1:14" x14ac:dyDescent="0.35">
      <c r="A148" t="s">
        <v>6</v>
      </c>
      <c r="B148" t="s">
        <v>410</v>
      </c>
      <c r="E148" t="s">
        <v>411</v>
      </c>
      <c r="F148" t="s">
        <v>55</v>
      </c>
      <c r="H148" t="str" cm="1">
        <f t="array" ref="H148">_xlfn.TEXTJOIN(", ", TRUE, IF(I148:M148&gt;0, I$1:M$1, ""))</f>
        <v>Semantic View</v>
      </c>
      <c r="I148">
        <v>0</v>
      </c>
      <c r="J148">
        <v>0</v>
      </c>
      <c r="K148">
        <v>0</v>
      </c>
      <c r="L148">
        <v>0</v>
      </c>
      <c r="M148">
        <v>3</v>
      </c>
      <c r="N148">
        <v>0</v>
      </c>
    </row>
    <row r="149" spans="1:14" x14ac:dyDescent="0.35">
      <c r="A149" t="s">
        <v>6</v>
      </c>
      <c r="B149" t="s">
        <v>412</v>
      </c>
      <c r="C149" t="s">
        <v>129</v>
      </c>
      <c r="E149" t="s">
        <v>59</v>
      </c>
      <c r="F149" t="s">
        <v>206</v>
      </c>
      <c r="H149" t="str" cm="1">
        <f t="array" ref="H149">_xlfn.TEXTJOIN(", ", TRUE, IF(I149:M149&gt;0, I$1:M$1, ""))</f>
        <v>Tech Application</v>
      </c>
      <c r="I149">
        <v>0</v>
      </c>
      <c r="J149">
        <v>5</v>
      </c>
      <c r="K149">
        <v>0</v>
      </c>
      <c r="L149">
        <v>0</v>
      </c>
      <c r="M149">
        <v>0</v>
      </c>
      <c r="N149">
        <v>1</v>
      </c>
    </row>
    <row r="150" spans="1:14" x14ac:dyDescent="0.35">
      <c r="A150" t="s">
        <v>6</v>
      </c>
      <c r="B150" t="s">
        <v>413</v>
      </c>
      <c r="D150" t="s">
        <v>414</v>
      </c>
      <c r="E150" t="s">
        <v>66</v>
      </c>
      <c r="F150" t="s">
        <v>415</v>
      </c>
      <c r="H150" t="str" cm="1">
        <f t="array" ref="H150">_xlfn.TEXTJOIN(", ", TRUE, IF(I150:M150&gt;0, I$1:M$1, ""))</f>
        <v>Legal View</v>
      </c>
      <c r="I150">
        <v>0</v>
      </c>
      <c r="J150">
        <v>0</v>
      </c>
      <c r="K150">
        <v>5</v>
      </c>
      <c r="L150">
        <v>0</v>
      </c>
      <c r="M150">
        <v>0</v>
      </c>
      <c r="N150">
        <v>0</v>
      </c>
    </row>
    <row r="151" spans="1:14" x14ac:dyDescent="0.35">
      <c r="A151" t="s">
        <v>6</v>
      </c>
      <c r="B151" t="s">
        <v>416</v>
      </c>
      <c r="C151" t="s">
        <v>417</v>
      </c>
      <c r="E151" t="s">
        <v>121</v>
      </c>
      <c r="F151" t="s">
        <v>281</v>
      </c>
      <c r="H151" t="str" cm="1">
        <f t="array" ref="H151">_xlfn.TEXTJOIN(", ", TRUE, IF(I151:M151&gt;0, I$1:M$1, ""))</f>
        <v>Tech Application, Legal View, Semantic View</v>
      </c>
      <c r="I151">
        <v>0</v>
      </c>
      <c r="J151">
        <v>1</v>
      </c>
      <c r="K151">
        <v>5</v>
      </c>
      <c r="L151">
        <v>0</v>
      </c>
      <c r="M151">
        <v>1</v>
      </c>
      <c r="N151">
        <v>2</v>
      </c>
    </row>
    <row r="152" spans="1:14" x14ac:dyDescent="0.35">
      <c r="A152" t="s">
        <v>6</v>
      </c>
      <c r="B152" t="s">
        <v>418</v>
      </c>
      <c r="E152" t="s">
        <v>419</v>
      </c>
      <c r="F152" t="s">
        <v>420</v>
      </c>
      <c r="H152" t="str" cm="1">
        <f t="array" ref="H152">_xlfn.TEXTJOIN(", ", TRUE, IF(I152:M152&gt;0, I$1:M$1, ""))</f>
        <v>Tech Application, Semantic View</v>
      </c>
      <c r="I152">
        <v>0</v>
      </c>
      <c r="J152">
        <v>3</v>
      </c>
      <c r="K152">
        <v>0</v>
      </c>
      <c r="L152">
        <v>0</v>
      </c>
      <c r="M152">
        <v>1</v>
      </c>
      <c r="N152">
        <v>0</v>
      </c>
    </row>
    <row r="153" spans="1:14" x14ac:dyDescent="0.35">
      <c r="A153" t="s">
        <v>6</v>
      </c>
      <c r="B153" t="s">
        <v>421</v>
      </c>
      <c r="D153" t="s">
        <v>422</v>
      </c>
      <c r="E153" t="s">
        <v>230</v>
      </c>
      <c r="F153" t="s">
        <v>51</v>
      </c>
      <c r="H153" t="str" cm="1">
        <f t="array" ref="H153">_xlfn.TEXTJOIN(", ", TRUE, IF(I153:M153&gt;0, I$1:M$1, ""))</f>
        <v>Tech Application</v>
      </c>
      <c r="I153">
        <v>0</v>
      </c>
      <c r="J153">
        <v>2</v>
      </c>
      <c r="K153">
        <v>0</v>
      </c>
      <c r="L153">
        <v>0</v>
      </c>
      <c r="M153">
        <v>0</v>
      </c>
      <c r="N153">
        <v>0</v>
      </c>
    </row>
    <row r="154" spans="1:14" x14ac:dyDescent="0.35">
      <c r="A154" t="s">
        <v>6</v>
      </c>
      <c r="B154" t="s">
        <v>423</v>
      </c>
      <c r="C154" t="s">
        <v>424</v>
      </c>
      <c r="E154" t="s">
        <v>99</v>
      </c>
      <c r="F154" t="s">
        <v>152</v>
      </c>
      <c r="H154" t="str" cm="1">
        <f t="array" ref="H154">_xlfn.TEXTJOIN(", ", TRUE, IF(I154:M154&gt;0, I$1:M$1, ""))</f>
        <v>Tech Application</v>
      </c>
      <c r="I154">
        <v>0</v>
      </c>
      <c r="J154">
        <v>2</v>
      </c>
      <c r="K154">
        <v>0</v>
      </c>
      <c r="L154">
        <v>0</v>
      </c>
      <c r="M154">
        <v>0</v>
      </c>
      <c r="N154">
        <v>0</v>
      </c>
    </row>
    <row r="155" spans="1:14" x14ac:dyDescent="0.35">
      <c r="A155" t="s">
        <v>6</v>
      </c>
      <c r="B155" t="s">
        <v>425</v>
      </c>
      <c r="E155" t="s">
        <v>99</v>
      </c>
      <c r="F155" t="s">
        <v>97</v>
      </c>
      <c r="H155" t="str" cm="1">
        <f t="array" ref="H155">_xlfn.TEXTJOIN(", ", TRUE, IF(I155:M155&gt;0, I$1:M$1, ""))</f>
        <v>Tech Application</v>
      </c>
      <c r="I155">
        <v>0</v>
      </c>
      <c r="J155">
        <v>1</v>
      </c>
      <c r="K155">
        <v>0</v>
      </c>
      <c r="L155">
        <v>0</v>
      </c>
      <c r="M155">
        <v>0</v>
      </c>
      <c r="N155">
        <v>0</v>
      </c>
    </row>
    <row r="156" spans="1:14" x14ac:dyDescent="0.35">
      <c r="A156" t="s">
        <v>6</v>
      </c>
      <c r="B156" t="s">
        <v>426</v>
      </c>
      <c r="E156" t="s">
        <v>66</v>
      </c>
      <c r="F156" t="s">
        <v>427</v>
      </c>
      <c r="H156" t="str" cm="1">
        <f t="array" ref="H156">_xlfn.TEXTJOIN(", ", TRUE, IF(I156:M156&gt;0, I$1:M$1, ""))</f>
        <v>Legal View</v>
      </c>
      <c r="I156">
        <v>0</v>
      </c>
      <c r="J156">
        <v>0</v>
      </c>
      <c r="K156">
        <v>1</v>
      </c>
      <c r="L156">
        <v>0</v>
      </c>
      <c r="M156">
        <v>0</v>
      </c>
      <c r="N156">
        <v>0</v>
      </c>
    </row>
    <row r="157" spans="1:14" x14ac:dyDescent="0.35">
      <c r="A157" t="s">
        <v>6</v>
      </c>
      <c r="B157" t="s">
        <v>428</v>
      </c>
      <c r="E157" t="s">
        <v>66</v>
      </c>
      <c r="F157" t="s">
        <v>55</v>
      </c>
      <c r="H157" t="str" cm="1">
        <f t="array" ref="H157">_xlfn.TEXTJOIN(", ", TRUE, IF(I157:M157&gt;0, I$1:M$1, ""))</f>
        <v>Legal View, Organisational View, Semantic View</v>
      </c>
      <c r="I157">
        <v>0</v>
      </c>
      <c r="J157">
        <v>0</v>
      </c>
      <c r="K157">
        <v>1</v>
      </c>
      <c r="L157">
        <v>3</v>
      </c>
      <c r="M157">
        <v>6</v>
      </c>
      <c r="N157">
        <v>0</v>
      </c>
    </row>
    <row r="158" spans="1:14" x14ac:dyDescent="0.35">
      <c r="A158" t="s">
        <v>6</v>
      </c>
      <c r="B158" t="s">
        <v>429</v>
      </c>
      <c r="C158" t="s">
        <v>430</v>
      </c>
      <c r="E158" t="s">
        <v>96</v>
      </c>
      <c r="F158" t="s">
        <v>431</v>
      </c>
      <c r="H158" t="str" cm="1">
        <f t="array" ref="H158">_xlfn.TEXTJOIN(", ", TRUE, IF(I158:M158&gt;0, I$1:M$1, ""))</f>
        <v>Tech Application</v>
      </c>
      <c r="I158">
        <v>0</v>
      </c>
      <c r="J158">
        <v>3</v>
      </c>
      <c r="K158">
        <v>0</v>
      </c>
      <c r="L158">
        <v>0</v>
      </c>
      <c r="M158">
        <v>0</v>
      </c>
      <c r="N158">
        <v>1</v>
      </c>
    </row>
    <row r="159" spans="1:14" x14ac:dyDescent="0.35">
      <c r="A159" t="s">
        <v>6</v>
      </c>
      <c r="B159" t="s">
        <v>432</v>
      </c>
      <c r="D159" t="s">
        <v>433</v>
      </c>
      <c r="E159" t="s">
        <v>230</v>
      </c>
      <c r="F159" t="s">
        <v>51</v>
      </c>
      <c r="H159" t="str" cm="1">
        <f t="array" ref="H159">_xlfn.TEXTJOIN(", ", TRUE, IF(I159:M159&gt;0, I$1:M$1, ""))</f>
        <v>Tech Infrastructure</v>
      </c>
      <c r="I159">
        <v>2</v>
      </c>
      <c r="J159">
        <v>0</v>
      </c>
      <c r="K159">
        <v>0</v>
      </c>
      <c r="L159">
        <v>0</v>
      </c>
      <c r="M159">
        <v>0</v>
      </c>
      <c r="N159">
        <v>0</v>
      </c>
    </row>
    <row r="160" spans="1:14" x14ac:dyDescent="0.35">
      <c r="A160" t="s">
        <v>6</v>
      </c>
      <c r="B160" t="s">
        <v>434</v>
      </c>
      <c r="C160" t="s">
        <v>129</v>
      </c>
      <c r="D160" t="s">
        <v>435</v>
      </c>
      <c r="E160" t="s">
        <v>59</v>
      </c>
      <c r="F160" t="s">
        <v>155</v>
      </c>
      <c r="H160" t="str" cm="1">
        <f t="array" ref="H160">_xlfn.TEXTJOIN(", ", TRUE, IF(I160:M160&gt;0, I$1:M$1, ""))</f>
        <v>Tech Application</v>
      </c>
      <c r="I160">
        <v>0</v>
      </c>
      <c r="J160">
        <v>4</v>
      </c>
      <c r="K160">
        <v>0</v>
      </c>
      <c r="L160">
        <v>0</v>
      </c>
      <c r="M160">
        <v>0</v>
      </c>
      <c r="N160">
        <v>0</v>
      </c>
    </row>
    <row r="161" spans="1:14" x14ac:dyDescent="0.35">
      <c r="A161" t="s">
        <v>6</v>
      </c>
      <c r="B161" t="s">
        <v>436</v>
      </c>
      <c r="C161" t="s">
        <v>437</v>
      </c>
      <c r="E161" t="s">
        <v>438</v>
      </c>
      <c r="F161" t="s">
        <v>51</v>
      </c>
      <c r="H161" t="str" cm="1">
        <f t="array" ref="H161">_xlfn.TEXTJOIN(", ", TRUE, IF(I161:M161&gt;0, I$1:M$1, ""))</f>
        <v>Tech Infrastructure, Tech Application</v>
      </c>
      <c r="I161">
        <v>1</v>
      </c>
      <c r="J161">
        <v>1</v>
      </c>
      <c r="K161">
        <v>0</v>
      </c>
      <c r="L161">
        <v>0</v>
      </c>
      <c r="M161">
        <v>0</v>
      </c>
      <c r="N161">
        <v>0</v>
      </c>
    </row>
    <row r="162" spans="1:14" x14ac:dyDescent="0.35">
      <c r="A162" t="s">
        <v>6</v>
      </c>
      <c r="B162" t="s">
        <v>439</v>
      </c>
      <c r="E162" t="s">
        <v>50</v>
      </c>
      <c r="F162" t="s">
        <v>440</v>
      </c>
      <c r="H162" t="str" cm="1">
        <f t="array" ref="H162">_xlfn.TEXTJOIN(", ", TRUE, IF(I162:M162&gt;0, I$1:M$1, ""))</f>
        <v>Tech Infrastructure</v>
      </c>
      <c r="I162">
        <v>4</v>
      </c>
      <c r="J162">
        <v>0</v>
      </c>
      <c r="K162">
        <v>0</v>
      </c>
      <c r="L162">
        <v>0</v>
      </c>
      <c r="M162">
        <v>0</v>
      </c>
      <c r="N162">
        <v>1</v>
      </c>
    </row>
    <row r="163" spans="1:14" x14ac:dyDescent="0.35">
      <c r="A163" t="s">
        <v>6</v>
      </c>
      <c r="B163" t="s">
        <v>441</v>
      </c>
      <c r="C163" t="s">
        <v>442</v>
      </c>
      <c r="E163" t="s">
        <v>121</v>
      </c>
      <c r="F163" t="s">
        <v>152</v>
      </c>
      <c r="H163" t="str" cm="1">
        <f t="array" ref="H163">_xlfn.TEXTJOIN(", ", TRUE, IF(I163:M163&gt;0, I$1:M$1, ""))</f>
        <v>Tech Application</v>
      </c>
      <c r="I163">
        <v>0</v>
      </c>
      <c r="J163">
        <v>4</v>
      </c>
      <c r="K163">
        <v>0</v>
      </c>
      <c r="L163">
        <v>0</v>
      </c>
      <c r="M163">
        <v>0</v>
      </c>
      <c r="N163">
        <v>2</v>
      </c>
    </row>
    <row r="164" spans="1:14" x14ac:dyDescent="0.35">
      <c r="A164" t="s">
        <v>6</v>
      </c>
      <c r="B164" t="s">
        <v>443</v>
      </c>
      <c r="E164" t="s">
        <v>62</v>
      </c>
      <c r="F164" t="s">
        <v>444</v>
      </c>
      <c r="H164" t="str" cm="1">
        <f t="array" ref="H164">_xlfn.TEXTJOIN(", ", TRUE, IF(I164:M164&gt;0, I$1:M$1, ""))</f>
        <v>Semantic View</v>
      </c>
      <c r="I164">
        <v>0</v>
      </c>
      <c r="J164">
        <v>0</v>
      </c>
      <c r="K164">
        <v>0</v>
      </c>
      <c r="L164">
        <v>0</v>
      </c>
      <c r="M164">
        <v>1</v>
      </c>
      <c r="N164">
        <v>0</v>
      </c>
    </row>
    <row r="165" spans="1:14" x14ac:dyDescent="0.35">
      <c r="A165" t="s">
        <v>6</v>
      </c>
      <c r="B165" t="s">
        <v>445</v>
      </c>
      <c r="D165" t="s">
        <v>446</v>
      </c>
      <c r="E165" t="s">
        <v>230</v>
      </c>
      <c r="F165" t="s">
        <v>447</v>
      </c>
      <c r="H165" t="str" cm="1">
        <f t="array" ref="H165">_xlfn.TEXTJOIN(", ", TRUE, IF(I165:M165&gt;0, I$1:M$1, ""))</f>
        <v>Tech Application</v>
      </c>
      <c r="I165">
        <v>0</v>
      </c>
      <c r="J165">
        <v>7</v>
      </c>
      <c r="K165">
        <v>0</v>
      </c>
      <c r="L165">
        <v>0</v>
      </c>
      <c r="M165">
        <v>0</v>
      </c>
      <c r="N165">
        <v>0</v>
      </c>
    </row>
    <row r="166" spans="1:14" x14ac:dyDescent="0.35">
      <c r="A166" t="s">
        <v>6</v>
      </c>
      <c r="B166" t="s">
        <v>448</v>
      </c>
      <c r="D166" t="s">
        <v>449</v>
      </c>
      <c r="E166" t="s">
        <v>62</v>
      </c>
      <c r="F166" t="s">
        <v>450</v>
      </c>
      <c r="H166" t="str" cm="1">
        <f t="array" ref="H166">_xlfn.TEXTJOIN(", ", TRUE, IF(I166:M166&gt;0, I$1:M$1, ""))</f>
        <v>Legal View</v>
      </c>
      <c r="I166">
        <v>0</v>
      </c>
      <c r="J166">
        <v>0</v>
      </c>
      <c r="K166">
        <v>5</v>
      </c>
      <c r="L166">
        <v>0</v>
      </c>
      <c r="M166">
        <v>0</v>
      </c>
      <c r="N166">
        <v>0</v>
      </c>
    </row>
    <row r="167" spans="1:14" x14ac:dyDescent="0.35">
      <c r="A167" t="s">
        <v>6</v>
      </c>
      <c r="B167" t="s">
        <v>451</v>
      </c>
      <c r="D167" t="s">
        <v>452</v>
      </c>
      <c r="E167" t="s">
        <v>69</v>
      </c>
      <c r="F167" t="s">
        <v>55</v>
      </c>
      <c r="H167" t="str" cm="1">
        <f t="array" ref="H167">_xlfn.TEXTJOIN(", ", TRUE, IF(I167:M167&gt;0, I$1:M$1, ""))</f>
        <v>Tech Infrastructure, Tech Application</v>
      </c>
      <c r="I167">
        <v>1</v>
      </c>
      <c r="J167">
        <v>5</v>
      </c>
      <c r="K167">
        <v>0</v>
      </c>
      <c r="L167">
        <v>0</v>
      </c>
      <c r="M167">
        <v>0</v>
      </c>
      <c r="N167">
        <v>0</v>
      </c>
    </row>
    <row r="168" spans="1:14" x14ac:dyDescent="0.35">
      <c r="A168" t="s">
        <v>6</v>
      </c>
      <c r="B168" t="s">
        <v>453</v>
      </c>
      <c r="C168" t="s">
        <v>454</v>
      </c>
      <c r="E168" t="s">
        <v>455</v>
      </c>
      <c r="F168" t="s">
        <v>180</v>
      </c>
      <c r="H168" t="str" cm="1">
        <f t="array" ref="H168">_xlfn.TEXTJOIN(", ", TRUE, IF(I168:M168&gt;0, I$1:M$1, ""))</f>
        <v>Tech Application</v>
      </c>
      <c r="I168">
        <v>0</v>
      </c>
      <c r="J168">
        <v>2</v>
      </c>
      <c r="K168">
        <v>0</v>
      </c>
      <c r="L168">
        <v>0</v>
      </c>
      <c r="M168">
        <v>0</v>
      </c>
      <c r="N168">
        <v>0</v>
      </c>
    </row>
    <row r="169" spans="1:14" x14ac:dyDescent="0.35">
      <c r="A169" t="s">
        <v>6</v>
      </c>
      <c r="B169" t="s">
        <v>456</v>
      </c>
      <c r="E169" t="s">
        <v>121</v>
      </c>
      <c r="F169" t="s">
        <v>97</v>
      </c>
      <c r="H169" t="str" cm="1">
        <f t="array" ref="H169">_xlfn.TEXTJOIN(", ", TRUE, IF(I169:M169&gt;0, I$1:M$1, ""))</f>
        <v>Tech Application</v>
      </c>
      <c r="I169">
        <v>0</v>
      </c>
      <c r="J169">
        <v>1</v>
      </c>
      <c r="K169">
        <v>0</v>
      </c>
      <c r="L169">
        <v>0</v>
      </c>
      <c r="M169">
        <v>0</v>
      </c>
      <c r="N169">
        <v>0</v>
      </c>
    </row>
    <row r="170" spans="1:14" x14ac:dyDescent="0.35">
      <c r="A170" t="s">
        <v>6</v>
      </c>
      <c r="B170" t="s">
        <v>457</v>
      </c>
      <c r="C170" t="s">
        <v>458</v>
      </c>
      <c r="D170" t="s">
        <v>459</v>
      </c>
      <c r="E170" t="s">
        <v>230</v>
      </c>
      <c r="F170" t="s">
        <v>55</v>
      </c>
      <c r="H170" t="str" cm="1">
        <f t="array" ref="H170">_xlfn.TEXTJOIN(", ", TRUE, IF(I170:M170&gt;0, I$1:M$1, ""))</f>
        <v>Semantic View</v>
      </c>
      <c r="I170">
        <v>0</v>
      </c>
      <c r="J170">
        <v>0</v>
      </c>
      <c r="K170">
        <v>0</v>
      </c>
      <c r="L170">
        <v>0</v>
      </c>
      <c r="M170">
        <v>2</v>
      </c>
      <c r="N170">
        <v>0</v>
      </c>
    </row>
    <row r="171" spans="1:14" x14ac:dyDescent="0.35">
      <c r="A171" t="s">
        <v>6</v>
      </c>
      <c r="B171" t="s">
        <v>460</v>
      </c>
      <c r="E171" t="s">
        <v>121</v>
      </c>
      <c r="F171" t="s">
        <v>461</v>
      </c>
      <c r="H171" t="str" cm="1">
        <f t="array" ref="H171">_xlfn.TEXTJOIN(", ", TRUE, IF(I171:M171&gt;0, I$1:M$1, ""))</f>
        <v>Tech Application</v>
      </c>
      <c r="I171">
        <v>0</v>
      </c>
      <c r="J171">
        <v>2</v>
      </c>
      <c r="K171">
        <v>0</v>
      </c>
      <c r="L171">
        <v>0</v>
      </c>
      <c r="M171">
        <v>0</v>
      </c>
      <c r="N171">
        <v>0</v>
      </c>
    </row>
    <row r="172" spans="1:14" x14ac:dyDescent="0.35">
      <c r="A172" t="s">
        <v>6</v>
      </c>
      <c r="B172" t="s">
        <v>462</v>
      </c>
      <c r="D172" t="s">
        <v>463</v>
      </c>
      <c r="E172" t="s">
        <v>464</v>
      </c>
      <c r="F172" t="s">
        <v>55</v>
      </c>
      <c r="H172" t="str" cm="1">
        <f t="array" ref="H172">_xlfn.TEXTJOIN(", ", TRUE, IF(I172:M172&gt;0, I$1:M$1, ""))</f>
        <v>Tech Infrastructure</v>
      </c>
      <c r="I172">
        <v>1</v>
      </c>
      <c r="J172">
        <v>0</v>
      </c>
      <c r="K172">
        <v>0</v>
      </c>
      <c r="L172">
        <v>0</v>
      </c>
      <c r="M172">
        <v>0</v>
      </c>
      <c r="N172">
        <v>0</v>
      </c>
    </row>
    <row r="173" spans="1:14" x14ac:dyDescent="0.35">
      <c r="A173" t="s">
        <v>6</v>
      </c>
      <c r="B173" t="s">
        <v>465</v>
      </c>
      <c r="D173" t="s">
        <v>466</v>
      </c>
      <c r="E173" t="s">
        <v>59</v>
      </c>
      <c r="F173" t="s">
        <v>467</v>
      </c>
      <c r="H173" t="str" cm="1">
        <f t="array" ref="H173">_xlfn.TEXTJOIN(", ", TRUE, IF(I173:M173&gt;0, I$1:M$1, ""))</f>
        <v>Organisational View</v>
      </c>
      <c r="I173">
        <v>0</v>
      </c>
      <c r="J173">
        <v>0</v>
      </c>
      <c r="K173">
        <v>0</v>
      </c>
      <c r="L173">
        <v>2</v>
      </c>
      <c r="M173">
        <v>0</v>
      </c>
      <c r="N173">
        <v>0</v>
      </c>
    </row>
    <row r="174" spans="1:14" x14ac:dyDescent="0.35">
      <c r="A174" t="s">
        <v>6</v>
      </c>
      <c r="B174" t="s">
        <v>468</v>
      </c>
      <c r="C174" t="s">
        <v>469</v>
      </c>
      <c r="E174" t="s">
        <v>121</v>
      </c>
      <c r="F174" t="s">
        <v>97</v>
      </c>
      <c r="H174" t="str" cm="1">
        <f t="array" ref="H174">_xlfn.TEXTJOIN(", ", TRUE, IF(I174:M174&gt;0, I$1:M$1, ""))</f>
        <v>Semantic View</v>
      </c>
      <c r="I174">
        <v>0</v>
      </c>
      <c r="J174">
        <v>0</v>
      </c>
      <c r="K174">
        <v>0</v>
      </c>
      <c r="L174">
        <v>0</v>
      </c>
      <c r="M174">
        <v>3</v>
      </c>
      <c r="N174">
        <v>2</v>
      </c>
    </row>
    <row r="175" spans="1:14" x14ac:dyDescent="0.35">
      <c r="A175" t="s">
        <v>6</v>
      </c>
      <c r="B175" t="s">
        <v>470</v>
      </c>
      <c r="C175" t="s">
        <v>471</v>
      </c>
      <c r="D175" t="s">
        <v>472</v>
      </c>
      <c r="E175" t="s">
        <v>50</v>
      </c>
      <c r="F175" t="s">
        <v>473</v>
      </c>
      <c r="H175" t="str" cm="1">
        <f t="array" ref="H175">_xlfn.TEXTJOIN(", ", TRUE, IF(I175:M175&gt;0, I$1:M$1, ""))</f>
        <v>Tech Infrastructure, Tech Application</v>
      </c>
      <c r="I175">
        <v>2</v>
      </c>
      <c r="J175">
        <v>6</v>
      </c>
      <c r="K175">
        <v>0</v>
      </c>
      <c r="L175">
        <v>0</v>
      </c>
      <c r="M175">
        <v>0</v>
      </c>
      <c r="N175">
        <v>0</v>
      </c>
    </row>
    <row r="176" spans="1:14" x14ac:dyDescent="0.35">
      <c r="A176" t="s">
        <v>6</v>
      </c>
      <c r="B176" t="s">
        <v>474</v>
      </c>
      <c r="C176" t="s">
        <v>475</v>
      </c>
      <c r="E176" t="s">
        <v>66</v>
      </c>
      <c r="F176" t="s">
        <v>55</v>
      </c>
      <c r="H176" t="str" cm="1">
        <f t="array" ref="H176">_xlfn.TEXTJOIN(", ", TRUE, IF(I176:M176&gt;0, I$1:M$1, ""))</f>
        <v>Tech Infrastructure, Semantic View</v>
      </c>
      <c r="I176">
        <v>1</v>
      </c>
      <c r="J176">
        <v>0</v>
      </c>
      <c r="K176">
        <v>0</v>
      </c>
      <c r="L176">
        <v>0</v>
      </c>
      <c r="M176">
        <v>2</v>
      </c>
      <c r="N176">
        <v>0</v>
      </c>
    </row>
    <row r="177" spans="1:14" x14ac:dyDescent="0.35">
      <c r="A177" t="s">
        <v>6</v>
      </c>
      <c r="B177" t="s">
        <v>476</v>
      </c>
      <c r="D177" t="s">
        <v>477</v>
      </c>
      <c r="E177" t="s">
        <v>66</v>
      </c>
      <c r="F177" t="s">
        <v>478</v>
      </c>
      <c r="H177" t="str" cm="1">
        <f t="array" ref="H177">_xlfn.TEXTJOIN(", ", TRUE, IF(I177:M177&gt;0, I$1:M$1, ""))</f>
        <v>Legal View</v>
      </c>
      <c r="I177">
        <v>0</v>
      </c>
      <c r="J177">
        <v>0</v>
      </c>
      <c r="K177">
        <v>1</v>
      </c>
      <c r="L177">
        <v>0</v>
      </c>
      <c r="M177">
        <v>0</v>
      </c>
      <c r="N177">
        <v>0</v>
      </c>
    </row>
    <row r="178" spans="1:14" x14ac:dyDescent="0.35">
      <c r="A178" t="s">
        <v>6</v>
      </c>
      <c r="B178" t="s">
        <v>479</v>
      </c>
      <c r="C178" t="s">
        <v>479</v>
      </c>
      <c r="E178" t="s">
        <v>96</v>
      </c>
      <c r="F178" t="s">
        <v>480</v>
      </c>
      <c r="H178" t="str" cm="1">
        <f t="array" ref="H178">_xlfn.TEXTJOIN(", ", TRUE, IF(I178:M178&gt;0, I$1:M$1, ""))</f>
        <v>Tech Application</v>
      </c>
      <c r="I178">
        <v>0</v>
      </c>
      <c r="J178">
        <v>2</v>
      </c>
      <c r="K178">
        <v>0</v>
      </c>
      <c r="L178">
        <v>0</v>
      </c>
      <c r="M178">
        <v>0</v>
      </c>
      <c r="N178">
        <v>1</v>
      </c>
    </row>
    <row r="179" spans="1:14" x14ac:dyDescent="0.35">
      <c r="A179" t="s">
        <v>6</v>
      </c>
      <c r="B179" t="s">
        <v>481</v>
      </c>
      <c r="D179" t="s">
        <v>482</v>
      </c>
      <c r="E179" t="s">
        <v>59</v>
      </c>
      <c r="F179" t="s">
        <v>100</v>
      </c>
      <c r="H179" t="str" cm="1">
        <f t="array" ref="H179">_xlfn.TEXTJOIN(", ", TRUE, IF(I179:M179&gt;0, I$1:M$1, ""))</f>
        <v>Organisational View, Semantic View</v>
      </c>
      <c r="I179">
        <v>0</v>
      </c>
      <c r="J179">
        <v>0</v>
      </c>
      <c r="K179">
        <v>0</v>
      </c>
      <c r="L179">
        <v>1</v>
      </c>
      <c r="M179">
        <v>3</v>
      </c>
      <c r="N179">
        <v>0</v>
      </c>
    </row>
    <row r="180" spans="1:14" x14ac:dyDescent="0.35">
      <c r="A180" t="s">
        <v>6</v>
      </c>
      <c r="B180" t="s">
        <v>483</v>
      </c>
      <c r="D180" t="s">
        <v>484</v>
      </c>
      <c r="E180" t="s">
        <v>336</v>
      </c>
      <c r="F180" t="s">
        <v>55</v>
      </c>
      <c r="H180" t="str" cm="1">
        <f t="array" ref="H180">_xlfn.TEXTJOIN(", ", TRUE, IF(I180:M180&gt;0, I$1:M$1, ""))</f>
        <v>Tech Infrastructure, Organisational View</v>
      </c>
      <c r="I180">
        <v>1</v>
      </c>
      <c r="J180">
        <v>0</v>
      </c>
      <c r="K180">
        <v>0</v>
      </c>
      <c r="L180">
        <v>1</v>
      </c>
      <c r="M180">
        <v>0</v>
      </c>
      <c r="N180">
        <v>0</v>
      </c>
    </row>
    <row r="181" spans="1:14" x14ac:dyDescent="0.35">
      <c r="A181" t="s">
        <v>6</v>
      </c>
      <c r="B181" t="s">
        <v>485</v>
      </c>
      <c r="C181" t="s">
        <v>486</v>
      </c>
      <c r="E181" t="s">
        <v>59</v>
      </c>
      <c r="F181" t="s">
        <v>487</v>
      </c>
      <c r="H181" t="str" cm="1">
        <f t="array" ref="H181">_xlfn.TEXTJOIN(", ", TRUE, IF(I181:M181&gt;0, I$1:M$1, ""))</f>
        <v>Tech Infrastructure, Tech Application</v>
      </c>
      <c r="I181">
        <v>1</v>
      </c>
      <c r="J181">
        <v>2</v>
      </c>
      <c r="K181">
        <v>0</v>
      </c>
      <c r="L181">
        <v>0</v>
      </c>
      <c r="M181">
        <v>0</v>
      </c>
      <c r="N181">
        <v>0</v>
      </c>
    </row>
    <row r="182" spans="1:14" x14ac:dyDescent="0.35">
      <c r="A182" t="s">
        <v>6</v>
      </c>
      <c r="B182" t="s">
        <v>488</v>
      </c>
      <c r="E182" t="s">
        <v>489</v>
      </c>
      <c r="F182" t="s">
        <v>51</v>
      </c>
      <c r="H182" t="str" cm="1">
        <f t="array" ref="H182">_xlfn.TEXTJOIN(", ", TRUE, IF(I182:M182&gt;0, I$1:M$1, ""))</f>
        <v>Semantic View</v>
      </c>
      <c r="I182">
        <v>0</v>
      </c>
      <c r="J182">
        <v>0</v>
      </c>
      <c r="K182">
        <v>0</v>
      </c>
      <c r="L182">
        <v>0</v>
      </c>
      <c r="M182">
        <v>2</v>
      </c>
      <c r="N182">
        <v>0</v>
      </c>
    </row>
    <row r="183" spans="1:14" x14ac:dyDescent="0.35">
      <c r="A183" t="s">
        <v>6</v>
      </c>
      <c r="B183" t="s">
        <v>490</v>
      </c>
      <c r="C183" t="s">
        <v>491</v>
      </c>
      <c r="E183" t="s">
        <v>124</v>
      </c>
      <c r="F183" t="s">
        <v>55</v>
      </c>
      <c r="H183" t="str" cm="1">
        <f t="array" ref="H183">_xlfn.TEXTJOIN(", ", TRUE, IF(I183:M183&gt;0, I$1:M$1, ""))</f>
        <v>Tech Application</v>
      </c>
      <c r="I183">
        <v>0</v>
      </c>
      <c r="J183">
        <v>1</v>
      </c>
      <c r="K183">
        <v>0</v>
      </c>
      <c r="L183">
        <v>0</v>
      </c>
      <c r="M183">
        <v>0</v>
      </c>
      <c r="N183">
        <v>0</v>
      </c>
    </row>
    <row r="184" spans="1:14" x14ac:dyDescent="0.35">
      <c r="A184" t="s">
        <v>6</v>
      </c>
      <c r="B184" t="s">
        <v>492</v>
      </c>
      <c r="D184" t="s">
        <v>493</v>
      </c>
      <c r="E184" t="s">
        <v>59</v>
      </c>
      <c r="F184" t="s">
        <v>155</v>
      </c>
      <c r="H184" t="str" cm="1">
        <f t="array" ref="H184">_xlfn.TEXTJOIN(", ", TRUE, IF(I184:M184&gt;0, I$1:M$1, ""))</f>
        <v/>
      </c>
      <c r="I184">
        <v>0</v>
      </c>
      <c r="J184">
        <v>0</v>
      </c>
      <c r="K184">
        <v>0</v>
      </c>
      <c r="L184">
        <v>0</v>
      </c>
      <c r="M184">
        <v>0</v>
      </c>
      <c r="N184">
        <v>0</v>
      </c>
    </row>
    <row r="185" spans="1:14" x14ac:dyDescent="0.35">
      <c r="A185" t="s">
        <v>6</v>
      </c>
      <c r="B185" t="s">
        <v>494</v>
      </c>
      <c r="C185" t="s">
        <v>495</v>
      </c>
      <c r="E185" t="s">
        <v>62</v>
      </c>
      <c r="F185" t="s">
        <v>92</v>
      </c>
      <c r="H185" t="str" cm="1">
        <f t="array" ref="H185">_xlfn.TEXTJOIN(", ", TRUE, IF(I185:M185&gt;0, I$1:M$1, ""))</f>
        <v>Semantic View</v>
      </c>
      <c r="I185">
        <v>0</v>
      </c>
      <c r="J185">
        <v>0</v>
      </c>
      <c r="K185">
        <v>0</v>
      </c>
      <c r="L185">
        <v>0</v>
      </c>
      <c r="M185">
        <v>1</v>
      </c>
      <c r="N185">
        <v>0</v>
      </c>
    </row>
    <row r="186" spans="1:14" x14ac:dyDescent="0.35">
      <c r="A186" t="s">
        <v>6</v>
      </c>
      <c r="B186" t="s">
        <v>496</v>
      </c>
      <c r="E186" t="s">
        <v>66</v>
      </c>
      <c r="F186" t="s">
        <v>497</v>
      </c>
      <c r="H186" t="str" cm="1">
        <f t="array" ref="H186">_xlfn.TEXTJOIN(", ", TRUE, IF(I186:M186&gt;0, I$1:M$1, ""))</f>
        <v>Semantic View</v>
      </c>
      <c r="I186">
        <v>0</v>
      </c>
      <c r="J186">
        <v>0</v>
      </c>
      <c r="K186">
        <v>0</v>
      </c>
      <c r="L186">
        <v>0</v>
      </c>
      <c r="M186">
        <v>1</v>
      </c>
      <c r="N186">
        <v>0</v>
      </c>
    </row>
    <row r="187" spans="1:14" x14ac:dyDescent="0.35">
      <c r="A187" t="s">
        <v>6</v>
      </c>
      <c r="B187" t="s">
        <v>498</v>
      </c>
      <c r="C187" t="s">
        <v>499</v>
      </c>
      <c r="E187" t="s">
        <v>308</v>
      </c>
      <c r="F187" t="s">
        <v>55</v>
      </c>
      <c r="H187" t="str" cm="1">
        <f t="array" ref="H187">_xlfn.TEXTJOIN(", ", TRUE, IF(I187:M187&gt;0, I$1:M$1, ""))</f>
        <v>Tech Infrastructure</v>
      </c>
      <c r="I187">
        <v>4</v>
      </c>
      <c r="J187">
        <v>0</v>
      </c>
      <c r="K187">
        <v>0</v>
      </c>
      <c r="L187">
        <v>0</v>
      </c>
      <c r="M187">
        <v>0</v>
      </c>
      <c r="N187">
        <v>0</v>
      </c>
    </row>
    <row r="188" spans="1:14" x14ac:dyDescent="0.35">
      <c r="A188" t="s">
        <v>6</v>
      </c>
      <c r="B188" t="s">
        <v>500</v>
      </c>
      <c r="C188" t="s">
        <v>500</v>
      </c>
      <c r="E188" t="s">
        <v>121</v>
      </c>
      <c r="F188" t="s">
        <v>409</v>
      </c>
      <c r="H188" t="str" cm="1">
        <f t="array" ref="H188">_xlfn.TEXTJOIN(", ", TRUE, IF(I188:M188&gt;0, I$1:M$1, ""))</f>
        <v>Legal View, Semantic View</v>
      </c>
      <c r="I188">
        <v>0</v>
      </c>
      <c r="J188">
        <v>0</v>
      </c>
      <c r="K188">
        <v>1</v>
      </c>
      <c r="L188">
        <v>0</v>
      </c>
      <c r="M188">
        <v>1</v>
      </c>
      <c r="N188">
        <v>0</v>
      </c>
    </row>
    <row r="189" spans="1:14" x14ac:dyDescent="0.35">
      <c r="A189" t="s">
        <v>6</v>
      </c>
      <c r="B189" t="s">
        <v>501</v>
      </c>
      <c r="C189" t="s">
        <v>502</v>
      </c>
      <c r="E189" t="s">
        <v>121</v>
      </c>
      <c r="F189" t="s">
        <v>180</v>
      </c>
      <c r="H189" t="str" cm="1">
        <f t="array" ref="H189">_xlfn.TEXTJOIN(", ", TRUE, IF(I189:M189&gt;0, I$1:M$1, ""))</f>
        <v/>
      </c>
      <c r="I189">
        <v>0</v>
      </c>
      <c r="J189">
        <v>0</v>
      </c>
      <c r="K189">
        <v>0</v>
      </c>
      <c r="L189">
        <v>0</v>
      </c>
      <c r="M189">
        <v>0</v>
      </c>
      <c r="N189">
        <v>0</v>
      </c>
    </row>
    <row r="190" spans="1:14" x14ac:dyDescent="0.35">
      <c r="A190" t="s">
        <v>6</v>
      </c>
      <c r="B190" t="s">
        <v>503</v>
      </c>
      <c r="D190" t="s">
        <v>504</v>
      </c>
      <c r="E190" t="s">
        <v>69</v>
      </c>
      <c r="F190" t="s">
        <v>55</v>
      </c>
      <c r="H190" t="str" cm="1">
        <f t="array" ref="H190">_xlfn.TEXTJOIN(", ", TRUE, IF(I190:M190&gt;0, I$1:M$1, ""))</f>
        <v>Tech Application</v>
      </c>
      <c r="I190">
        <v>0</v>
      </c>
      <c r="J190">
        <v>2</v>
      </c>
      <c r="K190">
        <v>0</v>
      </c>
      <c r="L190">
        <v>0</v>
      </c>
      <c r="M190">
        <v>0</v>
      </c>
      <c r="N190">
        <v>0</v>
      </c>
    </row>
    <row r="191" spans="1:14" x14ac:dyDescent="0.35">
      <c r="A191" t="s">
        <v>6</v>
      </c>
      <c r="B191" t="s">
        <v>505</v>
      </c>
      <c r="D191" t="s">
        <v>506</v>
      </c>
      <c r="E191" t="s">
        <v>66</v>
      </c>
      <c r="F191" t="s">
        <v>507</v>
      </c>
      <c r="H191" t="str" cm="1">
        <f t="array" ref="H191">_xlfn.TEXTJOIN(", ", TRUE, IF(I191:M191&gt;0, I$1:M$1, ""))</f>
        <v>Legal View</v>
      </c>
      <c r="I191">
        <v>0</v>
      </c>
      <c r="J191">
        <v>0</v>
      </c>
      <c r="K191">
        <v>5</v>
      </c>
      <c r="L191">
        <v>0</v>
      </c>
      <c r="M191">
        <v>0</v>
      </c>
      <c r="N191">
        <v>0</v>
      </c>
    </row>
    <row r="192" spans="1:14" x14ac:dyDescent="0.35">
      <c r="A192" t="s">
        <v>6</v>
      </c>
      <c r="B192" t="s">
        <v>508</v>
      </c>
      <c r="C192" t="s">
        <v>509</v>
      </c>
      <c r="E192" t="s">
        <v>510</v>
      </c>
      <c r="F192" t="s">
        <v>55</v>
      </c>
      <c r="H192" t="str" cm="1">
        <f t="array" ref="H192">_xlfn.TEXTJOIN(", ", TRUE, IF(I192:M192&gt;0, I$1:M$1, ""))</f>
        <v>Tech Application, Semantic View</v>
      </c>
      <c r="I192">
        <v>0</v>
      </c>
      <c r="J192">
        <v>2</v>
      </c>
      <c r="K192">
        <v>0</v>
      </c>
      <c r="L192">
        <v>0</v>
      </c>
      <c r="M192">
        <v>2</v>
      </c>
      <c r="N192">
        <v>0</v>
      </c>
    </row>
    <row r="193" spans="1:14" x14ac:dyDescent="0.35">
      <c r="A193" t="s">
        <v>6</v>
      </c>
      <c r="B193" t="s">
        <v>511</v>
      </c>
      <c r="D193" t="s">
        <v>512</v>
      </c>
      <c r="E193" t="s">
        <v>69</v>
      </c>
      <c r="F193" t="s">
        <v>51</v>
      </c>
      <c r="H193" t="str" cm="1">
        <f t="array" ref="H193">_xlfn.TEXTJOIN(", ", TRUE, IF(I193:M193&gt;0, I$1:M$1, ""))</f>
        <v>Organisational View</v>
      </c>
      <c r="I193">
        <v>0</v>
      </c>
      <c r="J193">
        <v>0</v>
      </c>
      <c r="K193">
        <v>0</v>
      </c>
      <c r="L193">
        <v>2</v>
      </c>
      <c r="M193">
        <v>0</v>
      </c>
      <c r="N193">
        <v>0</v>
      </c>
    </row>
    <row r="194" spans="1:14" x14ac:dyDescent="0.35">
      <c r="A194" t="s">
        <v>6</v>
      </c>
      <c r="B194" t="s">
        <v>513</v>
      </c>
      <c r="C194" t="s">
        <v>514</v>
      </c>
      <c r="E194" t="s">
        <v>121</v>
      </c>
      <c r="F194" t="s">
        <v>55</v>
      </c>
      <c r="H194" t="str" cm="1">
        <f t="array" ref="H194">_xlfn.TEXTJOIN(", ", TRUE, IF(I194:M194&gt;0, I$1:M$1, ""))</f>
        <v>Semantic View</v>
      </c>
      <c r="I194">
        <v>0</v>
      </c>
      <c r="J194">
        <v>0</v>
      </c>
      <c r="K194">
        <v>0</v>
      </c>
      <c r="L194">
        <v>0</v>
      </c>
      <c r="M194">
        <v>2</v>
      </c>
      <c r="N194">
        <v>0</v>
      </c>
    </row>
    <row r="195" spans="1:14" x14ac:dyDescent="0.35">
      <c r="A195" t="s">
        <v>6</v>
      </c>
      <c r="B195" t="s">
        <v>515</v>
      </c>
      <c r="E195" t="s">
        <v>516</v>
      </c>
      <c r="F195" t="s">
        <v>55</v>
      </c>
      <c r="H195" t="str" cm="1">
        <f t="array" ref="H195">_xlfn.TEXTJOIN(", ", TRUE, IF(I195:M195&gt;0, I$1:M$1, ""))</f>
        <v>Organisational View</v>
      </c>
      <c r="I195">
        <v>0</v>
      </c>
      <c r="J195">
        <v>0</v>
      </c>
      <c r="K195">
        <v>0</v>
      </c>
      <c r="L195">
        <v>1</v>
      </c>
      <c r="M195">
        <v>0</v>
      </c>
      <c r="N195">
        <v>0</v>
      </c>
    </row>
    <row r="196" spans="1:14" x14ac:dyDescent="0.35">
      <c r="A196" t="s">
        <v>6</v>
      </c>
      <c r="B196" t="s">
        <v>517</v>
      </c>
      <c r="D196" t="s">
        <v>518</v>
      </c>
      <c r="E196" t="s">
        <v>230</v>
      </c>
      <c r="F196" t="s">
        <v>111</v>
      </c>
      <c r="H196" t="str" cm="1">
        <f t="array" ref="H196">_xlfn.TEXTJOIN(", ", TRUE, IF(I196:M196&gt;0, I$1:M$1, ""))</f>
        <v>Tech Infrastructure, Organisational View</v>
      </c>
      <c r="I196">
        <v>1</v>
      </c>
      <c r="J196">
        <v>0</v>
      </c>
      <c r="K196">
        <v>0</v>
      </c>
      <c r="L196">
        <v>2</v>
      </c>
      <c r="M196">
        <v>0</v>
      </c>
      <c r="N196">
        <v>0</v>
      </c>
    </row>
    <row r="197" spans="1:14" x14ac:dyDescent="0.35">
      <c r="A197" t="s">
        <v>6</v>
      </c>
      <c r="B197" t="s">
        <v>519</v>
      </c>
      <c r="E197" t="s">
        <v>489</v>
      </c>
      <c r="F197" t="s">
        <v>55</v>
      </c>
      <c r="H197" t="str" cm="1">
        <f t="array" ref="H197">_xlfn.TEXTJOIN(", ", TRUE, IF(I197:M197&gt;0, I$1:M$1, ""))</f>
        <v>Tech Application</v>
      </c>
      <c r="I197">
        <v>0</v>
      </c>
      <c r="J197">
        <v>7</v>
      </c>
      <c r="K197">
        <v>0</v>
      </c>
      <c r="L197">
        <v>0</v>
      </c>
      <c r="M197">
        <v>0</v>
      </c>
      <c r="N197">
        <v>1</v>
      </c>
    </row>
    <row r="198" spans="1:14" x14ac:dyDescent="0.35">
      <c r="A198" t="s">
        <v>6</v>
      </c>
      <c r="B198" t="s">
        <v>520</v>
      </c>
      <c r="C198" t="s">
        <v>521</v>
      </c>
      <c r="D198" t="s">
        <v>522</v>
      </c>
      <c r="E198" t="s">
        <v>50</v>
      </c>
      <c r="F198" t="s">
        <v>111</v>
      </c>
      <c r="H198" t="str" cm="1">
        <f t="array" ref="H198">_xlfn.TEXTJOIN(", ", TRUE, IF(I198:M198&gt;0, I$1:M$1, ""))</f>
        <v>Semantic View</v>
      </c>
      <c r="I198">
        <v>0</v>
      </c>
      <c r="J198">
        <v>0</v>
      </c>
      <c r="K198">
        <v>0</v>
      </c>
      <c r="L198">
        <v>0</v>
      </c>
      <c r="M198">
        <v>2</v>
      </c>
      <c r="N198">
        <v>2</v>
      </c>
    </row>
    <row r="199" spans="1:14" x14ac:dyDescent="0.35">
      <c r="A199" t="s">
        <v>6</v>
      </c>
      <c r="B199" t="s">
        <v>523</v>
      </c>
      <c r="C199" t="s">
        <v>524</v>
      </c>
      <c r="D199" t="s">
        <v>525</v>
      </c>
      <c r="E199" t="s">
        <v>50</v>
      </c>
      <c r="F199" t="s">
        <v>55</v>
      </c>
      <c r="H199" t="str" cm="1">
        <f t="array" ref="H199">_xlfn.TEXTJOIN(", ", TRUE, IF(I199:M199&gt;0, I$1:M$1, ""))</f>
        <v>Tech Infrastructure, Tech Application</v>
      </c>
      <c r="I199">
        <v>4</v>
      </c>
      <c r="J199">
        <v>2</v>
      </c>
      <c r="K199">
        <v>0</v>
      </c>
      <c r="L199">
        <v>0</v>
      </c>
      <c r="M199">
        <v>0</v>
      </c>
      <c r="N199">
        <v>2</v>
      </c>
    </row>
    <row r="200" spans="1:14" x14ac:dyDescent="0.35">
      <c r="A200" t="s">
        <v>6</v>
      </c>
      <c r="B200" t="s">
        <v>526</v>
      </c>
      <c r="C200" t="s">
        <v>527</v>
      </c>
      <c r="E200" t="s">
        <v>50</v>
      </c>
      <c r="F200" t="s">
        <v>528</v>
      </c>
      <c r="H200" t="str" cm="1">
        <f t="array" ref="H200">_xlfn.TEXTJOIN(", ", TRUE, IF(I200:M200&gt;0, I$1:M$1, ""))</f>
        <v>Tech Application, Semantic View</v>
      </c>
      <c r="I200">
        <v>0</v>
      </c>
      <c r="J200">
        <v>2</v>
      </c>
      <c r="K200">
        <v>0</v>
      </c>
      <c r="L200">
        <v>0</v>
      </c>
      <c r="M200">
        <v>3</v>
      </c>
      <c r="N200">
        <v>0</v>
      </c>
    </row>
    <row r="201" spans="1:14" x14ac:dyDescent="0.35">
      <c r="A201" t="s">
        <v>6</v>
      </c>
      <c r="B201" t="s">
        <v>529</v>
      </c>
      <c r="D201" t="s">
        <v>530</v>
      </c>
      <c r="E201" t="s">
        <v>96</v>
      </c>
      <c r="F201" t="s">
        <v>55</v>
      </c>
      <c r="H201" t="str" cm="1">
        <f t="array" ref="H201">_xlfn.TEXTJOIN(", ", TRUE, IF(I201:M201&gt;0, I$1:M$1, ""))</f>
        <v>Semantic View</v>
      </c>
      <c r="I201">
        <v>0</v>
      </c>
      <c r="J201">
        <v>0</v>
      </c>
      <c r="K201">
        <v>0</v>
      </c>
      <c r="L201">
        <v>0</v>
      </c>
      <c r="M201">
        <v>3</v>
      </c>
      <c r="N201">
        <v>1</v>
      </c>
    </row>
    <row r="202" spans="1:14" x14ac:dyDescent="0.35">
      <c r="A202" t="s">
        <v>6</v>
      </c>
      <c r="B202" t="s">
        <v>531</v>
      </c>
      <c r="C202" t="s">
        <v>532</v>
      </c>
      <c r="E202" t="s">
        <v>533</v>
      </c>
      <c r="F202" t="s">
        <v>281</v>
      </c>
      <c r="H202" t="str" cm="1">
        <f t="array" ref="H202">_xlfn.TEXTJOIN(", ", TRUE, IF(I202:M202&gt;0, I$1:M$1, ""))</f>
        <v>Tech Application</v>
      </c>
      <c r="I202">
        <v>0</v>
      </c>
      <c r="J202">
        <v>2</v>
      </c>
      <c r="K202">
        <v>0</v>
      </c>
      <c r="L202">
        <v>0</v>
      </c>
      <c r="M202">
        <v>0</v>
      </c>
      <c r="N202">
        <v>0</v>
      </c>
    </row>
    <row r="203" spans="1:14" x14ac:dyDescent="0.35">
      <c r="A203" t="s">
        <v>6</v>
      </c>
      <c r="B203" t="s">
        <v>534</v>
      </c>
      <c r="E203" t="s">
        <v>293</v>
      </c>
      <c r="F203" t="s">
        <v>535</v>
      </c>
      <c r="H203" t="str" cm="1">
        <f t="array" ref="H203">_xlfn.TEXTJOIN(", ", TRUE, IF(I203:M203&gt;0, I$1:M$1, ""))</f>
        <v/>
      </c>
      <c r="I203">
        <v>0</v>
      </c>
      <c r="J203">
        <v>0</v>
      </c>
      <c r="K203">
        <v>0</v>
      </c>
      <c r="L203">
        <v>0</v>
      </c>
      <c r="M203">
        <v>0</v>
      </c>
      <c r="N203">
        <v>0</v>
      </c>
    </row>
    <row r="204" spans="1:14" x14ac:dyDescent="0.35">
      <c r="A204" t="s">
        <v>6</v>
      </c>
      <c r="B204" t="s">
        <v>536</v>
      </c>
      <c r="D204" t="s">
        <v>537</v>
      </c>
      <c r="E204" t="s">
        <v>230</v>
      </c>
      <c r="F204" t="s">
        <v>55</v>
      </c>
      <c r="H204" t="str" cm="1">
        <f t="array" ref="H204">_xlfn.TEXTJOIN(", ", TRUE, IF(I204:M204&gt;0, I$1:M$1, ""))</f>
        <v>Organisational View</v>
      </c>
      <c r="I204">
        <v>0</v>
      </c>
      <c r="J204">
        <v>0</v>
      </c>
      <c r="K204">
        <v>0</v>
      </c>
      <c r="L204">
        <v>1</v>
      </c>
      <c r="M204">
        <v>0</v>
      </c>
      <c r="N204">
        <v>0</v>
      </c>
    </row>
    <row r="205" spans="1:14" x14ac:dyDescent="0.35">
      <c r="A205" t="s">
        <v>6</v>
      </c>
      <c r="B205" t="s">
        <v>538</v>
      </c>
      <c r="D205" t="s">
        <v>539</v>
      </c>
      <c r="E205" t="s">
        <v>59</v>
      </c>
      <c r="F205" t="s">
        <v>540</v>
      </c>
      <c r="H205" t="str" cm="1">
        <f t="array" ref="H205">_xlfn.TEXTJOIN(", ", TRUE, IF(I205:M205&gt;0, I$1:M$1, ""))</f>
        <v>Organisational View</v>
      </c>
      <c r="I205">
        <v>0</v>
      </c>
      <c r="J205">
        <v>0</v>
      </c>
      <c r="K205">
        <v>0</v>
      </c>
      <c r="L205">
        <v>1</v>
      </c>
      <c r="M205">
        <v>0</v>
      </c>
      <c r="N205">
        <v>0</v>
      </c>
    </row>
    <row r="206" spans="1:14" x14ac:dyDescent="0.35">
      <c r="A206" t="s">
        <v>6</v>
      </c>
      <c r="B206" t="s">
        <v>541</v>
      </c>
      <c r="C206" t="s">
        <v>542</v>
      </c>
      <c r="E206" t="s">
        <v>543</v>
      </c>
      <c r="F206" t="s">
        <v>544</v>
      </c>
      <c r="H206" t="str" cm="1">
        <f t="array" ref="H206">_xlfn.TEXTJOIN(", ", TRUE, IF(I206:M206&gt;0, I$1:M$1, ""))</f>
        <v>Tech Infrastructure</v>
      </c>
      <c r="I206">
        <v>2</v>
      </c>
      <c r="J206">
        <v>0</v>
      </c>
      <c r="K206">
        <v>0</v>
      </c>
      <c r="L206">
        <v>0</v>
      </c>
      <c r="M206">
        <v>0</v>
      </c>
      <c r="N206">
        <v>0</v>
      </c>
    </row>
    <row r="207" spans="1:14" x14ac:dyDescent="0.35">
      <c r="A207" t="s">
        <v>6</v>
      </c>
      <c r="B207" t="s">
        <v>545</v>
      </c>
      <c r="C207" t="s">
        <v>546</v>
      </c>
      <c r="E207" t="s">
        <v>121</v>
      </c>
      <c r="F207" t="s">
        <v>92</v>
      </c>
      <c r="H207" t="str" cm="1">
        <f t="array" ref="H207">_xlfn.TEXTJOIN(", ", TRUE, IF(I207:M207&gt;0, I$1:M$1, ""))</f>
        <v>Tech Application, Semantic View</v>
      </c>
      <c r="I207">
        <v>0</v>
      </c>
      <c r="J207">
        <v>4</v>
      </c>
      <c r="K207">
        <v>0</v>
      </c>
      <c r="L207">
        <v>0</v>
      </c>
      <c r="M207">
        <v>10</v>
      </c>
      <c r="N207">
        <v>0</v>
      </c>
    </row>
    <row r="208" spans="1:14" x14ac:dyDescent="0.35">
      <c r="A208" t="s">
        <v>6</v>
      </c>
      <c r="B208" t="s">
        <v>547</v>
      </c>
      <c r="C208" t="s">
        <v>548</v>
      </c>
      <c r="E208" t="s">
        <v>549</v>
      </c>
      <c r="F208" t="s">
        <v>92</v>
      </c>
      <c r="H208" t="str" cm="1">
        <f t="array" ref="H208">_xlfn.TEXTJOIN(", ", TRUE, IF(I208:M208&gt;0, I$1:M$1, ""))</f>
        <v>Semantic View</v>
      </c>
      <c r="I208">
        <v>0</v>
      </c>
      <c r="J208">
        <v>0</v>
      </c>
      <c r="K208">
        <v>0</v>
      </c>
      <c r="L208">
        <v>0</v>
      </c>
      <c r="M208">
        <v>1</v>
      </c>
      <c r="N208">
        <v>0</v>
      </c>
    </row>
    <row r="209" spans="1:14" x14ac:dyDescent="0.35">
      <c r="A209" t="s">
        <v>6</v>
      </c>
      <c r="B209" t="s">
        <v>550</v>
      </c>
      <c r="D209" t="s">
        <v>551</v>
      </c>
      <c r="E209" t="s">
        <v>222</v>
      </c>
      <c r="F209" t="s">
        <v>55</v>
      </c>
      <c r="H209" t="str" cm="1">
        <f t="array" ref="H209">_xlfn.TEXTJOIN(", ", TRUE, IF(I209:M209&gt;0, I$1:M$1, ""))</f>
        <v>Semantic View</v>
      </c>
      <c r="I209">
        <v>0</v>
      </c>
      <c r="J209">
        <v>0</v>
      </c>
      <c r="K209">
        <v>0</v>
      </c>
      <c r="L209">
        <v>0</v>
      </c>
      <c r="M209">
        <v>4</v>
      </c>
      <c r="N209">
        <v>0</v>
      </c>
    </row>
    <row r="210" spans="1:14" x14ac:dyDescent="0.35">
      <c r="A210" t="s">
        <v>6</v>
      </c>
      <c r="B210" t="s">
        <v>552</v>
      </c>
      <c r="C210" t="s">
        <v>553</v>
      </c>
      <c r="E210" t="s">
        <v>50</v>
      </c>
      <c r="F210" t="s">
        <v>554</v>
      </c>
      <c r="H210" t="str" cm="1">
        <f t="array" ref="H210">_xlfn.TEXTJOIN(", ", TRUE, IF(I210:M210&gt;0, I$1:M$1, ""))</f>
        <v>Tech Infrastructure, Tech Application</v>
      </c>
      <c r="I210">
        <v>1</v>
      </c>
      <c r="J210">
        <v>2</v>
      </c>
      <c r="K210">
        <v>0</v>
      </c>
      <c r="L210">
        <v>0</v>
      </c>
      <c r="M210">
        <v>0</v>
      </c>
      <c r="N210">
        <v>3</v>
      </c>
    </row>
    <row r="211" spans="1:14" x14ac:dyDescent="0.35">
      <c r="A211" t="s">
        <v>6</v>
      </c>
      <c r="B211" t="s">
        <v>555</v>
      </c>
      <c r="C211" t="s">
        <v>556</v>
      </c>
      <c r="D211" t="s">
        <v>557</v>
      </c>
      <c r="E211" t="s">
        <v>50</v>
      </c>
      <c r="F211" t="s">
        <v>558</v>
      </c>
      <c r="H211" t="str" cm="1">
        <f t="array" ref="H211">_xlfn.TEXTJOIN(", ", TRUE, IF(I211:M211&gt;0, I$1:M$1, ""))</f>
        <v>Tech Application</v>
      </c>
      <c r="I211">
        <v>0</v>
      </c>
      <c r="J211">
        <v>1</v>
      </c>
      <c r="K211">
        <v>0</v>
      </c>
      <c r="L211">
        <v>0</v>
      </c>
      <c r="M211">
        <v>0</v>
      </c>
      <c r="N211">
        <v>1</v>
      </c>
    </row>
    <row r="212" spans="1:14" x14ac:dyDescent="0.35">
      <c r="A212" t="s">
        <v>6</v>
      </c>
      <c r="B212" t="s">
        <v>559</v>
      </c>
      <c r="E212" t="s">
        <v>154</v>
      </c>
      <c r="F212" t="s">
        <v>155</v>
      </c>
      <c r="H212" t="str" cm="1">
        <f t="array" ref="H212">_xlfn.TEXTJOIN(", ", TRUE, IF(I212:M212&gt;0, I$1:M$1, ""))</f>
        <v>Tech Application</v>
      </c>
      <c r="I212">
        <v>0</v>
      </c>
      <c r="J212">
        <v>3</v>
      </c>
      <c r="K212">
        <v>0</v>
      </c>
      <c r="L212">
        <v>0</v>
      </c>
      <c r="M212">
        <v>0</v>
      </c>
      <c r="N212">
        <v>0</v>
      </c>
    </row>
    <row r="213" spans="1:14" x14ac:dyDescent="0.35">
      <c r="A213" t="s">
        <v>6</v>
      </c>
      <c r="B213" t="s">
        <v>560</v>
      </c>
      <c r="C213" t="s">
        <v>561</v>
      </c>
      <c r="E213" t="s">
        <v>91</v>
      </c>
      <c r="F213" t="s">
        <v>562</v>
      </c>
      <c r="H213" t="str" cm="1">
        <f t="array" ref="H213">_xlfn.TEXTJOIN(", ", TRUE, IF(I213:M213&gt;0, I$1:M$1, ""))</f>
        <v>Semantic View</v>
      </c>
      <c r="I213">
        <v>0</v>
      </c>
      <c r="J213">
        <v>0</v>
      </c>
      <c r="K213">
        <v>0</v>
      </c>
      <c r="L213">
        <v>0</v>
      </c>
      <c r="M213">
        <v>4</v>
      </c>
      <c r="N213">
        <v>0</v>
      </c>
    </row>
    <row r="214" spans="1:14" x14ac:dyDescent="0.35">
      <c r="A214" t="s">
        <v>6</v>
      </c>
      <c r="B214" t="s">
        <v>563</v>
      </c>
      <c r="D214" t="s">
        <v>564</v>
      </c>
      <c r="E214" t="s">
        <v>69</v>
      </c>
      <c r="F214" t="s">
        <v>55</v>
      </c>
      <c r="H214" t="str" cm="1">
        <f t="array" ref="H214">_xlfn.TEXTJOIN(", ", TRUE, IF(I214:M214&gt;0, I$1:M$1, ""))</f>
        <v/>
      </c>
      <c r="I214">
        <v>0</v>
      </c>
      <c r="J214">
        <v>0</v>
      </c>
      <c r="K214">
        <v>0</v>
      </c>
      <c r="L214">
        <v>0</v>
      </c>
      <c r="M214">
        <v>0</v>
      </c>
      <c r="N214">
        <v>0</v>
      </c>
    </row>
    <row r="215" spans="1:14" x14ac:dyDescent="0.35">
      <c r="A215" t="s">
        <v>6</v>
      </c>
      <c r="B215" t="s">
        <v>565</v>
      </c>
      <c r="D215" t="s">
        <v>566</v>
      </c>
      <c r="E215" t="s">
        <v>69</v>
      </c>
      <c r="F215" t="s">
        <v>55</v>
      </c>
      <c r="H215" t="str" cm="1">
        <f t="array" ref="H215">_xlfn.TEXTJOIN(", ", TRUE, IF(I215:M215&gt;0, I$1:M$1, ""))</f>
        <v>Tech Infrastructure, Organisational View</v>
      </c>
      <c r="I215">
        <v>1</v>
      </c>
      <c r="J215">
        <v>0</v>
      </c>
      <c r="K215">
        <v>0</v>
      </c>
      <c r="L215">
        <v>1</v>
      </c>
      <c r="M215">
        <v>0</v>
      </c>
      <c r="N215">
        <v>0</v>
      </c>
    </row>
    <row r="216" spans="1:14" x14ac:dyDescent="0.35">
      <c r="A216" t="s">
        <v>6</v>
      </c>
      <c r="B216" t="s">
        <v>567</v>
      </c>
      <c r="C216" t="s">
        <v>568</v>
      </c>
      <c r="D216" t="s">
        <v>569</v>
      </c>
      <c r="E216" t="s">
        <v>50</v>
      </c>
      <c r="F216" t="s">
        <v>570</v>
      </c>
      <c r="H216" t="str" cm="1">
        <f t="array" ref="H216">_xlfn.TEXTJOIN(", ", TRUE, IF(I216:M216&gt;0, I$1:M$1, ""))</f>
        <v>Tech Infrastructure, Tech Application</v>
      </c>
      <c r="I216">
        <v>1</v>
      </c>
      <c r="J216">
        <v>1</v>
      </c>
      <c r="K216">
        <v>0</v>
      </c>
      <c r="L216">
        <v>0</v>
      </c>
      <c r="M216">
        <v>0</v>
      </c>
      <c r="N216">
        <v>1</v>
      </c>
    </row>
    <row r="217" spans="1:14" x14ac:dyDescent="0.35">
      <c r="A217" t="s">
        <v>6</v>
      </c>
      <c r="B217" t="s">
        <v>571</v>
      </c>
      <c r="C217" t="s">
        <v>572</v>
      </c>
      <c r="E217" t="s">
        <v>121</v>
      </c>
      <c r="F217" t="s">
        <v>55</v>
      </c>
      <c r="H217" t="str" cm="1">
        <f t="array" ref="H217">_xlfn.TEXTJOIN(", ", TRUE, IF(I217:M217&gt;0, I$1:M$1, ""))</f>
        <v/>
      </c>
      <c r="I217">
        <v>0</v>
      </c>
      <c r="J217">
        <v>0</v>
      </c>
      <c r="K217">
        <v>0</v>
      </c>
      <c r="L217">
        <v>0</v>
      </c>
      <c r="M217">
        <v>0</v>
      </c>
      <c r="N217">
        <v>0</v>
      </c>
    </row>
    <row r="218" spans="1:14" x14ac:dyDescent="0.35">
      <c r="A218" t="s">
        <v>6</v>
      </c>
      <c r="B218" t="s">
        <v>573</v>
      </c>
      <c r="D218" t="s">
        <v>574</v>
      </c>
      <c r="E218" t="s">
        <v>59</v>
      </c>
      <c r="F218" t="s">
        <v>575</v>
      </c>
      <c r="H218" t="str" cm="1">
        <f t="array" ref="H218">_xlfn.TEXTJOIN(", ", TRUE, IF(I218:M218&gt;0, I$1:M$1, ""))</f>
        <v>Tech Application</v>
      </c>
      <c r="I218">
        <v>0</v>
      </c>
      <c r="J218">
        <v>4</v>
      </c>
      <c r="K218">
        <v>0</v>
      </c>
      <c r="L218">
        <v>0</v>
      </c>
      <c r="M218">
        <v>0</v>
      </c>
      <c r="N218">
        <v>0</v>
      </c>
    </row>
    <row r="219" spans="1:14" x14ac:dyDescent="0.35">
      <c r="A219" t="s">
        <v>6</v>
      </c>
      <c r="B219" t="s">
        <v>576</v>
      </c>
      <c r="E219" t="s">
        <v>59</v>
      </c>
      <c r="F219" t="s">
        <v>577</v>
      </c>
      <c r="H219" t="str" cm="1">
        <f t="array" ref="H219">_xlfn.TEXTJOIN(", ", TRUE, IF(I219:M219&gt;0, I$1:M$1, ""))</f>
        <v>Tech Application</v>
      </c>
      <c r="I219">
        <v>0</v>
      </c>
      <c r="J219">
        <v>1</v>
      </c>
      <c r="K219">
        <v>0</v>
      </c>
      <c r="L219">
        <v>0</v>
      </c>
      <c r="M219">
        <v>0</v>
      </c>
      <c r="N219">
        <v>0</v>
      </c>
    </row>
    <row r="220" spans="1:14" x14ac:dyDescent="0.35">
      <c r="A220" t="s">
        <v>6</v>
      </c>
      <c r="B220" t="s">
        <v>578</v>
      </c>
      <c r="C220" t="s">
        <v>579</v>
      </c>
      <c r="E220" t="s">
        <v>96</v>
      </c>
      <c r="F220" t="s">
        <v>92</v>
      </c>
      <c r="H220" t="str" cm="1">
        <f t="array" ref="H220">_xlfn.TEXTJOIN(", ", TRUE, IF(I220:M220&gt;0, I$1:M$1, ""))</f>
        <v>Tech Infrastructure, Tech Application</v>
      </c>
      <c r="I220">
        <v>1</v>
      </c>
      <c r="J220">
        <v>1</v>
      </c>
      <c r="K220">
        <v>0</v>
      </c>
      <c r="L220">
        <v>0</v>
      </c>
      <c r="M220">
        <v>0</v>
      </c>
      <c r="N220">
        <v>0</v>
      </c>
    </row>
    <row r="221" spans="1:14" x14ac:dyDescent="0.35">
      <c r="A221" t="s">
        <v>6</v>
      </c>
      <c r="B221" t="s">
        <v>580</v>
      </c>
      <c r="C221" t="s">
        <v>581</v>
      </c>
      <c r="E221" t="s">
        <v>62</v>
      </c>
      <c r="F221" t="s">
        <v>582</v>
      </c>
      <c r="H221" t="str" cm="1">
        <f t="array" ref="H221">_xlfn.TEXTJOIN(", ", TRUE, IF(I221:M221&gt;0, I$1:M$1, ""))</f>
        <v>Tech Application, Organisational View</v>
      </c>
      <c r="I221">
        <v>0</v>
      </c>
      <c r="J221">
        <v>1</v>
      </c>
      <c r="K221">
        <v>0</v>
      </c>
      <c r="L221">
        <v>1</v>
      </c>
      <c r="M221">
        <v>0</v>
      </c>
      <c r="N221">
        <v>0</v>
      </c>
    </row>
    <row r="222" spans="1:14" x14ac:dyDescent="0.35">
      <c r="A222" t="s">
        <v>6</v>
      </c>
      <c r="B222" t="s">
        <v>583</v>
      </c>
      <c r="E222" t="s">
        <v>584</v>
      </c>
      <c r="F222" t="s">
        <v>125</v>
      </c>
      <c r="H222" t="str" cm="1">
        <f t="array" ref="H222">_xlfn.TEXTJOIN(", ", TRUE, IF(I222:M222&gt;0, I$1:M$1, ""))</f>
        <v>Tech Infrastructure, Tech Application, Organisational View</v>
      </c>
      <c r="I222">
        <v>1</v>
      </c>
      <c r="J222">
        <v>5</v>
      </c>
      <c r="K222">
        <v>0</v>
      </c>
      <c r="L222">
        <v>1</v>
      </c>
      <c r="M222">
        <v>0</v>
      </c>
      <c r="N222">
        <v>0</v>
      </c>
    </row>
    <row r="223" spans="1:14" x14ac:dyDescent="0.35">
      <c r="A223" t="s">
        <v>6</v>
      </c>
      <c r="B223" t="s">
        <v>585</v>
      </c>
      <c r="C223" t="s">
        <v>586</v>
      </c>
      <c r="E223" t="s">
        <v>587</v>
      </c>
      <c r="F223" t="s">
        <v>55</v>
      </c>
      <c r="H223" t="str" cm="1">
        <f t="array" ref="H223">_xlfn.TEXTJOIN(", ", TRUE, IF(I223:M223&gt;0, I$1:M$1, ""))</f>
        <v>Semantic View</v>
      </c>
      <c r="I223">
        <v>0</v>
      </c>
      <c r="J223">
        <v>0</v>
      </c>
      <c r="K223">
        <v>0</v>
      </c>
      <c r="L223">
        <v>0</v>
      </c>
      <c r="M223">
        <v>2</v>
      </c>
      <c r="N223">
        <v>0</v>
      </c>
    </row>
    <row r="224" spans="1:14" x14ac:dyDescent="0.35">
      <c r="A224" t="s">
        <v>6</v>
      </c>
      <c r="B224" t="s">
        <v>588</v>
      </c>
      <c r="E224" t="s">
        <v>589</v>
      </c>
      <c r="F224" t="s">
        <v>55</v>
      </c>
      <c r="H224" t="str" cm="1">
        <f t="array" ref="H224">_xlfn.TEXTJOIN(", ", TRUE, IF(I224:M224&gt;0, I$1:M$1, ""))</f>
        <v>Legal View</v>
      </c>
      <c r="I224">
        <v>0</v>
      </c>
      <c r="J224">
        <v>0</v>
      </c>
      <c r="K224">
        <v>3</v>
      </c>
      <c r="L224">
        <v>0</v>
      </c>
      <c r="M224">
        <v>0</v>
      </c>
      <c r="N224">
        <v>0</v>
      </c>
    </row>
    <row r="225" spans="1:14" x14ac:dyDescent="0.35">
      <c r="A225" t="s">
        <v>6</v>
      </c>
      <c r="B225" t="s">
        <v>590</v>
      </c>
      <c r="C225" t="s">
        <v>591</v>
      </c>
      <c r="E225" t="s">
        <v>592</v>
      </c>
      <c r="F225" t="s">
        <v>276</v>
      </c>
      <c r="H225" t="str" cm="1">
        <f t="array" ref="H225">_xlfn.TEXTJOIN(", ", TRUE, IF(I225:M225&gt;0, I$1:M$1, ""))</f>
        <v>Tech Infrastructure, Tech Application</v>
      </c>
      <c r="I225">
        <v>1</v>
      </c>
      <c r="J225">
        <v>2</v>
      </c>
      <c r="K225">
        <v>0</v>
      </c>
      <c r="L225">
        <v>0</v>
      </c>
      <c r="M225">
        <v>0</v>
      </c>
      <c r="N225">
        <v>0</v>
      </c>
    </row>
    <row r="226" spans="1:14" x14ac:dyDescent="0.35">
      <c r="A226" t="s">
        <v>6</v>
      </c>
      <c r="B226" t="s">
        <v>593</v>
      </c>
      <c r="C226" t="s">
        <v>594</v>
      </c>
      <c r="E226" t="s">
        <v>50</v>
      </c>
      <c r="F226" t="s">
        <v>276</v>
      </c>
      <c r="H226" t="str" cm="1">
        <f t="array" ref="H226">_xlfn.TEXTJOIN(", ", TRUE, IF(I226:M226&gt;0, I$1:M$1, ""))</f>
        <v>Tech Application</v>
      </c>
      <c r="I226">
        <v>0</v>
      </c>
      <c r="J226">
        <v>2</v>
      </c>
      <c r="K226">
        <v>0</v>
      </c>
      <c r="L226">
        <v>0</v>
      </c>
      <c r="M226">
        <v>0</v>
      </c>
      <c r="N226">
        <v>0</v>
      </c>
    </row>
    <row r="227" spans="1:14" x14ac:dyDescent="0.35">
      <c r="A227" t="s">
        <v>6</v>
      </c>
      <c r="B227" t="s">
        <v>595</v>
      </c>
      <c r="C227" t="s">
        <v>596</v>
      </c>
      <c r="E227" t="s">
        <v>50</v>
      </c>
      <c r="F227" t="s">
        <v>597</v>
      </c>
      <c r="H227" t="str" cm="1">
        <f t="array" ref="H227">_xlfn.TEXTJOIN(", ", TRUE, IF(I227:M227&gt;0, I$1:M$1, ""))</f>
        <v>Tech Application</v>
      </c>
      <c r="I227">
        <v>0</v>
      </c>
      <c r="J227">
        <v>2</v>
      </c>
      <c r="K227">
        <v>0</v>
      </c>
      <c r="L227">
        <v>0</v>
      </c>
      <c r="M227">
        <v>0</v>
      </c>
      <c r="N227">
        <v>0</v>
      </c>
    </row>
    <row r="228" spans="1:14" x14ac:dyDescent="0.35">
      <c r="A228" t="s">
        <v>6</v>
      </c>
      <c r="B228" t="s">
        <v>598</v>
      </c>
      <c r="E228" t="s">
        <v>96</v>
      </c>
      <c r="F228" t="s">
        <v>55</v>
      </c>
      <c r="H228" t="str" cm="1">
        <f t="array" ref="H228">_xlfn.TEXTJOIN(", ", TRUE, IF(I228:M228&gt;0, I$1:M$1, ""))</f>
        <v>Semantic View</v>
      </c>
      <c r="I228">
        <v>0</v>
      </c>
      <c r="J228">
        <v>0</v>
      </c>
      <c r="K228">
        <v>0</v>
      </c>
      <c r="L228">
        <v>0</v>
      </c>
      <c r="M228">
        <v>1</v>
      </c>
      <c r="N228">
        <v>0</v>
      </c>
    </row>
    <row r="229" spans="1:14" x14ac:dyDescent="0.35">
      <c r="A229" t="s">
        <v>6</v>
      </c>
      <c r="B229" t="s">
        <v>599</v>
      </c>
      <c r="C229" t="s">
        <v>600</v>
      </c>
      <c r="E229" t="s">
        <v>601</v>
      </c>
      <c r="F229" t="s">
        <v>55</v>
      </c>
      <c r="H229" t="str" cm="1">
        <f t="array" ref="H229">_xlfn.TEXTJOIN(", ", TRUE, IF(I229:M229&gt;0, I$1:M$1, ""))</f>
        <v>Tech Application</v>
      </c>
      <c r="I229">
        <v>0</v>
      </c>
      <c r="J229">
        <v>2</v>
      </c>
      <c r="K229">
        <v>0</v>
      </c>
      <c r="L229">
        <v>0</v>
      </c>
      <c r="M229">
        <v>0</v>
      </c>
      <c r="N229">
        <v>0</v>
      </c>
    </row>
    <row r="230" spans="1:14" x14ac:dyDescent="0.35">
      <c r="A230" t="s">
        <v>6</v>
      </c>
      <c r="B230" t="s">
        <v>602</v>
      </c>
      <c r="C230" t="s">
        <v>603</v>
      </c>
      <c r="E230" t="s">
        <v>148</v>
      </c>
      <c r="F230" t="s">
        <v>604</v>
      </c>
      <c r="H230" t="str" cm="1">
        <f t="array" ref="H230">_xlfn.TEXTJOIN(", ", TRUE, IF(I230:M230&gt;0, I$1:M$1, ""))</f>
        <v>Tech Infrastructure, Tech Application</v>
      </c>
      <c r="I230">
        <v>1</v>
      </c>
      <c r="J230">
        <v>2</v>
      </c>
      <c r="K230">
        <v>0</v>
      </c>
      <c r="L230">
        <v>0</v>
      </c>
      <c r="M230">
        <v>0</v>
      </c>
      <c r="N230">
        <v>0</v>
      </c>
    </row>
    <row r="231" spans="1:14" x14ac:dyDescent="0.35">
      <c r="A231" t="s">
        <v>6</v>
      </c>
      <c r="B231" t="s">
        <v>605</v>
      </c>
      <c r="E231" t="s">
        <v>99</v>
      </c>
      <c r="F231" t="s">
        <v>55</v>
      </c>
      <c r="H231" t="str" cm="1">
        <f t="array" ref="H231">_xlfn.TEXTJOIN(", ", TRUE, IF(I231:M231&gt;0, I$1:M$1, ""))</f>
        <v>Tech Infrastructure, Semantic View</v>
      </c>
      <c r="I231">
        <v>2</v>
      </c>
      <c r="J231">
        <v>0</v>
      </c>
      <c r="K231">
        <v>0</v>
      </c>
      <c r="L231">
        <v>0</v>
      </c>
      <c r="M231">
        <v>2</v>
      </c>
      <c r="N231">
        <v>0</v>
      </c>
    </row>
    <row r="232" spans="1:14" x14ac:dyDescent="0.35">
      <c r="A232" t="s">
        <v>6</v>
      </c>
      <c r="B232" t="s">
        <v>606</v>
      </c>
      <c r="D232" t="s">
        <v>607</v>
      </c>
      <c r="E232" t="s">
        <v>230</v>
      </c>
      <c r="F232" t="s">
        <v>55</v>
      </c>
      <c r="H232" t="str" cm="1">
        <f t="array" ref="H232">_xlfn.TEXTJOIN(", ", TRUE, IF(I232:M232&gt;0, I$1:M$1, ""))</f>
        <v>Organisational View</v>
      </c>
      <c r="I232">
        <v>0</v>
      </c>
      <c r="J232">
        <v>0</v>
      </c>
      <c r="K232">
        <v>0</v>
      </c>
      <c r="L232">
        <v>1</v>
      </c>
      <c r="M232">
        <v>0</v>
      </c>
      <c r="N232">
        <v>0</v>
      </c>
    </row>
    <row r="233" spans="1:14" x14ac:dyDescent="0.35">
      <c r="A233" t="s">
        <v>6</v>
      </c>
      <c r="B233" t="s">
        <v>608</v>
      </c>
      <c r="D233" t="s">
        <v>609</v>
      </c>
      <c r="E233" t="s">
        <v>336</v>
      </c>
      <c r="F233" t="s">
        <v>55</v>
      </c>
      <c r="H233" t="str" cm="1">
        <f t="array" ref="H233">_xlfn.TEXTJOIN(", ", TRUE, IF(I233:M233&gt;0, I$1:M$1, ""))</f>
        <v>Tech Application</v>
      </c>
      <c r="I233">
        <v>0</v>
      </c>
      <c r="J233">
        <v>2</v>
      </c>
      <c r="K233">
        <v>0</v>
      </c>
      <c r="L233">
        <v>0</v>
      </c>
      <c r="M233">
        <v>0</v>
      </c>
      <c r="N233">
        <v>0</v>
      </c>
    </row>
    <row r="234" spans="1:14" x14ac:dyDescent="0.35">
      <c r="A234" t="s">
        <v>6</v>
      </c>
      <c r="B234" t="s">
        <v>610</v>
      </c>
      <c r="C234" t="s">
        <v>611</v>
      </c>
      <c r="D234" t="s">
        <v>612</v>
      </c>
      <c r="E234" t="s">
        <v>50</v>
      </c>
      <c r="F234" t="s">
        <v>55</v>
      </c>
      <c r="H234" t="str" cm="1">
        <f t="array" ref="H234">_xlfn.TEXTJOIN(", ", TRUE, IF(I234:M234&gt;0, I$1:M$1, ""))</f>
        <v>Semantic View</v>
      </c>
      <c r="I234">
        <v>0</v>
      </c>
      <c r="J234">
        <v>0</v>
      </c>
      <c r="K234">
        <v>0</v>
      </c>
      <c r="L234">
        <v>0</v>
      </c>
      <c r="M234">
        <v>1</v>
      </c>
      <c r="N234">
        <v>0</v>
      </c>
    </row>
    <row r="235" spans="1:14" x14ac:dyDescent="0.35">
      <c r="A235" t="s">
        <v>6</v>
      </c>
      <c r="B235" t="s">
        <v>613</v>
      </c>
      <c r="C235" t="s">
        <v>614</v>
      </c>
      <c r="E235" t="s">
        <v>121</v>
      </c>
      <c r="F235" t="s">
        <v>51</v>
      </c>
      <c r="H235" t="str" cm="1">
        <f t="array" ref="H235">_xlfn.TEXTJOIN(", ", TRUE, IF(I235:M235&gt;0, I$1:M$1, ""))</f>
        <v/>
      </c>
      <c r="I235">
        <v>0</v>
      </c>
      <c r="J235">
        <v>0</v>
      </c>
      <c r="K235">
        <v>0</v>
      </c>
      <c r="L235">
        <v>0</v>
      </c>
      <c r="M235">
        <v>0</v>
      </c>
      <c r="N235">
        <v>0</v>
      </c>
    </row>
    <row r="236" spans="1:14" x14ac:dyDescent="0.35">
      <c r="A236" t="s">
        <v>6</v>
      </c>
      <c r="B236" t="s">
        <v>615</v>
      </c>
      <c r="D236" t="s">
        <v>616</v>
      </c>
      <c r="E236" t="s">
        <v>50</v>
      </c>
      <c r="F236" t="s">
        <v>55</v>
      </c>
      <c r="H236" t="str" cm="1">
        <f t="array" ref="H236">_xlfn.TEXTJOIN(", ", TRUE, IF(I236:M236&gt;0, I$1:M$1, ""))</f>
        <v>Semantic View</v>
      </c>
      <c r="I236">
        <v>0</v>
      </c>
      <c r="J236">
        <v>0</v>
      </c>
      <c r="K236">
        <v>0</v>
      </c>
      <c r="L236">
        <v>0</v>
      </c>
      <c r="M236">
        <v>2</v>
      </c>
      <c r="N236">
        <v>0</v>
      </c>
    </row>
    <row r="237" spans="1:14" x14ac:dyDescent="0.35">
      <c r="A237" t="s">
        <v>6</v>
      </c>
      <c r="B237" t="s">
        <v>617</v>
      </c>
      <c r="C237" t="s">
        <v>618</v>
      </c>
      <c r="E237" t="s">
        <v>50</v>
      </c>
      <c r="F237" t="s">
        <v>55</v>
      </c>
      <c r="H237" t="str" cm="1">
        <f t="array" ref="H237">_xlfn.TEXTJOIN(", ", TRUE, IF(I237:M237&gt;0, I$1:M$1, ""))</f>
        <v>Tech Application</v>
      </c>
      <c r="I237">
        <v>0</v>
      </c>
      <c r="J237">
        <v>2</v>
      </c>
      <c r="K237">
        <v>0</v>
      </c>
      <c r="L237">
        <v>0</v>
      </c>
      <c r="M237">
        <v>0</v>
      </c>
      <c r="N237">
        <v>0</v>
      </c>
    </row>
    <row r="238" spans="1:14" x14ac:dyDescent="0.35">
      <c r="A238" t="s">
        <v>6</v>
      </c>
      <c r="B238" t="s">
        <v>619</v>
      </c>
      <c r="E238" t="s">
        <v>620</v>
      </c>
      <c r="F238" t="s">
        <v>51</v>
      </c>
      <c r="H238" t="str" cm="1">
        <f t="array" ref="H238">_xlfn.TEXTJOIN(", ", TRUE, IF(I238:M238&gt;0, I$1:M$1, ""))</f>
        <v>Tech Application</v>
      </c>
      <c r="I238">
        <v>0</v>
      </c>
      <c r="J238">
        <v>1</v>
      </c>
      <c r="K238">
        <v>0</v>
      </c>
      <c r="L238">
        <v>0</v>
      </c>
      <c r="M238">
        <v>0</v>
      </c>
      <c r="N238">
        <v>0</v>
      </c>
    </row>
    <row r="239" spans="1:14" x14ac:dyDescent="0.35">
      <c r="A239" t="s">
        <v>6</v>
      </c>
      <c r="B239" t="s">
        <v>621</v>
      </c>
      <c r="E239" t="s">
        <v>622</v>
      </c>
      <c r="F239" t="s">
        <v>623</v>
      </c>
      <c r="H239" t="str" cm="1">
        <f t="array" ref="H239">_xlfn.TEXTJOIN(", ", TRUE, IF(I239:M239&gt;0, I$1:M$1, ""))</f>
        <v>Tech Application</v>
      </c>
      <c r="I239">
        <v>0</v>
      </c>
      <c r="J239">
        <v>2</v>
      </c>
      <c r="K239">
        <v>0</v>
      </c>
      <c r="L239">
        <v>0</v>
      </c>
      <c r="M239">
        <v>0</v>
      </c>
      <c r="N239">
        <v>0</v>
      </c>
    </row>
    <row r="240" spans="1:14" x14ac:dyDescent="0.35">
      <c r="A240" t="s">
        <v>6</v>
      </c>
      <c r="B240" t="s">
        <v>624</v>
      </c>
      <c r="D240" t="s">
        <v>625</v>
      </c>
      <c r="E240" t="s">
        <v>50</v>
      </c>
      <c r="F240" t="s">
        <v>55</v>
      </c>
      <c r="H240" t="str" cm="1">
        <f t="array" ref="H240">_xlfn.TEXTJOIN(", ", TRUE, IF(I240:M240&gt;0, I$1:M$1, ""))</f>
        <v>Tech Infrastructure, Tech Application</v>
      </c>
      <c r="I240">
        <v>1</v>
      </c>
      <c r="J240">
        <v>3</v>
      </c>
      <c r="K240">
        <v>0</v>
      </c>
      <c r="L240">
        <v>0</v>
      </c>
      <c r="M240">
        <v>0</v>
      </c>
      <c r="N240">
        <v>0</v>
      </c>
    </row>
    <row r="241" spans="1:14" x14ac:dyDescent="0.35">
      <c r="A241" t="s">
        <v>6</v>
      </c>
      <c r="B241" t="s">
        <v>626</v>
      </c>
      <c r="D241" t="s">
        <v>627</v>
      </c>
      <c r="E241" t="s">
        <v>66</v>
      </c>
      <c r="F241" t="s">
        <v>628</v>
      </c>
      <c r="H241" t="str" cm="1">
        <f t="array" ref="H241">_xlfn.TEXTJOIN(", ", TRUE, IF(I241:M241&gt;0, I$1:M$1, ""))</f>
        <v>Legal View</v>
      </c>
      <c r="I241">
        <v>0</v>
      </c>
      <c r="J241">
        <v>0</v>
      </c>
      <c r="K241">
        <v>5</v>
      </c>
      <c r="L241">
        <v>0</v>
      </c>
      <c r="M241">
        <v>0</v>
      </c>
      <c r="N241">
        <v>0</v>
      </c>
    </row>
    <row r="242" spans="1:14" x14ac:dyDescent="0.35">
      <c r="A242" t="s">
        <v>6</v>
      </c>
      <c r="B242" t="s">
        <v>629</v>
      </c>
      <c r="E242" t="s">
        <v>66</v>
      </c>
      <c r="F242" t="s">
        <v>630</v>
      </c>
      <c r="H242" t="str" cm="1">
        <f t="array" ref="H242">_xlfn.TEXTJOIN(", ", TRUE, IF(I242:M242&gt;0, I$1:M$1, ""))</f>
        <v>Semantic View</v>
      </c>
      <c r="I242">
        <v>0</v>
      </c>
      <c r="J242">
        <v>0</v>
      </c>
      <c r="K242">
        <v>0</v>
      </c>
      <c r="L242">
        <v>0</v>
      </c>
      <c r="M242">
        <v>6</v>
      </c>
      <c r="N242">
        <v>0</v>
      </c>
    </row>
    <row r="243" spans="1:14" x14ac:dyDescent="0.35">
      <c r="A243" t="s">
        <v>6</v>
      </c>
      <c r="B243" t="s">
        <v>631</v>
      </c>
      <c r="E243" t="s">
        <v>50</v>
      </c>
      <c r="F243" t="s">
        <v>55</v>
      </c>
      <c r="H243" t="str" cm="1">
        <f t="array" ref="H243">_xlfn.TEXTJOIN(", ", TRUE, IF(I243:M243&gt;0, I$1:M$1, ""))</f>
        <v>Tech Infrastructure, Tech Application</v>
      </c>
      <c r="I243">
        <v>2</v>
      </c>
      <c r="J243">
        <v>2</v>
      </c>
      <c r="K243">
        <v>0</v>
      </c>
      <c r="L243">
        <v>0</v>
      </c>
      <c r="M243">
        <v>0</v>
      </c>
      <c r="N243">
        <v>0</v>
      </c>
    </row>
    <row r="244" spans="1:14" x14ac:dyDescent="0.35">
      <c r="A244" t="s">
        <v>6</v>
      </c>
      <c r="B244" t="s">
        <v>632</v>
      </c>
      <c r="C244" t="s">
        <v>633</v>
      </c>
      <c r="E244" t="s">
        <v>592</v>
      </c>
      <c r="F244" t="s">
        <v>92</v>
      </c>
      <c r="H244" t="str" cm="1">
        <f t="array" ref="H244">_xlfn.TEXTJOIN(", ", TRUE, IF(I244:M244&gt;0, I$1:M$1, ""))</f>
        <v>Tech Application, Semantic View</v>
      </c>
      <c r="I244">
        <v>0</v>
      </c>
      <c r="J244">
        <v>2</v>
      </c>
      <c r="K244">
        <v>0</v>
      </c>
      <c r="L244">
        <v>0</v>
      </c>
      <c r="M244">
        <v>1</v>
      </c>
      <c r="N244">
        <v>0</v>
      </c>
    </row>
    <row r="245" spans="1:14" x14ac:dyDescent="0.35">
      <c r="A245" t="s">
        <v>6</v>
      </c>
      <c r="B245" t="s">
        <v>634</v>
      </c>
      <c r="D245" t="s">
        <v>635</v>
      </c>
      <c r="E245" t="s">
        <v>91</v>
      </c>
      <c r="F245" t="s">
        <v>55</v>
      </c>
      <c r="H245" t="str" cm="1">
        <f t="array" ref="H245">_xlfn.TEXTJOIN(", ", TRUE, IF(I245:M245&gt;0, I$1:M$1, ""))</f>
        <v>Tech Infrastructure, Tech Application</v>
      </c>
      <c r="I245">
        <v>1</v>
      </c>
      <c r="J245">
        <v>2</v>
      </c>
      <c r="K245">
        <v>0</v>
      </c>
      <c r="L245">
        <v>0</v>
      </c>
      <c r="M245">
        <v>0</v>
      </c>
      <c r="N245">
        <v>1</v>
      </c>
    </row>
    <row r="246" spans="1:14" x14ac:dyDescent="0.35">
      <c r="A246" t="s">
        <v>6</v>
      </c>
      <c r="B246" t="s">
        <v>636</v>
      </c>
      <c r="D246" t="s">
        <v>637</v>
      </c>
      <c r="E246" t="s">
        <v>50</v>
      </c>
      <c r="F246" t="s">
        <v>55</v>
      </c>
      <c r="H246" t="str" cm="1">
        <f t="array" ref="H246">_xlfn.TEXTJOIN(", ", TRUE, IF(I246:M246&gt;0, I$1:M$1, ""))</f>
        <v>Tech Application</v>
      </c>
      <c r="I246">
        <v>0</v>
      </c>
      <c r="J246">
        <v>4</v>
      </c>
      <c r="K246">
        <v>0</v>
      </c>
      <c r="L246">
        <v>0</v>
      </c>
      <c r="M246">
        <v>0</v>
      </c>
      <c r="N246">
        <v>0</v>
      </c>
    </row>
    <row r="247" spans="1:14" x14ac:dyDescent="0.35">
      <c r="A247" t="s">
        <v>6</v>
      </c>
      <c r="B247" t="s">
        <v>638</v>
      </c>
      <c r="D247" t="s">
        <v>639</v>
      </c>
      <c r="E247" t="s">
        <v>96</v>
      </c>
      <c r="F247" t="s">
        <v>74</v>
      </c>
      <c r="H247" t="str" cm="1">
        <f t="array" ref="H247">_xlfn.TEXTJOIN(", ", TRUE, IF(I247:M247&gt;0, I$1:M$1, ""))</f>
        <v>Tech Application</v>
      </c>
      <c r="I247">
        <v>0</v>
      </c>
      <c r="J247">
        <v>2</v>
      </c>
      <c r="K247">
        <v>0</v>
      </c>
      <c r="L247">
        <v>0</v>
      </c>
      <c r="M247">
        <v>0</v>
      </c>
      <c r="N247">
        <v>0</v>
      </c>
    </row>
    <row r="248" spans="1:14" x14ac:dyDescent="0.35">
      <c r="A248" t="s">
        <v>6</v>
      </c>
      <c r="B248" t="s">
        <v>640</v>
      </c>
      <c r="D248" t="s">
        <v>641</v>
      </c>
      <c r="E248" t="s">
        <v>230</v>
      </c>
      <c r="F248" t="s">
        <v>276</v>
      </c>
      <c r="H248" t="str" cm="1">
        <f t="array" ref="H248">_xlfn.TEXTJOIN(", ", TRUE, IF(I248:M248&gt;0, I$1:M$1, ""))</f>
        <v>Tech Application</v>
      </c>
      <c r="I248">
        <v>0</v>
      </c>
      <c r="J248">
        <v>4</v>
      </c>
      <c r="K248">
        <v>0</v>
      </c>
      <c r="L248">
        <v>0</v>
      </c>
      <c r="M248">
        <v>0</v>
      </c>
      <c r="N248">
        <v>0</v>
      </c>
    </row>
    <row r="249" spans="1:14" x14ac:dyDescent="0.35">
      <c r="A249" t="s">
        <v>6</v>
      </c>
      <c r="B249" t="s">
        <v>642</v>
      </c>
      <c r="C249" t="s">
        <v>157</v>
      </c>
      <c r="E249" t="s">
        <v>157</v>
      </c>
      <c r="F249" t="s">
        <v>55</v>
      </c>
      <c r="H249" t="str" cm="1">
        <f t="array" ref="H249">_xlfn.TEXTJOIN(", ", TRUE, IF(I249:M249&gt;0, I$1:M$1, ""))</f>
        <v>Semantic View</v>
      </c>
      <c r="I249">
        <v>0</v>
      </c>
      <c r="J249">
        <v>0</v>
      </c>
      <c r="K249">
        <v>0</v>
      </c>
      <c r="L249">
        <v>0</v>
      </c>
      <c r="M249">
        <v>2</v>
      </c>
      <c r="N249">
        <v>0</v>
      </c>
    </row>
    <row r="250" spans="1:14" x14ac:dyDescent="0.35">
      <c r="A250" t="s">
        <v>6</v>
      </c>
      <c r="B250" t="s">
        <v>643</v>
      </c>
      <c r="C250" t="s">
        <v>643</v>
      </c>
      <c r="E250" t="s">
        <v>121</v>
      </c>
      <c r="F250" t="s">
        <v>97</v>
      </c>
      <c r="H250" t="str" cm="1">
        <f t="array" ref="H250">_xlfn.TEXTJOIN(", ", TRUE, IF(I250:M250&gt;0, I$1:M$1, ""))</f>
        <v>Semantic View</v>
      </c>
      <c r="I250">
        <v>0</v>
      </c>
      <c r="J250">
        <v>0</v>
      </c>
      <c r="K250">
        <v>0</v>
      </c>
      <c r="L250">
        <v>0</v>
      </c>
      <c r="M250">
        <v>3</v>
      </c>
      <c r="N250">
        <v>0</v>
      </c>
    </row>
    <row r="251" spans="1:14" x14ac:dyDescent="0.35">
      <c r="A251" t="s">
        <v>6</v>
      </c>
      <c r="B251" t="s">
        <v>644</v>
      </c>
      <c r="C251" t="s">
        <v>645</v>
      </c>
      <c r="E251" t="s">
        <v>646</v>
      </c>
      <c r="F251" t="s">
        <v>111</v>
      </c>
      <c r="H251" t="str" cm="1">
        <f t="array" ref="H251">_xlfn.TEXTJOIN(", ", TRUE, IF(I251:M251&gt;0, I$1:M$1, ""))</f>
        <v>Tech Application</v>
      </c>
      <c r="I251">
        <v>0</v>
      </c>
      <c r="J251">
        <v>3</v>
      </c>
      <c r="K251">
        <v>0</v>
      </c>
      <c r="L251">
        <v>0</v>
      </c>
      <c r="M251">
        <v>0</v>
      </c>
      <c r="N251">
        <v>0</v>
      </c>
    </row>
    <row r="252" spans="1:14" x14ac:dyDescent="0.35">
      <c r="A252" t="s">
        <v>6</v>
      </c>
      <c r="B252" t="s">
        <v>647</v>
      </c>
      <c r="C252" t="s">
        <v>648</v>
      </c>
      <c r="E252" t="s">
        <v>311</v>
      </c>
      <c r="F252" t="s">
        <v>444</v>
      </c>
      <c r="H252" t="str" cm="1">
        <f t="array" ref="H252">_xlfn.TEXTJOIN(", ", TRUE, IF(I252:M252&gt;0, I$1:M$1, ""))</f>
        <v>Tech Infrastructure, Tech Application</v>
      </c>
      <c r="I252">
        <v>1</v>
      </c>
      <c r="J252">
        <v>2</v>
      </c>
      <c r="K252">
        <v>0</v>
      </c>
      <c r="L252">
        <v>0</v>
      </c>
      <c r="M252">
        <v>0</v>
      </c>
      <c r="N252">
        <v>0</v>
      </c>
    </row>
    <row r="253" spans="1:14" x14ac:dyDescent="0.35">
      <c r="A253" t="s">
        <v>6</v>
      </c>
      <c r="B253" t="s">
        <v>649</v>
      </c>
      <c r="E253" t="s">
        <v>99</v>
      </c>
      <c r="F253" t="s">
        <v>480</v>
      </c>
      <c r="H253" t="str" cm="1">
        <f t="array" ref="H253">_xlfn.TEXTJOIN(", ", TRUE, IF(I253:M253&gt;0, I$1:M$1, ""))</f>
        <v>Tech Application, Semantic View</v>
      </c>
      <c r="I253">
        <v>0</v>
      </c>
      <c r="J253">
        <v>2</v>
      </c>
      <c r="K253">
        <v>0</v>
      </c>
      <c r="L253">
        <v>0</v>
      </c>
      <c r="M253">
        <v>1</v>
      </c>
      <c r="N253">
        <v>0</v>
      </c>
    </row>
    <row r="254" spans="1:14" x14ac:dyDescent="0.35">
      <c r="A254" t="s">
        <v>6</v>
      </c>
      <c r="B254" t="s">
        <v>650</v>
      </c>
      <c r="C254" t="s">
        <v>651</v>
      </c>
      <c r="E254" t="s">
        <v>62</v>
      </c>
      <c r="F254" t="s">
        <v>92</v>
      </c>
      <c r="H254" t="str" cm="1">
        <f t="array" ref="H254">_xlfn.TEXTJOIN(", ", TRUE, IF(I254:M254&gt;0, I$1:M$1, ""))</f>
        <v>Tech Infrastructure</v>
      </c>
      <c r="I254">
        <v>1</v>
      </c>
      <c r="J254">
        <v>0</v>
      </c>
      <c r="K254">
        <v>0</v>
      </c>
      <c r="L254">
        <v>0</v>
      </c>
      <c r="M254">
        <v>0</v>
      </c>
      <c r="N254">
        <v>0</v>
      </c>
    </row>
    <row r="255" spans="1:14" x14ac:dyDescent="0.35">
      <c r="A255" t="s">
        <v>6</v>
      </c>
      <c r="B255" t="s">
        <v>652</v>
      </c>
      <c r="D255" t="s">
        <v>653</v>
      </c>
      <c r="E255" t="s">
        <v>230</v>
      </c>
      <c r="F255" t="s">
        <v>51</v>
      </c>
      <c r="H255" t="str" cm="1">
        <f t="array" ref="H255">_xlfn.TEXTJOIN(", ", TRUE, IF(I255:M255&gt;0, I$1:M$1, ""))</f>
        <v>Organisational View</v>
      </c>
      <c r="I255">
        <v>0</v>
      </c>
      <c r="J255">
        <v>0</v>
      </c>
      <c r="K255">
        <v>0</v>
      </c>
      <c r="L255">
        <v>2</v>
      </c>
      <c r="M255">
        <v>0</v>
      </c>
      <c r="N255">
        <v>1</v>
      </c>
    </row>
    <row r="256" spans="1:14" x14ac:dyDescent="0.35">
      <c r="A256" t="s">
        <v>6</v>
      </c>
      <c r="B256" t="s">
        <v>654</v>
      </c>
      <c r="C256" t="s">
        <v>655</v>
      </c>
      <c r="E256" t="s">
        <v>121</v>
      </c>
      <c r="F256" t="s">
        <v>97</v>
      </c>
      <c r="H256" t="str" cm="1">
        <f t="array" ref="H256">_xlfn.TEXTJOIN(", ", TRUE, IF(I256:M256&gt;0, I$1:M$1, ""))</f>
        <v>Tech Application, Semantic View</v>
      </c>
      <c r="I256">
        <v>0</v>
      </c>
      <c r="J256">
        <v>2</v>
      </c>
      <c r="K256">
        <v>0</v>
      </c>
      <c r="L256">
        <v>0</v>
      </c>
      <c r="M256">
        <v>6</v>
      </c>
      <c r="N256">
        <v>0</v>
      </c>
    </row>
    <row r="257" spans="1:14" x14ac:dyDescent="0.35">
      <c r="A257" t="s">
        <v>6</v>
      </c>
      <c r="B257" t="s">
        <v>656</v>
      </c>
      <c r="C257" t="s">
        <v>657</v>
      </c>
      <c r="E257" t="s">
        <v>96</v>
      </c>
      <c r="F257" t="s">
        <v>97</v>
      </c>
      <c r="H257" t="str" cm="1">
        <f t="array" ref="H257">_xlfn.TEXTJOIN(", ", TRUE, IF(I257:M257&gt;0, I$1:M$1, ""))</f>
        <v>Tech Application, Semantic View</v>
      </c>
      <c r="I257">
        <v>0</v>
      </c>
      <c r="J257">
        <v>2</v>
      </c>
      <c r="K257">
        <v>0</v>
      </c>
      <c r="L257">
        <v>0</v>
      </c>
      <c r="M257">
        <v>4</v>
      </c>
      <c r="N257">
        <v>0</v>
      </c>
    </row>
    <row r="258" spans="1:14" x14ac:dyDescent="0.35">
      <c r="A258" t="s">
        <v>6</v>
      </c>
      <c r="B258" t="s">
        <v>658</v>
      </c>
      <c r="E258" t="s">
        <v>62</v>
      </c>
      <c r="F258" t="s">
        <v>55</v>
      </c>
      <c r="H258" t="str" cm="1">
        <f t="array" ref="H258">_xlfn.TEXTJOIN(", ", TRUE, IF(I258:M258&gt;0, I$1:M$1, ""))</f>
        <v>Tech Application</v>
      </c>
      <c r="I258">
        <v>0</v>
      </c>
      <c r="J258">
        <v>2</v>
      </c>
      <c r="K258">
        <v>0</v>
      </c>
      <c r="L258">
        <v>0</v>
      </c>
      <c r="M258">
        <v>0</v>
      </c>
      <c r="N258">
        <v>0</v>
      </c>
    </row>
    <row r="259" spans="1:14" x14ac:dyDescent="0.35">
      <c r="A259" t="s">
        <v>6</v>
      </c>
      <c r="B259" t="s">
        <v>659</v>
      </c>
      <c r="C259" t="s">
        <v>611</v>
      </c>
      <c r="D259" t="s">
        <v>660</v>
      </c>
      <c r="E259" t="s">
        <v>50</v>
      </c>
      <c r="F259" t="s">
        <v>55</v>
      </c>
      <c r="H259" t="str" cm="1">
        <f t="array" ref="H259">_xlfn.TEXTJOIN(", ", TRUE, IF(I259:M259&gt;0, I$1:M$1, ""))</f>
        <v>Semantic View</v>
      </c>
      <c r="I259">
        <v>0</v>
      </c>
      <c r="J259">
        <v>0</v>
      </c>
      <c r="K259">
        <v>0</v>
      </c>
      <c r="L259">
        <v>0</v>
      </c>
      <c r="M259">
        <v>1</v>
      </c>
      <c r="N259">
        <v>0</v>
      </c>
    </row>
    <row r="260" spans="1:14" x14ac:dyDescent="0.35">
      <c r="A260" t="s">
        <v>6</v>
      </c>
      <c r="B260" t="s">
        <v>661</v>
      </c>
      <c r="C260" t="s">
        <v>662</v>
      </c>
      <c r="D260" t="s">
        <v>663</v>
      </c>
      <c r="E260" t="s">
        <v>59</v>
      </c>
      <c r="F260" t="s">
        <v>100</v>
      </c>
      <c r="H260" t="str" cm="1">
        <f t="array" ref="H260">_xlfn.TEXTJOIN(", ", TRUE, IF(I260:M260&gt;0, I$1:M$1, ""))</f>
        <v>Tech Application</v>
      </c>
      <c r="I260">
        <v>0</v>
      </c>
      <c r="J260">
        <v>4</v>
      </c>
      <c r="K260">
        <v>0</v>
      </c>
      <c r="L260">
        <v>0</v>
      </c>
      <c r="M260">
        <v>0</v>
      </c>
      <c r="N260">
        <v>0</v>
      </c>
    </row>
    <row r="261" spans="1:14" x14ac:dyDescent="0.35">
      <c r="A261" t="s">
        <v>6</v>
      </c>
      <c r="B261" t="s">
        <v>664</v>
      </c>
      <c r="C261" t="s">
        <v>665</v>
      </c>
      <c r="E261" t="s">
        <v>666</v>
      </c>
      <c r="F261" t="s">
        <v>667</v>
      </c>
      <c r="H261" t="str" cm="1">
        <f t="array" ref="H261">_xlfn.TEXTJOIN(", ", TRUE, IF(I261:M261&gt;0, I$1:M$1, ""))</f>
        <v>Semantic View</v>
      </c>
      <c r="I261">
        <v>0</v>
      </c>
      <c r="J261">
        <v>0</v>
      </c>
      <c r="K261">
        <v>0</v>
      </c>
      <c r="L261">
        <v>0</v>
      </c>
      <c r="M261">
        <v>5</v>
      </c>
      <c r="N261">
        <v>1</v>
      </c>
    </row>
    <row r="262" spans="1:14" x14ac:dyDescent="0.35">
      <c r="A262" t="s">
        <v>6</v>
      </c>
      <c r="B262" t="s">
        <v>668</v>
      </c>
      <c r="C262" t="s">
        <v>668</v>
      </c>
      <c r="E262" t="s">
        <v>66</v>
      </c>
      <c r="F262" t="s">
        <v>180</v>
      </c>
      <c r="H262" t="str" cm="1">
        <f t="array" ref="H262">_xlfn.TEXTJOIN(", ", TRUE, IF(I262:M262&gt;0, I$1:M$1, ""))</f>
        <v>Semantic View</v>
      </c>
      <c r="I262">
        <v>0</v>
      </c>
      <c r="J262">
        <v>0</v>
      </c>
      <c r="K262">
        <v>0</v>
      </c>
      <c r="L262">
        <v>0</v>
      </c>
      <c r="M262">
        <v>1</v>
      </c>
      <c r="N262">
        <v>0</v>
      </c>
    </row>
    <row r="263" spans="1:14" x14ac:dyDescent="0.35">
      <c r="A263" t="s">
        <v>6</v>
      </c>
      <c r="B263" t="s">
        <v>669</v>
      </c>
      <c r="C263" t="s">
        <v>151</v>
      </c>
      <c r="E263" t="s">
        <v>96</v>
      </c>
      <c r="F263" t="s">
        <v>51</v>
      </c>
      <c r="H263" t="str" cm="1">
        <f t="array" ref="H263">_xlfn.TEXTJOIN(", ", TRUE, IF(I263:M263&gt;0, I$1:M$1, ""))</f>
        <v>Tech Application</v>
      </c>
      <c r="I263">
        <v>0</v>
      </c>
      <c r="J263">
        <v>5</v>
      </c>
      <c r="K263">
        <v>0</v>
      </c>
      <c r="L263">
        <v>0</v>
      </c>
      <c r="M263">
        <v>0</v>
      </c>
      <c r="N263">
        <v>2</v>
      </c>
    </row>
    <row r="264" spans="1:14" x14ac:dyDescent="0.35">
      <c r="A264" t="s">
        <v>6</v>
      </c>
      <c r="B264" t="s">
        <v>670</v>
      </c>
      <c r="C264" t="s">
        <v>671</v>
      </c>
      <c r="E264" t="s">
        <v>91</v>
      </c>
      <c r="F264" t="s">
        <v>51</v>
      </c>
      <c r="H264" t="str" cm="1">
        <f t="array" ref="H264">_xlfn.TEXTJOIN(", ", TRUE, IF(I264:M264&gt;0, I$1:M$1, ""))</f>
        <v>Tech Application</v>
      </c>
      <c r="I264">
        <v>0</v>
      </c>
      <c r="J264">
        <v>5</v>
      </c>
      <c r="K264">
        <v>0</v>
      </c>
      <c r="L264">
        <v>0</v>
      </c>
      <c r="M264">
        <v>0</v>
      </c>
      <c r="N264">
        <v>0</v>
      </c>
    </row>
    <row r="265" spans="1:14" x14ac:dyDescent="0.35">
      <c r="A265" t="s">
        <v>6</v>
      </c>
      <c r="B265" t="s">
        <v>672</v>
      </c>
      <c r="E265" t="s">
        <v>124</v>
      </c>
      <c r="F265" t="s">
        <v>180</v>
      </c>
      <c r="H265" t="str" cm="1">
        <f t="array" ref="H265">_xlfn.TEXTJOIN(", ", TRUE, IF(I265:M265&gt;0, I$1:M$1, ""))</f>
        <v>Tech Application</v>
      </c>
      <c r="I265">
        <v>0</v>
      </c>
      <c r="J265">
        <v>2</v>
      </c>
      <c r="K265">
        <v>0</v>
      </c>
      <c r="L265">
        <v>0</v>
      </c>
      <c r="M265">
        <v>0</v>
      </c>
      <c r="N265">
        <v>0</v>
      </c>
    </row>
    <row r="266" spans="1:14" x14ac:dyDescent="0.35">
      <c r="A266" t="s">
        <v>6</v>
      </c>
      <c r="B266" t="s">
        <v>673</v>
      </c>
      <c r="C266" t="s">
        <v>674</v>
      </c>
      <c r="E266" t="s">
        <v>62</v>
      </c>
      <c r="F266" t="s">
        <v>51</v>
      </c>
      <c r="H266" t="str" cm="1">
        <f t="array" ref="H266">_xlfn.TEXTJOIN(", ", TRUE, IF(I266:M266&gt;0, I$1:M$1, ""))</f>
        <v>Semantic View</v>
      </c>
      <c r="I266">
        <v>0</v>
      </c>
      <c r="J266">
        <v>0</v>
      </c>
      <c r="K266">
        <v>0</v>
      </c>
      <c r="L266">
        <v>0</v>
      </c>
      <c r="M266">
        <v>1</v>
      </c>
      <c r="N266">
        <v>0</v>
      </c>
    </row>
    <row r="267" spans="1:14" x14ac:dyDescent="0.35">
      <c r="A267" t="s">
        <v>6</v>
      </c>
      <c r="B267" t="s">
        <v>675</v>
      </c>
      <c r="E267" t="s">
        <v>50</v>
      </c>
      <c r="F267" t="s">
        <v>528</v>
      </c>
      <c r="H267" t="str" cm="1">
        <f t="array" ref="H267">_xlfn.TEXTJOIN(", ", TRUE, IF(I267:M267&gt;0, I$1:M$1, ""))</f>
        <v>Tech Application</v>
      </c>
      <c r="I267">
        <v>0</v>
      </c>
      <c r="J267">
        <v>3</v>
      </c>
      <c r="K267">
        <v>0</v>
      </c>
      <c r="L267">
        <v>0</v>
      </c>
      <c r="M267">
        <v>0</v>
      </c>
      <c r="N267">
        <v>0</v>
      </c>
    </row>
    <row r="268" spans="1:14" x14ac:dyDescent="0.35">
      <c r="A268" t="s">
        <v>6</v>
      </c>
      <c r="B268" t="s">
        <v>676</v>
      </c>
      <c r="C268" t="s">
        <v>677</v>
      </c>
      <c r="E268" t="s">
        <v>678</v>
      </c>
      <c r="F268" t="s">
        <v>51</v>
      </c>
      <c r="H268" t="str" cm="1">
        <f t="array" ref="H268">_xlfn.TEXTJOIN(", ", TRUE, IF(I268:M268&gt;0, I$1:M$1, ""))</f>
        <v>Tech Application</v>
      </c>
      <c r="I268">
        <v>0</v>
      </c>
      <c r="J268">
        <v>1</v>
      </c>
      <c r="K268">
        <v>0</v>
      </c>
      <c r="L268">
        <v>0</v>
      </c>
      <c r="M268">
        <v>0</v>
      </c>
      <c r="N268">
        <v>0</v>
      </c>
    </row>
    <row r="269" spans="1:14" x14ac:dyDescent="0.35">
      <c r="A269" t="s">
        <v>6</v>
      </c>
      <c r="B269" t="s">
        <v>679</v>
      </c>
      <c r="D269" t="s">
        <v>679</v>
      </c>
      <c r="E269" t="s">
        <v>59</v>
      </c>
      <c r="F269" t="s">
        <v>55</v>
      </c>
      <c r="H269" t="str" cm="1">
        <f t="array" ref="H269">_xlfn.TEXTJOIN(", ", TRUE, IF(I269:M269&gt;0, I$1:M$1, ""))</f>
        <v>Tech Application, Semantic View</v>
      </c>
      <c r="I269">
        <v>0</v>
      </c>
      <c r="J269">
        <v>2</v>
      </c>
      <c r="K269">
        <v>0</v>
      </c>
      <c r="L269">
        <v>0</v>
      </c>
      <c r="M269">
        <v>5</v>
      </c>
      <c r="N269">
        <v>0</v>
      </c>
    </row>
    <row r="270" spans="1:14" x14ac:dyDescent="0.35">
      <c r="A270" t="s">
        <v>6</v>
      </c>
      <c r="B270" t="s">
        <v>680</v>
      </c>
      <c r="C270" t="s">
        <v>680</v>
      </c>
      <c r="E270" t="s">
        <v>50</v>
      </c>
      <c r="F270" t="s">
        <v>276</v>
      </c>
      <c r="H270" t="str" cm="1">
        <f t="array" ref="H270">_xlfn.TEXTJOIN(", ", TRUE, IF(I270:M270&gt;0, I$1:M$1, ""))</f>
        <v>Semantic View</v>
      </c>
      <c r="I270">
        <v>0</v>
      </c>
      <c r="J270">
        <v>0</v>
      </c>
      <c r="K270">
        <v>0</v>
      </c>
      <c r="L270">
        <v>0</v>
      </c>
      <c r="M270">
        <v>8</v>
      </c>
      <c r="N270">
        <v>0</v>
      </c>
    </row>
    <row r="271" spans="1:14" x14ac:dyDescent="0.35">
      <c r="A271" t="s">
        <v>6</v>
      </c>
      <c r="B271" t="s">
        <v>681</v>
      </c>
      <c r="C271" t="s">
        <v>682</v>
      </c>
      <c r="E271" t="s">
        <v>66</v>
      </c>
      <c r="F271" t="s">
        <v>55</v>
      </c>
      <c r="H271" t="str" cm="1">
        <f t="array" ref="H271">_xlfn.TEXTJOIN(", ", TRUE, IF(I271:M271&gt;0, I$1:M$1, ""))</f>
        <v>Legal View, Organisational View</v>
      </c>
      <c r="I271">
        <v>0</v>
      </c>
      <c r="J271">
        <v>0</v>
      </c>
      <c r="K271">
        <v>5</v>
      </c>
      <c r="L271">
        <v>4</v>
      </c>
      <c r="M271">
        <v>0</v>
      </c>
      <c r="N271">
        <v>0</v>
      </c>
    </row>
    <row r="272" spans="1:14" x14ac:dyDescent="0.35">
      <c r="A272" t="s">
        <v>6</v>
      </c>
      <c r="B272" t="s">
        <v>683</v>
      </c>
      <c r="C272" t="s">
        <v>684</v>
      </c>
      <c r="E272" t="s">
        <v>59</v>
      </c>
      <c r="F272" t="s">
        <v>111</v>
      </c>
      <c r="H272" t="str" cm="1">
        <f t="array" ref="H272">_xlfn.TEXTJOIN(", ", TRUE, IF(I272:M272&gt;0, I$1:M$1, ""))</f>
        <v/>
      </c>
      <c r="I272">
        <v>0</v>
      </c>
      <c r="J272">
        <v>0</v>
      </c>
      <c r="K272">
        <v>0</v>
      </c>
      <c r="L272">
        <v>0</v>
      </c>
      <c r="M272">
        <v>0</v>
      </c>
      <c r="N272">
        <v>0</v>
      </c>
    </row>
    <row r="273" spans="1:14" x14ac:dyDescent="0.35">
      <c r="A273" t="s">
        <v>6</v>
      </c>
      <c r="B273" t="s">
        <v>685</v>
      </c>
      <c r="E273" t="s">
        <v>66</v>
      </c>
      <c r="F273" t="s">
        <v>55</v>
      </c>
      <c r="H273" t="str" cm="1">
        <f t="array" ref="H273">_xlfn.TEXTJOIN(", ", TRUE, IF(I273:M273&gt;0, I$1:M$1, ""))</f>
        <v>Organisational View</v>
      </c>
      <c r="I273">
        <v>0</v>
      </c>
      <c r="J273">
        <v>0</v>
      </c>
      <c r="K273">
        <v>0</v>
      </c>
      <c r="L273">
        <v>1</v>
      </c>
      <c r="M273">
        <v>0</v>
      </c>
      <c r="N273">
        <v>0</v>
      </c>
    </row>
    <row r="274" spans="1:14" x14ac:dyDescent="0.35">
      <c r="A274" t="s">
        <v>6</v>
      </c>
      <c r="B274" t="s">
        <v>686</v>
      </c>
      <c r="D274" t="s">
        <v>687</v>
      </c>
      <c r="E274" t="s">
        <v>124</v>
      </c>
      <c r="F274" t="s">
        <v>180</v>
      </c>
      <c r="H274" t="str" cm="1">
        <f t="array" ref="H274">_xlfn.TEXTJOIN(", ", TRUE, IF(I274:M274&gt;0, I$1:M$1, ""))</f>
        <v>Tech Application</v>
      </c>
      <c r="I274">
        <v>0</v>
      </c>
      <c r="J274">
        <v>1</v>
      </c>
      <c r="K274">
        <v>0</v>
      </c>
      <c r="L274">
        <v>0</v>
      </c>
      <c r="M274">
        <v>0</v>
      </c>
      <c r="N274">
        <v>0</v>
      </c>
    </row>
    <row r="275" spans="1:14" x14ac:dyDescent="0.35">
      <c r="A275" t="s">
        <v>6</v>
      </c>
      <c r="B275" t="s">
        <v>688</v>
      </c>
      <c r="D275" t="s">
        <v>689</v>
      </c>
      <c r="E275" t="s">
        <v>66</v>
      </c>
      <c r="F275" t="s">
        <v>690</v>
      </c>
      <c r="H275" t="str" cm="1">
        <f t="array" ref="H275">_xlfn.TEXTJOIN(", ", TRUE, IF(I275:M275&gt;0, I$1:M$1, ""))</f>
        <v>Legal View</v>
      </c>
      <c r="I275">
        <v>0</v>
      </c>
      <c r="J275">
        <v>0</v>
      </c>
      <c r="K275">
        <v>1</v>
      </c>
      <c r="L275">
        <v>0</v>
      </c>
      <c r="M275">
        <v>0</v>
      </c>
      <c r="N275">
        <v>0</v>
      </c>
    </row>
    <row r="276" spans="1:14" x14ac:dyDescent="0.35">
      <c r="A276" t="s">
        <v>6</v>
      </c>
      <c r="B276" t="s">
        <v>691</v>
      </c>
      <c r="D276" t="s">
        <v>692</v>
      </c>
      <c r="E276" t="s">
        <v>69</v>
      </c>
      <c r="F276" t="s">
        <v>55</v>
      </c>
      <c r="H276" t="str" cm="1">
        <f t="array" ref="H276">_xlfn.TEXTJOIN(", ", TRUE, IF(I276:M276&gt;0, I$1:M$1, ""))</f>
        <v/>
      </c>
      <c r="I276">
        <v>0</v>
      </c>
      <c r="J276">
        <v>0</v>
      </c>
      <c r="K276">
        <v>0</v>
      </c>
      <c r="L276">
        <v>0</v>
      </c>
      <c r="M276">
        <v>0</v>
      </c>
      <c r="N276">
        <v>0</v>
      </c>
    </row>
    <row r="277" spans="1:14" x14ac:dyDescent="0.35">
      <c r="A277" t="s">
        <v>6</v>
      </c>
      <c r="B277" t="s">
        <v>693</v>
      </c>
      <c r="C277" t="s">
        <v>694</v>
      </c>
      <c r="E277" t="s">
        <v>96</v>
      </c>
      <c r="F277" t="s">
        <v>55</v>
      </c>
      <c r="H277" t="str" cm="1">
        <f t="array" ref="H277">_xlfn.TEXTJOIN(", ", TRUE, IF(I277:M277&gt;0, I$1:M$1, ""))</f>
        <v>Tech Application, Organisational View</v>
      </c>
      <c r="I277">
        <v>0</v>
      </c>
      <c r="J277">
        <v>2</v>
      </c>
      <c r="K277">
        <v>0</v>
      </c>
      <c r="L277">
        <v>1</v>
      </c>
      <c r="M277">
        <v>0</v>
      </c>
      <c r="N277">
        <v>0</v>
      </c>
    </row>
    <row r="278" spans="1:14" x14ac:dyDescent="0.35">
      <c r="A278" t="s">
        <v>6</v>
      </c>
      <c r="B278" t="s">
        <v>695</v>
      </c>
      <c r="E278" t="s">
        <v>62</v>
      </c>
      <c r="F278" t="s">
        <v>696</v>
      </c>
      <c r="H278" t="str" cm="1">
        <f t="array" ref="H278">_xlfn.TEXTJOIN(", ", TRUE, IF(I278:M278&gt;0, I$1:M$1, ""))</f>
        <v>Tech Infrastructure, Tech Application</v>
      </c>
      <c r="I278">
        <v>4</v>
      </c>
      <c r="J278">
        <v>2</v>
      </c>
      <c r="K278">
        <v>0</v>
      </c>
      <c r="L278">
        <v>0</v>
      </c>
      <c r="M278">
        <v>0</v>
      </c>
      <c r="N278">
        <v>0</v>
      </c>
    </row>
    <row r="279" spans="1:14" x14ac:dyDescent="0.35">
      <c r="A279" t="s">
        <v>6</v>
      </c>
      <c r="B279" t="s">
        <v>697</v>
      </c>
      <c r="C279" t="s">
        <v>297</v>
      </c>
      <c r="E279" t="s">
        <v>297</v>
      </c>
      <c r="F279" t="s">
        <v>55</v>
      </c>
      <c r="H279" t="str" cm="1">
        <f t="array" ref="H279">_xlfn.TEXTJOIN(", ", TRUE, IF(I279:M279&gt;0, I$1:M$1, ""))</f>
        <v>Semantic View</v>
      </c>
      <c r="I279">
        <v>0</v>
      </c>
      <c r="J279">
        <v>0</v>
      </c>
      <c r="K279">
        <v>0</v>
      </c>
      <c r="L279">
        <v>0</v>
      </c>
      <c r="M279">
        <v>2</v>
      </c>
      <c r="N279">
        <v>0</v>
      </c>
    </row>
    <row r="280" spans="1:14" x14ac:dyDescent="0.35">
      <c r="A280" t="s">
        <v>6</v>
      </c>
      <c r="B280" t="s">
        <v>698</v>
      </c>
      <c r="D280" t="s">
        <v>699</v>
      </c>
      <c r="E280" t="s">
        <v>230</v>
      </c>
      <c r="F280" t="s">
        <v>535</v>
      </c>
      <c r="H280" t="str" cm="1">
        <f t="array" ref="H280">_xlfn.TEXTJOIN(", ", TRUE, IF(I280:M280&gt;0, I$1:M$1, ""))</f>
        <v/>
      </c>
      <c r="I280">
        <v>0</v>
      </c>
      <c r="J280">
        <v>0</v>
      </c>
      <c r="K280">
        <v>0</v>
      </c>
      <c r="L280">
        <v>0</v>
      </c>
      <c r="M280">
        <v>0</v>
      </c>
      <c r="N280">
        <v>0</v>
      </c>
    </row>
    <row r="281" spans="1:14" x14ac:dyDescent="0.35">
      <c r="A281" t="s">
        <v>6</v>
      </c>
      <c r="B281" t="s">
        <v>700</v>
      </c>
      <c r="C281" t="s">
        <v>701</v>
      </c>
      <c r="E281" t="s">
        <v>702</v>
      </c>
      <c r="F281" t="s">
        <v>703</v>
      </c>
      <c r="H281" t="str" cm="1">
        <f t="array" ref="H281">_xlfn.TEXTJOIN(", ", TRUE, IF(I281:M281&gt;0, I$1:M$1, ""))</f>
        <v>Tech Application</v>
      </c>
      <c r="I281">
        <v>0</v>
      </c>
      <c r="J281">
        <v>2</v>
      </c>
      <c r="K281">
        <v>0</v>
      </c>
      <c r="L281">
        <v>0</v>
      </c>
      <c r="M281">
        <v>0</v>
      </c>
      <c r="N281">
        <v>0</v>
      </c>
    </row>
    <row r="282" spans="1:14" x14ac:dyDescent="0.35">
      <c r="A282" t="s">
        <v>6</v>
      </c>
      <c r="B282" t="s">
        <v>704</v>
      </c>
      <c r="C282" t="s">
        <v>705</v>
      </c>
      <c r="E282" t="s">
        <v>50</v>
      </c>
      <c r="F282" t="s">
        <v>55</v>
      </c>
      <c r="H282" t="str" cm="1">
        <f t="array" ref="H282">_xlfn.TEXTJOIN(", ", TRUE, IF(I282:M282&gt;0, I$1:M$1, ""))</f>
        <v>Tech Infrastructure, Tech Application</v>
      </c>
      <c r="I282">
        <v>1</v>
      </c>
      <c r="J282">
        <v>6</v>
      </c>
      <c r="K282">
        <v>0</v>
      </c>
      <c r="L282">
        <v>0</v>
      </c>
      <c r="M282">
        <v>0</v>
      </c>
      <c r="N282">
        <v>0</v>
      </c>
    </row>
    <row r="283" spans="1:14" x14ac:dyDescent="0.35">
      <c r="A283" t="s">
        <v>6</v>
      </c>
      <c r="B283" t="s">
        <v>706</v>
      </c>
      <c r="C283" t="s">
        <v>707</v>
      </c>
      <c r="E283" t="s">
        <v>411</v>
      </c>
      <c r="F283" t="s">
        <v>55</v>
      </c>
      <c r="H283" t="str" cm="1">
        <f t="array" ref="H283">_xlfn.TEXTJOIN(", ", TRUE, IF(I283:M283&gt;0, I$1:M$1, ""))</f>
        <v>Tech Application, Semantic View</v>
      </c>
      <c r="I283">
        <v>0</v>
      </c>
      <c r="J283">
        <v>2</v>
      </c>
      <c r="K283">
        <v>0</v>
      </c>
      <c r="L283">
        <v>0</v>
      </c>
      <c r="M283">
        <v>2</v>
      </c>
      <c r="N283">
        <v>0</v>
      </c>
    </row>
    <row r="284" spans="1:14" x14ac:dyDescent="0.35">
      <c r="A284" t="s">
        <v>6</v>
      </c>
      <c r="B284" t="s">
        <v>708</v>
      </c>
      <c r="C284" t="s">
        <v>709</v>
      </c>
      <c r="E284" t="s">
        <v>710</v>
      </c>
      <c r="F284" t="s">
        <v>55</v>
      </c>
      <c r="H284" t="str" cm="1">
        <f t="array" ref="H284">_xlfn.TEXTJOIN(", ", TRUE, IF(I284:M284&gt;0, I$1:M$1, ""))</f>
        <v>Tech Application</v>
      </c>
      <c r="I284">
        <v>0</v>
      </c>
      <c r="J284">
        <v>2</v>
      </c>
      <c r="K284">
        <v>0</v>
      </c>
      <c r="L284">
        <v>0</v>
      </c>
      <c r="M284">
        <v>0</v>
      </c>
      <c r="N284">
        <v>0</v>
      </c>
    </row>
    <row r="285" spans="1:14" x14ac:dyDescent="0.35">
      <c r="A285" t="s">
        <v>6</v>
      </c>
      <c r="B285" t="s">
        <v>711</v>
      </c>
      <c r="E285" t="s">
        <v>712</v>
      </c>
      <c r="F285" t="s">
        <v>480</v>
      </c>
      <c r="H285" t="str" cm="1">
        <f t="array" ref="H285">_xlfn.TEXTJOIN(", ", TRUE, IF(I285:M285&gt;0, I$1:M$1, ""))</f>
        <v>Tech Infrastructure</v>
      </c>
      <c r="I285">
        <v>1</v>
      </c>
      <c r="J285">
        <v>0</v>
      </c>
      <c r="K285">
        <v>0</v>
      </c>
      <c r="L285">
        <v>0</v>
      </c>
      <c r="M285">
        <v>0</v>
      </c>
      <c r="N285">
        <v>0</v>
      </c>
    </row>
    <row r="286" spans="1:14" x14ac:dyDescent="0.35">
      <c r="A286" t="s">
        <v>6</v>
      </c>
      <c r="B286" t="s">
        <v>713</v>
      </c>
      <c r="C286" t="s">
        <v>714</v>
      </c>
      <c r="E286" t="s">
        <v>121</v>
      </c>
      <c r="F286" t="s">
        <v>152</v>
      </c>
      <c r="H286" t="str" cm="1">
        <f t="array" ref="H286">_xlfn.TEXTJOIN(", ", TRUE, IF(I286:M286&gt;0, I$1:M$1, ""))</f>
        <v>Tech Application, Semantic View</v>
      </c>
      <c r="I286">
        <v>0</v>
      </c>
      <c r="J286">
        <v>3</v>
      </c>
      <c r="K286">
        <v>0</v>
      </c>
      <c r="L286">
        <v>0</v>
      </c>
      <c r="M286">
        <v>2</v>
      </c>
      <c r="N286">
        <v>2</v>
      </c>
    </row>
    <row r="287" spans="1:14" x14ac:dyDescent="0.35">
      <c r="A287" t="s">
        <v>6</v>
      </c>
      <c r="B287" t="s">
        <v>715</v>
      </c>
      <c r="C287" t="s">
        <v>716</v>
      </c>
      <c r="E287" t="s">
        <v>230</v>
      </c>
      <c r="F287" t="s">
        <v>447</v>
      </c>
      <c r="H287" t="str" cm="1">
        <f t="array" ref="H287">_xlfn.TEXTJOIN(", ", TRUE, IF(I287:M287&gt;0, I$1:M$1, ""))</f>
        <v>Tech Application</v>
      </c>
      <c r="I287">
        <v>0</v>
      </c>
      <c r="J287">
        <v>4</v>
      </c>
      <c r="K287">
        <v>0</v>
      </c>
      <c r="L287">
        <v>0</v>
      </c>
      <c r="M287">
        <v>0</v>
      </c>
      <c r="N287">
        <v>0</v>
      </c>
    </row>
    <row r="288" spans="1:14" x14ac:dyDescent="0.35">
      <c r="A288" t="s">
        <v>6</v>
      </c>
      <c r="B288" t="s">
        <v>717</v>
      </c>
      <c r="E288" t="s">
        <v>121</v>
      </c>
      <c r="F288" t="s">
        <v>718</v>
      </c>
      <c r="H288" t="str" cm="1">
        <f t="array" ref="H288">_xlfn.TEXTJOIN(", ", TRUE, IF(I288:M288&gt;0, I$1:M$1, ""))</f>
        <v>Tech Infrastructure, Tech Application</v>
      </c>
      <c r="I288">
        <v>1</v>
      </c>
      <c r="J288">
        <v>2</v>
      </c>
      <c r="K288">
        <v>0</v>
      </c>
      <c r="L288">
        <v>0</v>
      </c>
      <c r="M288">
        <v>0</v>
      </c>
      <c r="N288">
        <v>0</v>
      </c>
    </row>
    <row r="289" spans="1:14" x14ac:dyDescent="0.35">
      <c r="A289" t="s">
        <v>6</v>
      </c>
      <c r="B289" t="s">
        <v>719</v>
      </c>
      <c r="C289" t="s">
        <v>720</v>
      </c>
      <c r="E289" t="s">
        <v>50</v>
      </c>
      <c r="F289" t="s">
        <v>721</v>
      </c>
      <c r="H289" t="str" cm="1">
        <f t="array" ref="H289">_xlfn.TEXTJOIN(", ", TRUE, IF(I289:M289&gt;0, I$1:M$1, ""))</f>
        <v>Tech Infrastructure</v>
      </c>
      <c r="I289">
        <v>2</v>
      </c>
      <c r="J289">
        <v>0</v>
      </c>
      <c r="K289">
        <v>0</v>
      </c>
      <c r="L289">
        <v>0</v>
      </c>
      <c r="M289">
        <v>0</v>
      </c>
      <c r="N289">
        <v>0</v>
      </c>
    </row>
    <row r="290" spans="1:14" x14ac:dyDescent="0.35">
      <c r="A290" t="s">
        <v>6</v>
      </c>
      <c r="B290" t="s">
        <v>722</v>
      </c>
      <c r="E290" t="s">
        <v>723</v>
      </c>
      <c r="F290" t="s">
        <v>111</v>
      </c>
      <c r="H290" t="str" cm="1">
        <f t="array" ref="H290">_xlfn.TEXTJOIN(", ", TRUE, IF(I290:M290&gt;0, I$1:M$1, ""))</f>
        <v>Tech Application, Semantic View</v>
      </c>
      <c r="I290">
        <v>0</v>
      </c>
      <c r="J290">
        <v>3</v>
      </c>
      <c r="K290">
        <v>0</v>
      </c>
      <c r="L290">
        <v>0</v>
      </c>
      <c r="M290">
        <v>2</v>
      </c>
      <c r="N290">
        <v>0</v>
      </c>
    </row>
    <row r="291" spans="1:14" x14ac:dyDescent="0.35">
      <c r="A291" t="s">
        <v>6</v>
      </c>
      <c r="B291" t="s">
        <v>724</v>
      </c>
      <c r="C291" t="s">
        <v>725</v>
      </c>
      <c r="E291" t="s">
        <v>230</v>
      </c>
      <c r="F291" t="s">
        <v>51</v>
      </c>
      <c r="H291" t="str" cm="1">
        <f t="array" ref="H291">_xlfn.TEXTJOIN(", ", TRUE, IF(I291:M291&gt;0, I$1:M$1, ""))</f>
        <v>Tech Application</v>
      </c>
      <c r="I291">
        <v>0</v>
      </c>
      <c r="J291">
        <v>2</v>
      </c>
      <c r="K291">
        <v>0</v>
      </c>
      <c r="L291">
        <v>0</v>
      </c>
      <c r="M291">
        <v>0</v>
      </c>
      <c r="N291">
        <v>0</v>
      </c>
    </row>
    <row r="292" spans="1:14" x14ac:dyDescent="0.35">
      <c r="A292" t="s">
        <v>6</v>
      </c>
      <c r="B292" t="s">
        <v>726</v>
      </c>
      <c r="E292" t="s">
        <v>50</v>
      </c>
      <c r="F292" t="s">
        <v>55</v>
      </c>
      <c r="H292" t="str" cm="1">
        <f t="array" ref="H292">_xlfn.TEXTJOIN(", ", TRUE, IF(I292:M292&gt;0, I$1:M$1, ""))</f>
        <v>Tech Application</v>
      </c>
      <c r="I292">
        <v>0</v>
      </c>
      <c r="J292">
        <v>2</v>
      </c>
      <c r="K292">
        <v>0</v>
      </c>
      <c r="L292">
        <v>0</v>
      </c>
      <c r="M292">
        <v>0</v>
      </c>
      <c r="N292">
        <v>0</v>
      </c>
    </row>
    <row r="293" spans="1:14" x14ac:dyDescent="0.35">
      <c r="A293" t="s">
        <v>6</v>
      </c>
      <c r="B293" t="s">
        <v>727</v>
      </c>
      <c r="D293" t="s">
        <v>728</v>
      </c>
      <c r="E293" t="s">
        <v>50</v>
      </c>
      <c r="F293" t="s">
        <v>55</v>
      </c>
      <c r="H293" t="str" cm="1">
        <f t="array" ref="H293">_xlfn.TEXTJOIN(", ", TRUE, IF(I293:M293&gt;0, I$1:M$1, ""))</f>
        <v>Semantic View</v>
      </c>
      <c r="I293">
        <v>0</v>
      </c>
      <c r="J293">
        <v>0</v>
      </c>
      <c r="K293">
        <v>0</v>
      </c>
      <c r="L293">
        <v>0</v>
      </c>
      <c r="M293">
        <v>4</v>
      </c>
      <c r="N293">
        <v>0</v>
      </c>
    </row>
    <row r="294" spans="1:14" x14ac:dyDescent="0.35">
      <c r="A294" t="s">
        <v>6</v>
      </c>
      <c r="B294" t="s">
        <v>729</v>
      </c>
      <c r="C294" t="s">
        <v>730</v>
      </c>
      <c r="E294" t="s">
        <v>66</v>
      </c>
      <c r="F294" t="s">
        <v>667</v>
      </c>
      <c r="H294" t="str" cm="1">
        <f t="array" ref="H294">_xlfn.TEXTJOIN(", ", TRUE, IF(I294:M294&gt;0, I$1:M$1, ""))</f>
        <v>Tech Application</v>
      </c>
      <c r="I294">
        <v>0</v>
      </c>
      <c r="J294">
        <v>2</v>
      </c>
      <c r="K294">
        <v>0</v>
      </c>
      <c r="L294">
        <v>0</v>
      </c>
      <c r="M294">
        <v>0</v>
      </c>
      <c r="N294">
        <v>1</v>
      </c>
    </row>
    <row r="295" spans="1:14" x14ac:dyDescent="0.35">
      <c r="A295" t="s">
        <v>6</v>
      </c>
      <c r="B295" t="s">
        <v>731</v>
      </c>
      <c r="C295" t="s">
        <v>732</v>
      </c>
      <c r="E295" t="s">
        <v>733</v>
      </c>
      <c r="F295" t="s">
        <v>51</v>
      </c>
      <c r="H295" t="str" cm="1">
        <f t="array" ref="H295">_xlfn.TEXTJOIN(", ", TRUE, IF(I295:M295&gt;0, I$1:M$1, ""))</f>
        <v>Tech Application</v>
      </c>
      <c r="I295">
        <v>0</v>
      </c>
      <c r="J295">
        <v>2</v>
      </c>
      <c r="K295">
        <v>0</v>
      </c>
      <c r="L295">
        <v>0</v>
      </c>
      <c r="M295">
        <v>0</v>
      </c>
      <c r="N295">
        <v>0</v>
      </c>
    </row>
    <row r="296" spans="1:14" x14ac:dyDescent="0.35">
      <c r="A296" t="s">
        <v>6</v>
      </c>
      <c r="B296" t="s">
        <v>734</v>
      </c>
      <c r="C296" t="s">
        <v>735</v>
      </c>
      <c r="E296" t="s">
        <v>489</v>
      </c>
      <c r="F296" t="s">
        <v>55</v>
      </c>
      <c r="H296" t="str" cm="1">
        <f t="array" ref="H296">_xlfn.TEXTJOIN(", ", TRUE, IF(I296:M296&gt;0, I$1:M$1, ""))</f>
        <v>Tech Infrastructure, Tech Application</v>
      </c>
      <c r="I296">
        <v>1</v>
      </c>
      <c r="J296">
        <v>6</v>
      </c>
      <c r="K296">
        <v>0</v>
      </c>
      <c r="L296">
        <v>0</v>
      </c>
      <c r="M296">
        <v>0</v>
      </c>
      <c r="N296">
        <v>0</v>
      </c>
    </row>
    <row r="297" spans="1:14" x14ac:dyDescent="0.35">
      <c r="A297" t="s">
        <v>6</v>
      </c>
      <c r="B297" t="s">
        <v>736</v>
      </c>
      <c r="D297" t="s">
        <v>737</v>
      </c>
      <c r="E297" t="s">
        <v>69</v>
      </c>
      <c r="F297" t="s">
        <v>55</v>
      </c>
      <c r="H297" t="str" cm="1">
        <f t="array" ref="H297">_xlfn.TEXTJOIN(", ", TRUE, IF(I297:M297&gt;0, I$1:M$1, ""))</f>
        <v/>
      </c>
      <c r="I297">
        <v>0</v>
      </c>
      <c r="J297">
        <v>0</v>
      </c>
      <c r="K297">
        <v>0</v>
      </c>
      <c r="L297">
        <v>0</v>
      </c>
      <c r="M297">
        <v>0</v>
      </c>
      <c r="N297">
        <v>0</v>
      </c>
    </row>
    <row r="298" spans="1:14" x14ac:dyDescent="0.35">
      <c r="A298" t="s">
        <v>6</v>
      </c>
      <c r="B298" t="s">
        <v>738</v>
      </c>
      <c r="E298" t="s">
        <v>148</v>
      </c>
      <c r="F298" t="s">
        <v>55</v>
      </c>
      <c r="H298" t="str" cm="1">
        <f t="array" ref="H298">_xlfn.TEXTJOIN(", ", TRUE, IF(I298:M298&gt;0, I$1:M$1, ""))</f>
        <v>Tech Application</v>
      </c>
      <c r="I298">
        <v>0</v>
      </c>
      <c r="J298">
        <v>4</v>
      </c>
      <c r="K298">
        <v>0</v>
      </c>
      <c r="L298">
        <v>0</v>
      </c>
      <c r="M298">
        <v>0</v>
      </c>
      <c r="N298">
        <v>0</v>
      </c>
    </row>
    <row r="299" spans="1:14" x14ac:dyDescent="0.35">
      <c r="A299" t="s">
        <v>6</v>
      </c>
      <c r="B299" t="s">
        <v>739</v>
      </c>
      <c r="D299" t="s">
        <v>740</v>
      </c>
      <c r="E299" t="s">
        <v>50</v>
      </c>
      <c r="F299" t="s">
        <v>55</v>
      </c>
      <c r="H299" t="str" cm="1">
        <f t="array" ref="H299">_xlfn.TEXTJOIN(", ", TRUE, IF(I299:M299&gt;0, I$1:M$1, ""))</f>
        <v/>
      </c>
      <c r="I299">
        <v>0</v>
      </c>
      <c r="J299">
        <v>0</v>
      </c>
      <c r="K299">
        <v>0</v>
      </c>
      <c r="L299">
        <v>0</v>
      </c>
      <c r="M299">
        <v>0</v>
      </c>
      <c r="N299">
        <v>0</v>
      </c>
    </row>
    <row r="300" spans="1:14" x14ac:dyDescent="0.35">
      <c r="A300" t="s">
        <v>6</v>
      </c>
      <c r="B300" t="s">
        <v>741</v>
      </c>
      <c r="C300" t="s">
        <v>741</v>
      </c>
      <c r="E300" t="s">
        <v>742</v>
      </c>
      <c r="F300" t="s">
        <v>743</v>
      </c>
      <c r="H300" t="str" cm="1">
        <f t="array" ref="H300">_xlfn.TEXTJOIN(", ", TRUE, IF(I300:M300&gt;0, I$1:M$1, ""))</f>
        <v/>
      </c>
      <c r="I300">
        <v>0</v>
      </c>
      <c r="J300">
        <v>0</v>
      </c>
      <c r="K300">
        <v>0</v>
      </c>
      <c r="L300">
        <v>0</v>
      </c>
      <c r="M300">
        <v>0</v>
      </c>
      <c r="N300">
        <v>0</v>
      </c>
    </row>
    <row r="301" spans="1:14" x14ac:dyDescent="0.35">
      <c r="A301" t="s">
        <v>6</v>
      </c>
      <c r="B301" t="s">
        <v>744</v>
      </c>
      <c r="C301" t="s">
        <v>745</v>
      </c>
      <c r="E301" t="s">
        <v>96</v>
      </c>
      <c r="F301" t="s">
        <v>55</v>
      </c>
      <c r="H301" t="str" cm="1">
        <f t="array" ref="H301">_xlfn.TEXTJOIN(", ", TRUE, IF(I301:M301&gt;0, I$1:M$1, ""))</f>
        <v>Semantic View</v>
      </c>
      <c r="I301">
        <v>0</v>
      </c>
      <c r="J301">
        <v>0</v>
      </c>
      <c r="K301">
        <v>0</v>
      </c>
      <c r="L301">
        <v>0</v>
      </c>
      <c r="M301">
        <v>2</v>
      </c>
      <c r="N301">
        <v>0</v>
      </c>
    </row>
    <row r="302" spans="1:14" x14ac:dyDescent="0.35">
      <c r="A302" t="s">
        <v>6</v>
      </c>
      <c r="B302" t="s">
        <v>746</v>
      </c>
      <c r="E302" t="s">
        <v>230</v>
      </c>
      <c r="F302" t="s">
        <v>92</v>
      </c>
      <c r="H302" t="str" cm="1">
        <f t="array" ref="H302">_xlfn.TEXTJOIN(", ", TRUE, IF(I302:M302&gt;0, I$1:M$1, ""))</f>
        <v>Tech Application, Semantic View</v>
      </c>
      <c r="I302">
        <v>0</v>
      </c>
      <c r="J302">
        <v>4</v>
      </c>
      <c r="K302">
        <v>0</v>
      </c>
      <c r="L302">
        <v>0</v>
      </c>
      <c r="M302">
        <v>1</v>
      </c>
      <c r="N302">
        <v>0</v>
      </c>
    </row>
    <row r="303" spans="1:14" x14ac:dyDescent="0.35">
      <c r="A303" t="s">
        <v>6</v>
      </c>
      <c r="B303" t="s">
        <v>747</v>
      </c>
      <c r="C303" t="s">
        <v>748</v>
      </c>
      <c r="E303" t="s">
        <v>121</v>
      </c>
      <c r="F303" t="s">
        <v>55</v>
      </c>
      <c r="H303" t="str" cm="1">
        <f t="array" ref="H303">_xlfn.TEXTJOIN(", ", TRUE, IF(I303:M303&gt;0, I$1:M$1, ""))</f>
        <v>Tech Application</v>
      </c>
      <c r="I303">
        <v>0</v>
      </c>
      <c r="J303">
        <v>2</v>
      </c>
      <c r="K303">
        <v>0</v>
      </c>
      <c r="L303">
        <v>0</v>
      </c>
      <c r="M303">
        <v>0</v>
      </c>
      <c r="N303">
        <v>0</v>
      </c>
    </row>
    <row r="304" spans="1:14" x14ac:dyDescent="0.35">
      <c r="A304" t="s">
        <v>6</v>
      </c>
      <c r="B304" t="s">
        <v>749</v>
      </c>
      <c r="E304" t="s">
        <v>750</v>
      </c>
      <c r="F304" t="s">
        <v>751</v>
      </c>
      <c r="H304" t="str" cm="1">
        <f t="array" ref="H304">_xlfn.TEXTJOIN(", ", TRUE, IF(I304:M304&gt;0, I$1:M$1, ""))</f>
        <v>Tech Infrastructure</v>
      </c>
      <c r="I304">
        <v>1</v>
      </c>
      <c r="J304">
        <v>0</v>
      </c>
      <c r="K304">
        <v>0</v>
      </c>
      <c r="L304">
        <v>0</v>
      </c>
      <c r="M304">
        <v>0</v>
      </c>
      <c r="N304">
        <v>0</v>
      </c>
    </row>
    <row r="305" spans="1:14" x14ac:dyDescent="0.35">
      <c r="A305" t="s">
        <v>6</v>
      </c>
      <c r="B305" t="s">
        <v>752</v>
      </c>
      <c r="E305" t="s">
        <v>62</v>
      </c>
      <c r="F305" t="s">
        <v>55</v>
      </c>
      <c r="H305" t="str" cm="1">
        <f t="array" ref="H305">_xlfn.TEXTJOIN(", ", TRUE, IF(I305:M305&gt;0, I$1:M$1, ""))</f>
        <v>Legal View</v>
      </c>
      <c r="I305">
        <v>0</v>
      </c>
      <c r="J305">
        <v>0</v>
      </c>
      <c r="K305">
        <v>5</v>
      </c>
      <c r="L305">
        <v>0</v>
      </c>
      <c r="M305">
        <v>0</v>
      </c>
      <c r="N305">
        <v>0</v>
      </c>
    </row>
    <row r="306" spans="1:14" x14ac:dyDescent="0.35">
      <c r="A306" t="s">
        <v>6</v>
      </c>
      <c r="B306" t="s">
        <v>46</v>
      </c>
      <c r="E306" t="s">
        <v>46</v>
      </c>
      <c r="F306" t="s">
        <v>570</v>
      </c>
      <c r="H306" t="str" cm="1">
        <f t="array" ref="H306">_xlfn.TEXTJOIN(", ", TRUE, IF(I306:M306&gt;0, I$1:M$1, ""))</f>
        <v>Semantic View</v>
      </c>
      <c r="I306">
        <v>0</v>
      </c>
      <c r="J306">
        <v>0</v>
      </c>
      <c r="K306">
        <v>0</v>
      </c>
      <c r="L306">
        <v>0</v>
      </c>
      <c r="M306">
        <v>1</v>
      </c>
      <c r="N306">
        <v>1</v>
      </c>
    </row>
    <row r="307" spans="1:14" x14ac:dyDescent="0.35">
      <c r="A307" t="s">
        <v>6</v>
      </c>
      <c r="B307" t="s">
        <v>753</v>
      </c>
      <c r="C307" t="s">
        <v>754</v>
      </c>
      <c r="E307" t="s">
        <v>50</v>
      </c>
      <c r="F307" t="s">
        <v>755</v>
      </c>
      <c r="H307" t="str" cm="1">
        <f t="array" ref="H307">_xlfn.TEXTJOIN(", ", TRUE, IF(I307:M307&gt;0, I$1:M$1, ""))</f>
        <v>Tech Application</v>
      </c>
      <c r="I307">
        <v>0</v>
      </c>
      <c r="J307">
        <v>2</v>
      </c>
      <c r="K307">
        <v>0</v>
      </c>
      <c r="L307">
        <v>0</v>
      </c>
      <c r="M307">
        <v>0</v>
      </c>
      <c r="N307">
        <v>0</v>
      </c>
    </row>
    <row r="308" spans="1:14" x14ac:dyDescent="0.35">
      <c r="A308" t="s">
        <v>6</v>
      </c>
      <c r="B308" t="s">
        <v>756</v>
      </c>
      <c r="C308" t="s">
        <v>757</v>
      </c>
      <c r="E308" t="s">
        <v>96</v>
      </c>
      <c r="F308" t="s">
        <v>180</v>
      </c>
      <c r="H308" t="str" cm="1">
        <f t="array" ref="H308">_xlfn.TEXTJOIN(", ", TRUE, IF(I308:M308&gt;0, I$1:M$1, ""))</f>
        <v>Tech Application, Semantic View</v>
      </c>
      <c r="I308">
        <v>0</v>
      </c>
      <c r="J308">
        <v>1</v>
      </c>
      <c r="K308">
        <v>0</v>
      </c>
      <c r="L308">
        <v>0</v>
      </c>
      <c r="M308">
        <v>1</v>
      </c>
      <c r="N308">
        <v>0</v>
      </c>
    </row>
    <row r="309" spans="1:14" x14ac:dyDescent="0.35">
      <c r="A309" t="s">
        <v>6</v>
      </c>
      <c r="B309" t="s">
        <v>758</v>
      </c>
      <c r="E309" t="s">
        <v>66</v>
      </c>
      <c r="F309" t="s">
        <v>759</v>
      </c>
      <c r="H309" t="str" cm="1">
        <f t="array" ref="H309">_xlfn.TEXTJOIN(", ", TRUE, IF(I309:M309&gt;0, I$1:M$1, ""))</f>
        <v>Organisational View</v>
      </c>
      <c r="I309">
        <v>0</v>
      </c>
      <c r="J309">
        <v>0</v>
      </c>
      <c r="K309">
        <v>0</v>
      </c>
      <c r="L309">
        <v>1</v>
      </c>
      <c r="M309">
        <v>0</v>
      </c>
      <c r="N309">
        <v>0</v>
      </c>
    </row>
    <row r="310" spans="1:14" x14ac:dyDescent="0.35">
      <c r="A310" t="s">
        <v>6</v>
      </c>
      <c r="B310" t="s">
        <v>760</v>
      </c>
      <c r="E310" t="s">
        <v>760</v>
      </c>
      <c r="F310" t="s">
        <v>55</v>
      </c>
      <c r="H310" t="str" cm="1">
        <f t="array" ref="H310">_xlfn.TEXTJOIN(", ", TRUE, IF(I310:M310&gt;0, I$1:M$1, ""))</f>
        <v>Tech Application</v>
      </c>
      <c r="I310">
        <v>0</v>
      </c>
      <c r="J310">
        <v>1</v>
      </c>
      <c r="K310">
        <v>0</v>
      </c>
      <c r="L310">
        <v>0</v>
      </c>
      <c r="M310">
        <v>0</v>
      </c>
      <c r="N310">
        <v>0</v>
      </c>
    </row>
    <row r="311" spans="1:14" x14ac:dyDescent="0.35">
      <c r="A311" t="s">
        <v>6</v>
      </c>
      <c r="B311" t="s">
        <v>761</v>
      </c>
      <c r="C311" t="s">
        <v>762</v>
      </c>
      <c r="E311" t="s">
        <v>50</v>
      </c>
      <c r="F311" t="s">
        <v>570</v>
      </c>
      <c r="H311" t="str" cm="1">
        <f t="array" ref="H311">_xlfn.TEXTJOIN(", ", TRUE, IF(I311:M311&gt;0, I$1:M$1, ""))</f>
        <v>Tech Infrastructure</v>
      </c>
      <c r="I311">
        <v>4</v>
      </c>
      <c r="J311">
        <v>0</v>
      </c>
      <c r="K311">
        <v>0</v>
      </c>
      <c r="L311">
        <v>0</v>
      </c>
      <c r="M311">
        <v>0</v>
      </c>
      <c r="N311">
        <v>3</v>
      </c>
    </row>
    <row r="312" spans="1:14" x14ac:dyDescent="0.35">
      <c r="A312" t="s">
        <v>6</v>
      </c>
      <c r="B312" t="s">
        <v>763</v>
      </c>
      <c r="E312" t="s">
        <v>220</v>
      </c>
      <c r="F312" t="s">
        <v>51</v>
      </c>
      <c r="H312" t="str" cm="1">
        <f t="array" ref="H312">_xlfn.TEXTJOIN(", ", TRUE, IF(I312:M312&gt;0, I$1:M$1, ""))</f>
        <v>Tech Application, Semantic View</v>
      </c>
      <c r="I312">
        <v>0</v>
      </c>
      <c r="J312">
        <v>3</v>
      </c>
      <c r="K312">
        <v>0</v>
      </c>
      <c r="L312">
        <v>0</v>
      </c>
      <c r="M312">
        <v>1</v>
      </c>
      <c r="N312">
        <v>0</v>
      </c>
    </row>
    <row r="313" spans="1:14" x14ac:dyDescent="0.35">
      <c r="A313" t="s">
        <v>6</v>
      </c>
      <c r="B313" t="s">
        <v>764</v>
      </c>
      <c r="C313" t="s">
        <v>765</v>
      </c>
      <c r="E313" t="s">
        <v>230</v>
      </c>
      <c r="F313" t="s">
        <v>111</v>
      </c>
      <c r="H313" t="str" cm="1">
        <f t="array" ref="H313">_xlfn.TEXTJOIN(", ", TRUE, IF(I313:M313&gt;0, I$1:M$1, ""))</f>
        <v>Tech Infrastructure</v>
      </c>
      <c r="I313">
        <v>1</v>
      </c>
      <c r="J313">
        <v>0</v>
      </c>
      <c r="K313">
        <v>0</v>
      </c>
      <c r="L313">
        <v>0</v>
      </c>
      <c r="M313">
        <v>0</v>
      </c>
      <c r="N313">
        <v>0</v>
      </c>
    </row>
    <row r="314" spans="1:14" x14ac:dyDescent="0.35">
      <c r="A314" t="s">
        <v>6</v>
      </c>
      <c r="B314" t="s">
        <v>766</v>
      </c>
      <c r="C314" t="s">
        <v>767</v>
      </c>
      <c r="E314" t="s">
        <v>96</v>
      </c>
      <c r="F314" t="s">
        <v>55</v>
      </c>
      <c r="H314" t="str" cm="1">
        <f t="array" ref="H314">_xlfn.TEXTJOIN(", ", TRUE, IF(I314:M314&gt;0, I$1:M$1, ""))</f>
        <v>Semantic View</v>
      </c>
      <c r="I314">
        <v>0</v>
      </c>
      <c r="J314">
        <v>0</v>
      </c>
      <c r="K314">
        <v>0</v>
      </c>
      <c r="L314">
        <v>0</v>
      </c>
      <c r="M314">
        <v>1</v>
      </c>
      <c r="N314">
        <v>0</v>
      </c>
    </row>
    <row r="315" spans="1:14" x14ac:dyDescent="0.35">
      <c r="A315" t="s">
        <v>6</v>
      </c>
      <c r="B315" t="s">
        <v>768</v>
      </c>
      <c r="D315" t="s">
        <v>769</v>
      </c>
      <c r="E315" t="s">
        <v>59</v>
      </c>
      <c r="F315" t="s">
        <v>155</v>
      </c>
      <c r="H315" t="str" cm="1">
        <f t="array" ref="H315">_xlfn.TEXTJOIN(", ", TRUE, IF(I315:M315&gt;0, I$1:M$1, ""))</f>
        <v>Tech Application, Semantic View</v>
      </c>
      <c r="I315">
        <v>0</v>
      </c>
      <c r="J315">
        <v>1</v>
      </c>
      <c r="K315">
        <v>0</v>
      </c>
      <c r="L315">
        <v>0</v>
      </c>
      <c r="M315">
        <v>1</v>
      </c>
      <c r="N315">
        <v>1</v>
      </c>
    </row>
    <row r="316" spans="1:14" x14ac:dyDescent="0.35">
      <c r="A316" t="s">
        <v>6</v>
      </c>
      <c r="B316" t="s">
        <v>770</v>
      </c>
      <c r="D316" t="s">
        <v>771</v>
      </c>
      <c r="E316" t="s">
        <v>230</v>
      </c>
      <c r="F316" t="s">
        <v>55</v>
      </c>
      <c r="H316" t="str" cm="1">
        <f t="array" ref="H316">_xlfn.TEXTJOIN(", ", TRUE, IF(I316:M316&gt;0, I$1:M$1, ""))</f>
        <v>Tech Infrastructure</v>
      </c>
      <c r="I316">
        <v>2</v>
      </c>
      <c r="J316">
        <v>0</v>
      </c>
      <c r="K316">
        <v>0</v>
      </c>
      <c r="L316">
        <v>0</v>
      </c>
      <c r="M316">
        <v>0</v>
      </c>
      <c r="N316">
        <v>0</v>
      </c>
    </row>
    <row r="317" spans="1:14" x14ac:dyDescent="0.35">
      <c r="A317" t="s">
        <v>6</v>
      </c>
      <c r="B317" t="s">
        <v>772</v>
      </c>
      <c r="E317" t="s">
        <v>772</v>
      </c>
      <c r="F317" t="s">
        <v>773</v>
      </c>
      <c r="H317" t="str" cm="1">
        <f t="array" ref="H317">_xlfn.TEXTJOIN(", ", TRUE, IF(I317:M317&gt;0, I$1:M$1, ""))</f>
        <v>Tech Infrastructure</v>
      </c>
      <c r="I317">
        <v>1</v>
      </c>
      <c r="J317">
        <v>0</v>
      </c>
      <c r="K317">
        <v>0</v>
      </c>
      <c r="L317">
        <v>0</v>
      </c>
      <c r="M317">
        <v>0</v>
      </c>
      <c r="N317">
        <v>0</v>
      </c>
    </row>
    <row r="318" spans="1:14" x14ac:dyDescent="0.35">
      <c r="A318" t="s">
        <v>6</v>
      </c>
      <c r="B318" t="s">
        <v>774</v>
      </c>
      <c r="C318" t="s">
        <v>775</v>
      </c>
      <c r="E318" t="s">
        <v>62</v>
      </c>
      <c r="F318" t="s">
        <v>535</v>
      </c>
      <c r="H318" t="str" cm="1">
        <f t="array" ref="H318">_xlfn.TEXTJOIN(", ", TRUE, IF(I318:M318&gt;0, I$1:M$1, ""))</f>
        <v/>
      </c>
      <c r="I318">
        <v>0</v>
      </c>
      <c r="J318">
        <v>0</v>
      </c>
      <c r="K318">
        <v>0</v>
      </c>
      <c r="L318">
        <v>0</v>
      </c>
      <c r="M318">
        <v>0</v>
      </c>
      <c r="N318">
        <v>0</v>
      </c>
    </row>
    <row r="319" spans="1:14" x14ac:dyDescent="0.35">
      <c r="A319" t="s">
        <v>6</v>
      </c>
      <c r="B319" t="s">
        <v>776</v>
      </c>
      <c r="D319" t="s">
        <v>777</v>
      </c>
      <c r="E319" t="s">
        <v>230</v>
      </c>
      <c r="F319" t="s">
        <v>447</v>
      </c>
      <c r="H319" t="str" cm="1">
        <f t="array" ref="H319">_xlfn.TEXTJOIN(", ", TRUE, IF(I319:M319&gt;0, I$1:M$1, ""))</f>
        <v>Tech Infrastructure, Tech Application</v>
      </c>
      <c r="I319">
        <v>1</v>
      </c>
      <c r="J319">
        <v>2</v>
      </c>
      <c r="K319">
        <v>0</v>
      </c>
      <c r="L319">
        <v>0</v>
      </c>
      <c r="M319">
        <v>0</v>
      </c>
      <c r="N319">
        <v>0</v>
      </c>
    </row>
    <row r="320" spans="1:14" x14ac:dyDescent="0.35">
      <c r="A320" t="s">
        <v>6</v>
      </c>
      <c r="B320" t="s">
        <v>778</v>
      </c>
      <c r="D320" t="s">
        <v>779</v>
      </c>
      <c r="E320" t="s">
        <v>50</v>
      </c>
      <c r="F320" t="s">
        <v>55</v>
      </c>
      <c r="H320" t="str" cm="1">
        <f t="array" ref="H320">_xlfn.TEXTJOIN(", ", TRUE, IF(I320:M320&gt;0, I$1:M$1, ""))</f>
        <v>Tech Application</v>
      </c>
      <c r="I320">
        <v>0</v>
      </c>
      <c r="J320">
        <v>4</v>
      </c>
      <c r="K320">
        <v>0</v>
      </c>
      <c r="L320">
        <v>0</v>
      </c>
      <c r="M320">
        <v>0</v>
      </c>
      <c r="N320">
        <v>0</v>
      </c>
    </row>
    <row r="321" spans="1:14" x14ac:dyDescent="0.35">
      <c r="A321" t="s">
        <v>6</v>
      </c>
      <c r="B321" t="s">
        <v>780</v>
      </c>
      <c r="D321" t="s">
        <v>781</v>
      </c>
      <c r="E321" t="s">
        <v>59</v>
      </c>
      <c r="F321" t="s">
        <v>100</v>
      </c>
      <c r="H321" t="str" cm="1">
        <f t="array" ref="H321">_xlfn.TEXTJOIN(", ", TRUE, IF(I321:M321&gt;0, I$1:M$1, ""))</f>
        <v>Tech Application</v>
      </c>
      <c r="I321">
        <v>0</v>
      </c>
      <c r="J321">
        <v>3</v>
      </c>
      <c r="K321">
        <v>0</v>
      </c>
      <c r="L321">
        <v>0</v>
      </c>
      <c r="M321">
        <v>0</v>
      </c>
      <c r="N321">
        <v>0</v>
      </c>
    </row>
    <row r="322" spans="1:14" x14ac:dyDescent="0.35">
      <c r="A322" t="s">
        <v>6</v>
      </c>
      <c r="B322" t="s">
        <v>782</v>
      </c>
      <c r="E322" t="s">
        <v>154</v>
      </c>
      <c r="F322" t="s">
        <v>155</v>
      </c>
      <c r="H322" t="str" cm="1">
        <f t="array" ref="H322">_xlfn.TEXTJOIN(", ", TRUE, IF(I322:M322&gt;0, I$1:M$1, ""))</f>
        <v>Tech Infrastructure</v>
      </c>
      <c r="I322">
        <v>3</v>
      </c>
      <c r="J322">
        <v>0</v>
      </c>
      <c r="K322">
        <v>0</v>
      </c>
      <c r="L322">
        <v>0</v>
      </c>
      <c r="M322">
        <v>0</v>
      </c>
      <c r="N322">
        <v>0</v>
      </c>
    </row>
    <row r="323" spans="1:14" x14ac:dyDescent="0.35">
      <c r="A323" t="s">
        <v>6</v>
      </c>
      <c r="B323" t="s">
        <v>783</v>
      </c>
      <c r="E323" t="s">
        <v>784</v>
      </c>
      <c r="F323" t="s">
        <v>785</v>
      </c>
      <c r="H323" t="str" cm="1">
        <f t="array" ref="H323">_xlfn.TEXTJOIN(", ", TRUE, IF(I323:M323&gt;0, I$1:M$1, ""))</f>
        <v>Semantic View</v>
      </c>
      <c r="I323">
        <v>0</v>
      </c>
      <c r="J323">
        <v>0</v>
      </c>
      <c r="K323">
        <v>0</v>
      </c>
      <c r="L323">
        <v>0</v>
      </c>
      <c r="M323">
        <v>8</v>
      </c>
      <c r="N323">
        <v>0</v>
      </c>
    </row>
    <row r="324" spans="1:14" x14ac:dyDescent="0.35">
      <c r="A324" t="s">
        <v>6</v>
      </c>
      <c r="B324" t="s">
        <v>786</v>
      </c>
      <c r="C324" t="s">
        <v>787</v>
      </c>
      <c r="E324" t="s">
        <v>788</v>
      </c>
      <c r="F324" t="s">
        <v>51</v>
      </c>
      <c r="H324" t="str" cm="1">
        <f t="array" ref="H324">_xlfn.TEXTJOIN(", ", TRUE, IF(I324:M324&gt;0, I$1:M$1, ""))</f>
        <v>Tech Application</v>
      </c>
      <c r="I324">
        <v>0</v>
      </c>
      <c r="J324">
        <v>1</v>
      </c>
      <c r="K324">
        <v>0</v>
      </c>
      <c r="L324">
        <v>0</v>
      </c>
      <c r="M324">
        <v>0</v>
      </c>
      <c r="N324">
        <v>0</v>
      </c>
    </row>
    <row r="325" spans="1:14" x14ac:dyDescent="0.35">
      <c r="A325" t="s">
        <v>6</v>
      </c>
      <c r="B325" t="s">
        <v>789</v>
      </c>
      <c r="D325" t="s">
        <v>790</v>
      </c>
      <c r="E325" t="s">
        <v>69</v>
      </c>
      <c r="F325" t="s">
        <v>55</v>
      </c>
      <c r="H325" t="str" cm="1">
        <f t="array" ref="H325">_xlfn.TEXTJOIN(", ", TRUE, IF(I325:M325&gt;0, I$1:M$1, ""))</f>
        <v>Tech Application</v>
      </c>
      <c r="I325">
        <v>0</v>
      </c>
      <c r="J325">
        <v>8</v>
      </c>
      <c r="K325">
        <v>0</v>
      </c>
      <c r="L325">
        <v>0</v>
      </c>
      <c r="M325">
        <v>0</v>
      </c>
      <c r="N325">
        <v>0</v>
      </c>
    </row>
    <row r="326" spans="1:14" x14ac:dyDescent="0.35">
      <c r="A326" t="s">
        <v>6</v>
      </c>
      <c r="B326" t="s">
        <v>791</v>
      </c>
      <c r="E326" t="s">
        <v>99</v>
      </c>
      <c r="F326" t="s">
        <v>51</v>
      </c>
      <c r="H326" t="str" cm="1">
        <f t="array" ref="H326">_xlfn.TEXTJOIN(", ", TRUE, IF(I326:M326&gt;0, I$1:M$1, ""))</f>
        <v>Tech Application</v>
      </c>
      <c r="I326">
        <v>0</v>
      </c>
      <c r="J326">
        <v>2</v>
      </c>
      <c r="K326">
        <v>0</v>
      </c>
      <c r="L326">
        <v>0</v>
      </c>
      <c r="M326">
        <v>0</v>
      </c>
      <c r="N326">
        <v>0</v>
      </c>
    </row>
    <row r="327" spans="1:14" x14ac:dyDescent="0.35">
      <c r="A327" t="s">
        <v>6</v>
      </c>
      <c r="B327" t="s">
        <v>792</v>
      </c>
      <c r="E327" t="s">
        <v>96</v>
      </c>
      <c r="F327" t="s">
        <v>55</v>
      </c>
      <c r="H327" t="str" cm="1">
        <f t="array" ref="H327">_xlfn.TEXTJOIN(", ", TRUE, IF(I327:M327&gt;0, I$1:M$1, ""))</f>
        <v>Semantic View</v>
      </c>
      <c r="I327">
        <v>0</v>
      </c>
      <c r="J327">
        <v>0</v>
      </c>
      <c r="K327">
        <v>0</v>
      </c>
      <c r="L327">
        <v>0</v>
      </c>
      <c r="M327">
        <v>2</v>
      </c>
      <c r="N327">
        <v>0</v>
      </c>
    </row>
    <row r="328" spans="1:14" x14ac:dyDescent="0.35">
      <c r="A328" t="s">
        <v>6</v>
      </c>
      <c r="B328" t="s">
        <v>793</v>
      </c>
      <c r="C328" t="s">
        <v>794</v>
      </c>
      <c r="E328" t="s">
        <v>50</v>
      </c>
      <c r="F328" t="s">
        <v>80</v>
      </c>
      <c r="H328" t="str" cm="1">
        <f t="array" ref="H328">_xlfn.TEXTJOIN(", ", TRUE, IF(I328:M328&gt;0, I$1:M$1, ""))</f>
        <v>Tech Infrastructure</v>
      </c>
      <c r="I328">
        <v>1</v>
      </c>
      <c r="J328">
        <v>0</v>
      </c>
      <c r="K328">
        <v>0</v>
      </c>
      <c r="L328">
        <v>0</v>
      </c>
      <c r="M328">
        <v>0</v>
      </c>
      <c r="N328">
        <v>0</v>
      </c>
    </row>
    <row r="329" spans="1:14" x14ac:dyDescent="0.35">
      <c r="A329" t="s">
        <v>6</v>
      </c>
      <c r="B329" t="s">
        <v>795</v>
      </c>
      <c r="D329" t="s">
        <v>796</v>
      </c>
      <c r="E329" t="s">
        <v>59</v>
      </c>
      <c r="F329" t="s">
        <v>100</v>
      </c>
      <c r="H329" t="str" cm="1">
        <f t="array" ref="H329">_xlfn.TEXTJOIN(", ", TRUE, IF(I329:M329&gt;0, I$1:M$1, ""))</f>
        <v>Tech Application</v>
      </c>
      <c r="I329">
        <v>0</v>
      </c>
      <c r="J329">
        <v>1</v>
      </c>
      <c r="K329">
        <v>0</v>
      </c>
      <c r="L329">
        <v>0</v>
      </c>
      <c r="M329">
        <v>0</v>
      </c>
      <c r="N329">
        <v>1</v>
      </c>
    </row>
    <row r="330" spans="1:14" x14ac:dyDescent="0.35">
      <c r="A330" t="s">
        <v>6</v>
      </c>
      <c r="B330" t="s">
        <v>797</v>
      </c>
      <c r="C330" t="s">
        <v>797</v>
      </c>
      <c r="E330" t="s">
        <v>62</v>
      </c>
      <c r="F330" t="s">
        <v>51</v>
      </c>
      <c r="H330" t="str" cm="1">
        <f t="array" ref="H330">_xlfn.TEXTJOIN(", ", TRUE, IF(I330:M330&gt;0, I$1:M$1, ""))</f>
        <v>Semantic View</v>
      </c>
      <c r="I330">
        <v>0</v>
      </c>
      <c r="J330">
        <v>0</v>
      </c>
      <c r="K330">
        <v>0</v>
      </c>
      <c r="L330">
        <v>0</v>
      </c>
      <c r="M330">
        <v>1</v>
      </c>
      <c r="N330">
        <v>0</v>
      </c>
    </row>
    <row r="331" spans="1:14" x14ac:dyDescent="0.35">
      <c r="A331" t="s">
        <v>6</v>
      </c>
      <c r="B331" t="s">
        <v>798</v>
      </c>
      <c r="D331" t="s">
        <v>799</v>
      </c>
      <c r="E331" t="s">
        <v>230</v>
      </c>
      <c r="F331" t="s">
        <v>55</v>
      </c>
      <c r="H331" t="str" cm="1">
        <f t="array" ref="H331">_xlfn.TEXTJOIN(", ", TRUE, IF(I331:M331&gt;0, I$1:M$1, ""))</f>
        <v>Semantic View</v>
      </c>
      <c r="I331">
        <v>0</v>
      </c>
      <c r="J331">
        <v>0</v>
      </c>
      <c r="K331">
        <v>0</v>
      </c>
      <c r="L331">
        <v>0</v>
      </c>
      <c r="M331">
        <v>2</v>
      </c>
      <c r="N331">
        <v>0</v>
      </c>
    </row>
    <row r="332" spans="1:14" x14ac:dyDescent="0.35">
      <c r="A332" t="s">
        <v>6</v>
      </c>
      <c r="B332" t="s">
        <v>800</v>
      </c>
      <c r="C332" t="s">
        <v>801</v>
      </c>
      <c r="E332" t="s">
        <v>121</v>
      </c>
      <c r="F332" t="s">
        <v>97</v>
      </c>
      <c r="H332" t="str" cm="1">
        <f t="array" ref="H332">_xlfn.TEXTJOIN(", ", TRUE, IF(I332:M332&gt;0, I$1:M$1, ""))</f>
        <v/>
      </c>
      <c r="I332">
        <v>0</v>
      </c>
      <c r="J332">
        <v>0</v>
      </c>
      <c r="K332">
        <v>0</v>
      </c>
      <c r="L332">
        <v>0</v>
      </c>
      <c r="M332">
        <v>0</v>
      </c>
      <c r="N332">
        <v>0</v>
      </c>
    </row>
    <row r="333" spans="1:14" x14ac:dyDescent="0.35">
      <c r="A333" t="s">
        <v>6</v>
      </c>
      <c r="B333" t="s">
        <v>802</v>
      </c>
      <c r="C333" t="s">
        <v>803</v>
      </c>
      <c r="E333" t="s">
        <v>50</v>
      </c>
      <c r="F333" t="s">
        <v>92</v>
      </c>
      <c r="H333" t="str" cm="1">
        <f t="array" ref="H333">_xlfn.TEXTJOIN(", ", TRUE, IF(I333:M333&gt;0, I$1:M$1, ""))</f>
        <v>Tech Infrastructure</v>
      </c>
      <c r="I333">
        <v>2</v>
      </c>
      <c r="J333">
        <v>0</v>
      </c>
      <c r="K333">
        <v>0</v>
      </c>
      <c r="L333">
        <v>0</v>
      </c>
      <c r="M333">
        <v>0</v>
      </c>
      <c r="N333">
        <v>0</v>
      </c>
    </row>
    <row r="334" spans="1:14" x14ac:dyDescent="0.35">
      <c r="A334" t="s">
        <v>6</v>
      </c>
      <c r="B334" t="s">
        <v>804</v>
      </c>
      <c r="C334" t="s">
        <v>805</v>
      </c>
      <c r="E334" t="s">
        <v>806</v>
      </c>
      <c r="F334" t="s">
        <v>55</v>
      </c>
      <c r="H334" t="str" cm="1">
        <f t="array" ref="H334">_xlfn.TEXTJOIN(", ", TRUE, IF(I334:M334&gt;0, I$1:M$1, ""))</f>
        <v>Legal View</v>
      </c>
      <c r="I334">
        <v>0</v>
      </c>
      <c r="J334">
        <v>0</v>
      </c>
      <c r="K334">
        <v>1</v>
      </c>
      <c r="L334">
        <v>0</v>
      </c>
      <c r="M334">
        <v>0</v>
      </c>
      <c r="N334">
        <v>0</v>
      </c>
    </row>
    <row r="335" spans="1:14" x14ac:dyDescent="0.35">
      <c r="A335" t="s">
        <v>6</v>
      </c>
      <c r="B335" t="s">
        <v>807</v>
      </c>
      <c r="D335" t="s">
        <v>808</v>
      </c>
      <c r="E335" t="s">
        <v>69</v>
      </c>
      <c r="F335" t="s">
        <v>55</v>
      </c>
      <c r="H335" t="str" cm="1">
        <f t="array" ref="H335">_xlfn.TEXTJOIN(", ", TRUE, IF(I335:M335&gt;0, I$1:M$1, ""))</f>
        <v>Tech Infrastructure</v>
      </c>
      <c r="I335">
        <v>1</v>
      </c>
      <c r="J335">
        <v>0</v>
      </c>
      <c r="K335">
        <v>0</v>
      </c>
      <c r="L335">
        <v>0</v>
      </c>
      <c r="M335">
        <v>0</v>
      </c>
      <c r="N335">
        <v>0</v>
      </c>
    </row>
    <row r="336" spans="1:14" x14ac:dyDescent="0.35">
      <c r="A336" t="s">
        <v>6</v>
      </c>
      <c r="B336" t="s">
        <v>809</v>
      </c>
      <c r="C336" t="s">
        <v>810</v>
      </c>
      <c r="E336" t="s">
        <v>96</v>
      </c>
      <c r="F336" t="s">
        <v>180</v>
      </c>
      <c r="H336" t="str" cm="1">
        <f t="array" ref="H336">_xlfn.TEXTJOIN(", ", TRUE, IF(I336:M336&gt;0, I$1:M$1, ""))</f>
        <v>Tech Application</v>
      </c>
      <c r="I336">
        <v>0</v>
      </c>
      <c r="J336">
        <v>4</v>
      </c>
      <c r="K336">
        <v>0</v>
      </c>
      <c r="L336">
        <v>0</v>
      </c>
      <c r="M336">
        <v>0</v>
      </c>
      <c r="N336">
        <v>0</v>
      </c>
    </row>
    <row r="337" spans="1:14" x14ac:dyDescent="0.35">
      <c r="A337" t="s">
        <v>6</v>
      </c>
      <c r="B337" t="s">
        <v>811</v>
      </c>
      <c r="C337" t="s">
        <v>812</v>
      </c>
      <c r="E337" t="s">
        <v>813</v>
      </c>
      <c r="F337" t="s">
        <v>111</v>
      </c>
      <c r="H337" t="str" cm="1">
        <f t="array" ref="H337">_xlfn.TEXTJOIN(", ", TRUE, IF(I337:M337&gt;0, I$1:M$1, ""))</f>
        <v>Tech Application</v>
      </c>
      <c r="I337">
        <v>0</v>
      </c>
      <c r="J337">
        <v>2</v>
      </c>
      <c r="K337">
        <v>0</v>
      </c>
      <c r="L337">
        <v>0</v>
      </c>
      <c r="M337">
        <v>0</v>
      </c>
      <c r="N337">
        <v>0</v>
      </c>
    </row>
    <row r="338" spans="1:14" x14ac:dyDescent="0.35">
      <c r="A338" t="s">
        <v>6</v>
      </c>
      <c r="B338" t="s">
        <v>814</v>
      </c>
      <c r="E338" t="s">
        <v>121</v>
      </c>
      <c r="F338" t="s">
        <v>55</v>
      </c>
      <c r="H338" t="str" cm="1">
        <f t="array" ref="H338">_xlfn.TEXTJOIN(", ", TRUE, IF(I338:M338&gt;0, I$1:M$1, ""))</f>
        <v>Organisational View, Semantic View</v>
      </c>
      <c r="I338">
        <v>0</v>
      </c>
      <c r="J338">
        <v>0</v>
      </c>
      <c r="K338">
        <v>0</v>
      </c>
      <c r="L338">
        <v>1</v>
      </c>
      <c r="M338">
        <v>1</v>
      </c>
      <c r="N338">
        <v>0</v>
      </c>
    </row>
    <row r="339" spans="1:14" x14ac:dyDescent="0.35">
      <c r="A339" t="s">
        <v>6</v>
      </c>
      <c r="B339" t="s">
        <v>815</v>
      </c>
      <c r="C339" t="s">
        <v>816</v>
      </c>
      <c r="E339" t="s">
        <v>817</v>
      </c>
      <c r="F339" t="s">
        <v>55</v>
      </c>
      <c r="H339" t="str" cm="1">
        <f t="array" ref="H339">_xlfn.TEXTJOIN(", ", TRUE, IF(I339:M339&gt;0, I$1:M$1, ""))</f>
        <v>Semantic View</v>
      </c>
      <c r="I339">
        <v>0</v>
      </c>
      <c r="J339">
        <v>0</v>
      </c>
      <c r="K339">
        <v>0</v>
      </c>
      <c r="L339">
        <v>0</v>
      </c>
      <c r="M339">
        <v>1</v>
      </c>
      <c r="N339">
        <v>0</v>
      </c>
    </row>
    <row r="340" spans="1:14" x14ac:dyDescent="0.35">
      <c r="A340" t="s">
        <v>6</v>
      </c>
      <c r="B340" t="s">
        <v>818</v>
      </c>
      <c r="C340" t="s">
        <v>819</v>
      </c>
      <c r="E340" t="s">
        <v>50</v>
      </c>
      <c r="F340" t="s">
        <v>51</v>
      </c>
      <c r="H340" t="str" cm="1">
        <f t="array" ref="H340">_xlfn.TEXTJOIN(", ", TRUE, IF(I340:M340&gt;0, I$1:M$1, ""))</f>
        <v>Tech Infrastructure</v>
      </c>
      <c r="I340">
        <v>1</v>
      </c>
      <c r="J340">
        <v>0</v>
      </c>
      <c r="K340">
        <v>0</v>
      </c>
      <c r="L340">
        <v>0</v>
      </c>
      <c r="M340">
        <v>0</v>
      </c>
      <c r="N340">
        <v>0</v>
      </c>
    </row>
    <row r="341" spans="1:14" x14ac:dyDescent="0.35">
      <c r="A341" t="s">
        <v>6</v>
      </c>
      <c r="B341" t="s">
        <v>820</v>
      </c>
      <c r="C341" t="s">
        <v>820</v>
      </c>
      <c r="E341" t="s">
        <v>121</v>
      </c>
      <c r="F341" t="s">
        <v>97</v>
      </c>
      <c r="H341" t="str" cm="1">
        <f t="array" ref="H341">_xlfn.TEXTJOIN(", ", TRUE, IF(I341:M341&gt;0, I$1:M$1, ""))</f>
        <v>Semantic View</v>
      </c>
      <c r="I341">
        <v>0</v>
      </c>
      <c r="J341">
        <v>0</v>
      </c>
      <c r="K341">
        <v>0</v>
      </c>
      <c r="L341">
        <v>0</v>
      </c>
      <c r="M341">
        <v>2</v>
      </c>
      <c r="N341">
        <v>0</v>
      </c>
    </row>
    <row r="342" spans="1:14" x14ac:dyDescent="0.35">
      <c r="A342" t="s">
        <v>6</v>
      </c>
      <c r="B342" t="s">
        <v>821</v>
      </c>
      <c r="D342" t="s">
        <v>822</v>
      </c>
      <c r="E342" t="s">
        <v>69</v>
      </c>
      <c r="F342" t="s">
        <v>55</v>
      </c>
      <c r="H342" t="str" cm="1">
        <f t="array" ref="H342">_xlfn.TEXTJOIN(", ", TRUE, IF(I342:M342&gt;0, I$1:M$1, ""))</f>
        <v>Tech Application</v>
      </c>
      <c r="I342">
        <v>0</v>
      </c>
      <c r="J342">
        <v>3</v>
      </c>
      <c r="K342">
        <v>0</v>
      </c>
      <c r="L342">
        <v>0</v>
      </c>
      <c r="M342">
        <v>0</v>
      </c>
      <c r="N342">
        <v>0</v>
      </c>
    </row>
    <row r="343" spans="1:14" x14ac:dyDescent="0.35">
      <c r="A343" t="s">
        <v>6</v>
      </c>
      <c r="B343" t="s">
        <v>823</v>
      </c>
      <c r="C343" t="s">
        <v>824</v>
      </c>
      <c r="E343" t="s">
        <v>121</v>
      </c>
      <c r="F343" t="s">
        <v>55</v>
      </c>
      <c r="H343" t="str" cm="1">
        <f t="array" ref="H343">_xlfn.TEXTJOIN(", ", TRUE, IF(I343:M343&gt;0, I$1:M$1, ""))</f>
        <v>Tech Infrastructure, Tech Application</v>
      </c>
      <c r="I343">
        <v>1</v>
      </c>
      <c r="J343">
        <v>2</v>
      </c>
      <c r="K343">
        <v>0</v>
      </c>
      <c r="L343">
        <v>0</v>
      </c>
      <c r="M343">
        <v>0</v>
      </c>
      <c r="N343">
        <v>1</v>
      </c>
    </row>
    <row r="344" spans="1:14" x14ac:dyDescent="0.35">
      <c r="A344" t="s">
        <v>6</v>
      </c>
      <c r="B344" t="s">
        <v>825</v>
      </c>
      <c r="C344" t="s">
        <v>826</v>
      </c>
      <c r="E344" t="s">
        <v>827</v>
      </c>
      <c r="F344" t="s">
        <v>55</v>
      </c>
      <c r="H344" t="str" cm="1">
        <f t="array" ref="H344">_xlfn.TEXTJOIN(", ", TRUE, IF(I344:M344&gt;0, I$1:M$1, ""))</f>
        <v>Tech Infrastructure, Tech Application</v>
      </c>
      <c r="I344">
        <v>1</v>
      </c>
      <c r="J344">
        <v>3</v>
      </c>
      <c r="K344">
        <v>0</v>
      </c>
      <c r="L344">
        <v>0</v>
      </c>
      <c r="M344">
        <v>0</v>
      </c>
      <c r="N344">
        <v>0</v>
      </c>
    </row>
    <row r="345" spans="1:14" x14ac:dyDescent="0.35">
      <c r="A345" t="s">
        <v>6</v>
      </c>
      <c r="B345" t="s">
        <v>828</v>
      </c>
      <c r="C345" t="s">
        <v>829</v>
      </c>
      <c r="E345" t="s">
        <v>455</v>
      </c>
      <c r="F345" t="s">
        <v>180</v>
      </c>
      <c r="H345" t="str" cm="1">
        <f t="array" ref="H345">_xlfn.TEXTJOIN(", ", TRUE, IF(I345:M345&gt;0, I$1:M$1, ""))</f>
        <v>Tech Application</v>
      </c>
      <c r="I345">
        <v>0</v>
      </c>
      <c r="J345">
        <v>2</v>
      </c>
      <c r="K345">
        <v>0</v>
      </c>
      <c r="L345">
        <v>0</v>
      </c>
      <c r="M345">
        <v>0</v>
      </c>
      <c r="N345">
        <v>0</v>
      </c>
    </row>
    <row r="346" spans="1:14" x14ac:dyDescent="0.35">
      <c r="A346" t="s">
        <v>6</v>
      </c>
      <c r="B346" t="s">
        <v>830</v>
      </c>
      <c r="C346" t="s">
        <v>831</v>
      </c>
      <c r="E346" t="s">
        <v>832</v>
      </c>
      <c r="F346" t="s">
        <v>51</v>
      </c>
      <c r="H346" t="str" cm="1">
        <f t="array" ref="H346">_xlfn.TEXTJOIN(", ", TRUE, IF(I346:M346&gt;0, I$1:M$1, ""))</f>
        <v>Tech Application</v>
      </c>
      <c r="I346">
        <v>0</v>
      </c>
      <c r="J346">
        <v>2</v>
      </c>
      <c r="K346">
        <v>0</v>
      </c>
      <c r="L346">
        <v>0</v>
      </c>
      <c r="M346">
        <v>0</v>
      </c>
      <c r="N346">
        <v>0</v>
      </c>
    </row>
    <row r="347" spans="1:14" x14ac:dyDescent="0.35">
      <c r="A347" t="s">
        <v>6</v>
      </c>
      <c r="B347" t="s">
        <v>833</v>
      </c>
      <c r="D347" t="s">
        <v>834</v>
      </c>
      <c r="E347" t="s">
        <v>489</v>
      </c>
      <c r="F347" t="s">
        <v>55</v>
      </c>
      <c r="H347" t="str" cm="1">
        <f t="array" ref="H347">_xlfn.TEXTJOIN(", ", TRUE, IF(I347:M347&gt;0, I$1:M$1, ""))</f>
        <v>Tech Application</v>
      </c>
      <c r="I347">
        <v>0</v>
      </c>
      <c r="J347">
        <v>4</v>
      </c>
      <c r="K347">
        <v>0</v>
      </c>
      <c r="L347">
        <v>0</v>
      </c>
      <c r="M347">
        <v>0</v>
      </c>
      <c r="N347">
        <v>0</v>
      </c>
    </row>
    <row r="348" spans="1:14" x14ac:dyDescent="0.35">
      <c r="A348" t="s">
        <v>6</v>
      </c>
      <c r="B348" t="s">
        <v>835</v>
      </c>
      <c r="E348" t="s">
        <v>148</v>
      </c>
      <c r="F348" t="s">
        <v>836</v>
      </c>
      <c r="H348" t="str" cm="1">
        <f t="array" ref="H348">_xlfn.TEXTJOIN(", ", TRUE, IF(I348:M348&gt;0, I$1:M$1, ""))</f>
        <v>Tech Application</v>
      </c>
      <c r="I348">
        <v>0</v>
      </c>
      <c r="J348">
        <v>5</v>
      </c>
      <c r="K348">
        <v>0</v>
      </c>
      <c r="L348">
        <v>0</v>
      </c>
      <c r="M348">
        <v>0</v>
      </c>
      <c r="N348">
        <v>0</v>
      </c>
    </row>
    <row r="349" spans="1:14" x14ac:dyDescent="0.35">
      <c r="A349" t="s">
        <v>6</v>
      </c>
      <c r="B349" t="s">
        <v>837</v>
      </c>
      <c r="E349" t="s">
        <v>148</v>
      </c>
      <c r="F349" t="s">
        <v>838</v>
      </c>
      <c r="H349" t="str" cm="1">
        <f t="array" ref="H349">_xlfn.TEXTJOIN(", ", TRUE, IF(I349:M349&gt;0, I$1:M$1, ""))</f>
        <v>Tech Application, Semantic View</v>
      </c>
      <c r="I349">
        <v>0</v>
      </c>
      <c r="J349">
        <v>2</v>
      </c>
      <c r="K349">
        <v>0</v>
      </c>
      <c r="L349">
        <v>0</v>
      </c>
      <c r="M349">
        <v>1</v>
      </c>
      <c r="N349">
        <v>0</v>
      </c>
    </row>
    <row r="350" spans="1:14" x14ac:dyDescent="0.35">
      <c r="A350" t="s">
        <v>6</v>
      </c>
      <c r="B350" t="s">
        <v>839</v>
      </c>
      <c r="E350" t="s">
        <v>840</v>
      </c>
      <c r="F350" t="s">
        <v>55</v>
      </c>
      <c r="H350" t="str" cm="1">
        <f t="array" ref="H350">_xlfn.TEXTJOIN(", ", TRUE, IF(I350:M350&gt;0, I$1:M$1, ""))</f>
        <v>Tech Application</v>
      </c>
      <c r="I350">
        <v>0</v>
      </c>
      <c r="J350">
        <v>3</v>
      </c>
      <c r="K350">
        <v>0</v>
      </c>
      <c r="L350">
        <v>0</v>
      </c>
      <c r="M350">
        <v>0</v>
      </c>
      <c r="N350">
        <v>0</v>
      </c>
    </row>
    <row r="351" spans="1:14" x14ac:dyDescent="0.35">
      <c r="A351" t="s">
        <v>6</v>
      </c>
      <c r="B351" t="s">
        <v>841</v>
      </c>
      <c r="C351" t="s">
        <v>842</v>
      </c>
      <c r="E351" t="s">
        <v>843</v>
      </c>
      <c r="F351" t="s">
        <v>844</v>
      </c>
      <c r="H351" t="str" cm="1">
        <f t="array" ref="H351">_xlfn.TEXTJOIN(", ", TRUE, IF(I351:M351&gt;0, I$1:M$1, ""))</f>
        <v>Tech Infrastructure</v>
      </c>
      <c r="I351">
        <v>3</v>
      </c>
      <c r="J351">
        <v>0</v>
      </c>
      <c r="K351">
        <v>0</v>
      </c>
      <c r="L351">
        <v>0</v>
      </c>
      <c r="M351">
        <v>0</v>
      </c>
      <c r="N351">
        <v>1</v>
      </c>
    </row>
    <row r="352" spans="1:14" x14ac:dyDescent="0.35">
      <c r="A352" t="s">
        <v>6</v>
      </c>
      <c r="B352" t="s">
        <v>845</v>
      </c>
      <c r="E352" t="s">
        <v>846</v>
      </c>
      <c r="F352" t="s">
        <v>55</v>
      </c>
      <c r="H352" t="str" cm="1">
        <f t="array" ref="H352">_xlfn.TEXTJOIN(", ", TRUE, IF(I352:M352&gt;0, I$1:M$1, ""))</f>
        <v>Tech Application</v>
      </c>
      <c r="I352">
        <v>0</v>
      </c>
      <c r="J352">
        <v>2</v>
      </c>
      <c r="K352">
        <v>0</v>
      </c>
      <c r="L352">
        <v>0</v>
      </c>
      <c r="M352">
        <v>0</v>
      </c>
      <c r="N352">
        <v>0</v>
      </c>
    </row>
    <row r="353" spans="1:14" x14ac:dyDescent="0.35">
      <c r="A353" t="s">
        <v>6</v>
      </c>
      <c r="B353" t="s">
        <v>847</v>
      </c>
      <c r="C353" t="s">
        <v>848</v>
      </c>
      <c r="E353" t="s">
        <v>308</v>
      </c>
      <c r="F353" t="s">
        <v>55</v>
      </c>
      <c r="H353" t="str" cm="1">
        <f t="array" ref="H353">_xlfn.TEXTJOIN(", ", TRUE, IF(I353:M353&gt;0, I$1:M$1, ""))</f>
        <v>Semantic View</v>
      </c>
      <c r="I353">
        <v>0</v>
      </c>
      <c r="J353">
        <v>0</v>
      </c>
      <c r="K353">
        <v>0</v>
      </c>
      <c r="L353">
        <v>0</v>
      </c>
      <c r="M353">
        <v>3</v>
      </c>
      <c r="N353">
        <v>0</v>
      </c>
    </row>
    <row r="354" spans="1:14" x14ac:dyDescent="0.35">
      <c r="A354" t="s">
        <v>6</v>
      </c>
      <c r="B354" t="s">
        <v>849</v>
      </c>
      <c r="D354" t="s">
        <v>850</v>
      </c>
      <c r="E354" t="s">
        <v>50</v>
      </c>
      <c r="F354" t="s">
        <v>851</v>
      </c>
      <c r="H354" t="str" cm="1">
        <f t="array" ref="H354">_xlfn.TEXTJOIN(", ", TRUE, IF(I354:M354&gt;0, I$1:M$1, ""))</f>
        <v>Tech Application</v>
      </c>
      <c r="I354">
        <v>0</v>
      </c>
      <c r="J354">
        <v>2</v>
      </c>
      <c r="K354">
        <v>0</v>
      </c>
      <c r="L354">
        <v>0</v>
      </c>
      <c r="M354">
        <v>0</v>
      </c>
      <c r="N354">
        <v>0</v>
      </c>
    </row>
    <row r="355" spans="1:14" x14ac:dyDescent="0.35">
      <c r="A355" t="s">
        <v>6</v>
      </c>
      <c r="B355" t="s">
        <v>852</v>
      </c>
      <c r="C355" t="s">
        <v>471</v>
      </c>
      <c r="D355" t="s">
        <v>853</v>
      </c>
      <c r="E355" t="s">
        <v>50</v>
      </c>
      <c r="F355" t="s">
        <v>558</v>
      </c>
      <c r="H355" t="str" cm="1">
        <f t="array" ref="H355">_xlfn.TEXTJOIN(", ", TRUE, IF(I355:M355&gt;0, I$1:M$1, ""))</f>
        <v>Tech Application</v>
      </c>
      <c r="I355">
        <v>0</v>
      </c>
      <c r="J355">
        <v>2</v>
      </c>
      <c r="K355">
        <v>0</v>
      </c>
      <c r="L355">
        <v>0</v>
      </c>
      <c r="M355">
        <v>0</v>
      </c>
      <c r="N355">
        <v>1</v>
      </c>
    </row>
    <row r="356" spans="1:14" x14ac:dyDescent="0.35">
      <c r="A356" t="s">
        <v>6</v>
      </c>
      <c r="B356" t="s">
        <v>854</v>
      </c>
      <c r="C356" t="s">
        <v>854</v>
      </c>
      <c r="E356" t="s">
        <v>345</v>
      </c>
      <c r="F356" t="s">
        <v>55</v>
      </c>
      <c r="H356" t="str" cm="1">
        <f t="array" ref="H356">_xlfn.TEXTJOIN(", ", TRUE, IF(I356:M356&gt;0, I$1:M$1, ""))</f>
        <v>Semantic View</v>
      </c>
      <c r="I356">
        <v>0</v>
      </c>
      <c r="J356">
        <v>0</v>
      </c>
      <c r="K356">
        <v>0</v>
      </c>
      <c r="L356">
        <v>0</v>
      </c>
      <c r="M356">
        <v>1</v>
      </c>
      <c r="N356">
        <v>0</v>
      </c>
    </row>
    <row r="357" spans="1:14" x14ac:dyDescent="0.35">
      <c r="A357" t="s">
        <v>6</v>
      </c>
      <c r="B357" t="s">
        <v>855</v>
      </c>
      <c r="D357" t="s">
        <v>856</v>
      </c>
      <c r="E357" t="s">
        <v>62</v>
      </c>
      <c r="F357" t="s">
        <v>857</v>
      </c>
      <c r="H357" t="str" cm="1">
        <f t="array" ref="H357">_xlfn.TEXTJOIN(", ", TRUE, IF(I357:M357&gt;0, I$1:M$1, ""))</f>
        <v>Legal View</v>
      </c>
      <c r="I357">
        <v>0</v>
      </c>
      <c r="J357">
        <v>0</v>
      </c>
      <c r="K357">
        <v>1</v>
      </c>
      <c r="L357">
        <v>0</v>
      </c>
      <c r="M357">
        <v>0</v>
      </c>
      <c r="N357">
        <v>0</v>
      </c>
    </row>
    <row r="358" spans="1:14" x14ac:dyDescent="0.35">
      <c r="A358" t="s">
        <v>6</v>
      </c>
      <c r="B358" t="s">
        <v>858</v>
      </c>
      <c r="E358" t="s">
        <v>121</v>
      </c>
      <c r="F358" t="s">
        <v>97</v>
      </c>
      <c r="H358" t="str" cm="1">
        <f t="array" ref="H358">_xlfn.TEXTJOIN(", ", TRUE, IF(I358:M358&gt;0, I$1:M$1, ""))</f>
        <v>Tech Application</v>
      </c>
      <c r="I358">
        <v>0</v>
      </c>
      <c r="J358">
        <v>6</v>
      </c>
      <c r="K358">
        <v>0</v>
      </c>
      <c r="L358">
        <v>0</v>
      </c>
      <c r="M358">
        <v>0</v>
      </c>
      <c r="N358">
        <v>0</v>
      </c>
    </row>
    <row r="359" spans="1:14" x14ac:dyDescent="0.35">
      <c r="A359" t="s">
        <v>6</v>
      </c>
      <c r="B359" t="s">
        <v>859</v>
      </c>
      <c r="D359" t="s">
        <v>860</v>
      </c>
      <c r="E359" t="s">
        <v>59</v>
      </c>
      <c r="F359" t="s">
        <v>100</v>
      </c>
      <c r="H359" t="str" cm="1">
        <f t="array" ref="H359">_xlfn.TEXTJOIN(", ", TRUE, IF(I359:M359&gt;0, I$1:M$1, ""))</f>
        <v>Tech Application</v>
      </c>
      <c r="I359">
        <v>0</v>
      </c>
      <c r="J359">
        <v>4</v>
      </c>
      <c r="K359">
        <v>0</v>
      </c>
      <c r="L359">
        <v>0</v>
      </c>
      <c r="M359">
        <v>0</v>
      </c>
      <c r="N359">
        <v>0</v>
      </c>
    </row>
    <row r="360" spans="1:14" x14ac:dyDescent="0.35">
      <c r="A360" t="s">
        <v>6</v>
      </c>
      <c r="B360" t="s">
        <v>861</v>
      </c>
      <c r="C360" t="s">
        <v>862</v>
      </c>
      <c r="E360" t="s">
        <v>62</v>
      </c>
      <c r="F360" t="s">
        <v>97</v>
      </c>
      <c r="H360" t="str" cm="1">
        <f t="array" ref="H360">_xlfn.TEXTJOIN(", ", TRUE, IF(I360:M360&gt;0, I$1:M$1, ""))</f>
        <v>Semantic View</v>
      </c>
      <c r="I360">
        <v>0</v>
      </c>
      <c r="J360">
        <v>0</v>
      </c>
      <c r="K360">
        <v>0</v>
      </c>
      <c r="L360">
        <v>0</v>
      </c>
      <c r="M360">
        <v>10</v>
      </c>
      <c r="N360">
        <v>0</v>
      </c>
    </row>
    <row r="361" spans="1:14" x14ac:dyDescent="0.35">
      <c r="A361" t="s">
        <v>6</v>
      </c>
      <c r="B361" t="s">
        <v>863</v>
      </c>
      <c r="E361" t="s">
        <v>864</v>
      </c>
      <c r="F361" t="s">
        <v>92</v>
      </c>
      <c r="H361" t="str" cm="1">
        <f t="array" ref="H361">_xlfn.TEXTJOIN(", ", TRUE, IF(I361:M361&gt;0, I$1:M$1, ""))</f>
        <v>Tech Application, Semantic View</v>
      </c>
      <c r="I361">
        <v>0</v>
      </c>
      <c r="J361">
        <v>2</v>
      </c>
      <c r="K361">
        <v>0</v>
      </c>
      <c r="L361">
        <v>0</v>
      </c>
      <c r="M361">
        <v>2</v>
      </c>
      <c r="N361">
        <v>0</v>
      </c>
    </row>
    <row r="362" spans="1:14" x14ac:dyDescent="0.35">
      <c r="A362" t="s">
        <v>6</v>
      </c>
      <c r="B362" t="s">
        <v>865</v>
      </c>
      <c r="E362" t="s">
        <v>62</v>
      </c>
      <c r="F362" t="s">
        <v>55</v>
      </c>
      <c r="H362" t="str" cm="1">
        <f t="array" ref="H362">_xlfn.TEXTJOIN(", ", TRUE, IF(I362:M362&gt;0, I$1:M$1, ""))</f>
        <v>Legal View</v>
      </c>
      <c r="I362">
        <v>0</v>
      </c>
      <c r="J362">
        <v>0</v>
      </c>
      <c r="K362">
        <v>1</v>
      </c>
      <c r="L362">
        <v>0</v>
      </c>
      <c r="M362">
        <v>0</v>
      </c>
      <c r="N362">
        <v>0</v>
      </c>
    </row>
    <row r="363" spans="1:14" x14ac:dyDescent="0.35">
      <c r="A363" t="s">
        <v>6</v>
      </c>
      <c r="B363" t="s">
        <v>866</v>
      </c>
      <c r="C363" t="s">
        <v>867</v>
      </c>
      <c r="E363" t="s">
        <v>62</v>
      </c>
      <c r="F363" t="s">
        <v>55</v>
      </c>
      <c r="H363" t="str" cm="1">
        <f t="array" ref="H363">_xlfn.TEXTJOIN(", ", TRUE, IF(I363:M363&gt;0, I$1:M$1, ""))</f>
        <v>Tech Application</v>
      </c>
      <c r="I363">
        <v>0</v>
      </c>
      <c r="J363">
        <v>2</v>
      </c>
      <c r="K363">
        <v>0</v>
      </c>
      <c r="L363">
        <v>0</v>
      </c>
      <c r="M363">
        <v>0</v>
      </c>
      <c r="N363">
        <v>0</v>
      </c>
    </row>
    <row r="364" spans="1:14" x14ac:dyDescent="0.35">
      <c r="A364" t="s">
        <v>6</v>
      </c>
      <c r="B364" t="s">
        <v>868</v>
      </c>
      <c r="C364" t="s">
        <v>869</v>
      </c>
      <c r="D364" t="s">
        <v>870</v>
      </c>
      <c r="E364" t="s">
        <v>230</v>
      </c>
      <c r="F364" t="s">
        <v>51</v>
      </c>
      <c r="H364" t="str" cm="1">
        <f t="array" ref="H364">_xlfn.TEXTJOIN(", ", TRUE, IF(I364:M364&gt;0, I$1:M$1, ""))</f>
        <v>Tech Application</v>
      </c>
      <c r="I364">
        <v>0</v>
      </c>
      <c r="J364">
        <v>1</v>
      </c>
      <c r="K364">
        <v>0</v>
      </c>
      <c r="L364">
        <v>0</v>
      </c>
      <c r="M364">
        <v>0</v>
      </c>
      <c r="N364">
        <v>0</v>
      </c>
    </row>
    <row r="365" spans="1:14" x14ac:dyDescent="0.35">
      <c r="A365" t="s">
        <v>6</v>
      </c>
      <c r="B365" t="s">
        <v>871</v>
      </c>
      <c r="C365" t="s">
        <v>872</v>
      </c>
      <c r="E365" t="s">
        <v>86</v>
      </c>
      <c r="F365" t="s">
        <v>55</v>
      </c>
      <c r="H365" t="str" cm="1">
        <f t="array" ref="H365">_xlfn.TEXTJOIN(", ", TRUE, IF(I365:M365&gt;0, I$1:M$1, ""))</f>
        <v>Tech Application</v>
      </c>
      <c r="I365">
        <v>0</v>
      </c>
      <c r="J365">
        <v>2</v>
      </c>
      <c r="K365">
        <v>0</v>
      </c>
      <c r="L365">
        <v>0</v>
      </c>
      <c r="M365">
        <v>0</v>
      </c>
      <c r="N365">
        <v>0</v>
      </c>
    </row>
    <row r="366" spans="1:14" x14ac:dyDescent="0.35">
      <c r="A366" t="s">
        <v>6</v>
      </c>
      <c r="B366" t="s">
        <v>873</v>
      </c>
      <c r="E366" t="s">
        <v>50</v>
      </c>
      <c r="F366" t="s">
        <v>55</v>
      </c>
      <c r="H366" t="str" cm="1">
        <f t="array" ref="H366">_xlfn.TEXTJOIN(", ", TRUE, IF(I366:M366&gt;0, I$1:M$1, ""))</f>
        <v>Tech Application, Semantic View</v>
      </c>
      <c r="I366">
        <v>0</v>
      </c>
      <c r="J366">
        <v>2</v>
      </c>
      <c r="K366">
        <v>0</v>
      </c>
      <c r="L366">
        <v>0</v>
      </c>
      <c r="M366">
        <v>1</v>
      </c>
      <c r="N366">
        <v>0</v>
      </c>
    </row>
    <row r="367" spans="1:14" x14ac:dyDescent="0.35">
      <c r="A367" t="s">
        <v>6</v>
      </c>
      <c r="B367" t="s">
        <v>874</v>
      </c>
      <c r="D367" t="s">
        <v>875</v>
      </c>
      <c r="E367" t="s">
        <v>66</v>
      </c>
      <c r="F367" t="s">
        <v>876</v>
      </c>
      <c r="H367" t="str" cm="1">
        <f t="array" ref="H367">_xlfn.TEXTJOIN(", ", TRUE, IF(I367:M367&gt;0, I$1:M$1, ""))</f>
        <v>Legal View</v>
      </c>
      <c r="I367">
        <v>0</v>
      </c>
      <c r="J367">
        <v>0</v>
      </c>
      <c r="K367">
        <v>1</v>
      </c>
      <c r="L367">
        <v>0</v>
      </c>
      <c r="M367">
        <v>0</v>
      </c>
      <c r="N367">
        <v>0</v>
      </c>
    </row>
    <row r="368" spans="1:14" x14ac:dyDescent="0.35">
      <c r="A368" t="s">
        <v>6</v>
      </c>
      <c r="B368" t="s">
        <v>877</v>
      </c>
      <c r="E368" t="s">
        <v>66</v>
      </c>
      <c r="F368" t="s">
        <v>55</v>
      </c>
      <c r="H368" t="str" cm="1">
        <f t="array" ref="H368">_xlfn.TEXTJOIN(", ", TRUE, IF(I368:M368&gt;0, I$1:M$1, ""))</f>
        <v>Organisational View, Semantic View</v>
      </c>
      <c r="I368">
        <v>0</v>
      </c>
      <c r="J368">
        <v>0</v>
      </c>
      <c r="K368">
        <v>0</v>
      </c>
      <c r="L368">
        <v>1</v>
      </c>
      <c r="M368">
        <v>1</v>
      </c>
      <c r="N368">
        <v>0</v>
      </c>
    </row>
    <row r="369" spans="1:14" x14ac:dyDescent="0.35">
      <c r="A369" t="s">
        <v>6</v>
      </c>
      <c r="B369" t="s">
        <v>878</v>
      </c>
      <c r="C369" t="s">
        <v>879</v>
      </c>
      <c r="E369" t="s">
        <v>222</v>
      </c>
      <c r="F369" t="s">
        <v>51</v>
      </c>
      <c r="H369" t="str" cm="1">
        <f t="array" ref="H369">_xlfn.TEXTJOIN(", ", TRUE, IF(I369:M369&gt;0, I$1:M$1, ""))</f>
        <v>Tech Application</v>
      </c>
      <c r="I369">
        <v>0</v>
      </c>
      <c r="J369">
        <v>2</v>
      </c>
      <c r="K369">
        <v>0</v>
      </c>
      <c r="L369">
        <v>0</v>
      </c>
      <c r="M369">
        <v>0</v>
      </c>
      <c r="N369">
        <v>0</v>
      </c>
    </row>
    <row r="370" spans="1:14" x14ac:dyDescent="0.35">
      <c r="A370" t="s">
        <v>6</v>
      </c>
      <c r="B370" t="s">
        <v>880</v>
      </c>
      <c r="D370" t="s">
        <v>881</v>
      </c>
      <c r="E370" t="s">
        <v>66</v>
      </c>
      <c r="F370" t="s">
        <v>882</v>
      </c>
      <c r="H370" t="str" cm="1">
        <f t="array" ref="H370">_xlfn.TEXTJOIN(", ", TRUE, IF(I370:M370&gt;0, I$1:M$1, ""))</f>
        <v>Legal View</v>
      </c>
      <c r="I370">
        <v>0</v>
      </c>
      <c r="J370">
        <v>0</v>
      </c>
      <c r="K370">
        <v>5</v>
      </c>
      <c r="L370">
        <v>0</v>
      </c>
      <c r="M370">
        <v>0</v>
      </c>
      <c r="N370">
        <v>0</v>
      </c>
    </row>
    <row r="371" spans="1:14" x14ac:dyDescent="0.35">
      <c r="A371" t="s">
        <v>6</v>
      </c>
      <c r="B371" t="s">
        <v>883</v>
      </c>
      <c r="D371" t="s">
        <v>884</v>
      </c>
      <c r="E371" t="s">
        <v>59</v>
      </c>
      <c r="F371" t="s">
        <v>100</v>
      </c>
      <c r="H371" t="str" cm="1">
        <f t="array" ref="H371">_xlfn.TEXTJOIN(", ", TRUE, IF(I371:M371&gt;0, I$1:M$1, ""))</f>
        <v>Tech Infrastructure, Tech Application, Semantic View</v>
      </c>
      <c r="I371">
        <v>1</v>
      </c>
      <c r="J371">
        <v>2</v>
      </c>
      <c r="K371">
        <v>0</v>
      </c>
      <c r="L371">
        <v>0</v>
      </c>
      <c r="M371">
        <v>1</v>
      </c>
      <c r="N371">
        <v>0</v>
      </c>
    </row>
    <row r="372" spans="1:14" x14ac:dyDescent="0.35">
      <c r="A372" t="s">
        <v>6</v>
      </c>
      <c r="B372" t="s">
        <v>885</v>
      </c>
      <c r="E372" t="s">
        <v>886</v>
      </c>
      <c r="F372" t="s">
        <v>152</v>
      </c>
      <c r="H372" t="str" cm="1">
        <f t="array" ref="H372">_xlfn.TEXTJOIN(", ", TRUE, IF(I372:M372&gt;0, I$1:M$1, ""))</f>
        <v>Tech Infrastructure</v>
      </c>
      <c r="I372">
        <v>2</v>
      </c>
      <c r="J372">
        <v>0</v>
      </c>
      <c r="K372">
        <v>0</v>
      </c>
      <c r="L372">
        <v>0</v>
      </c>
      <c r="M372">
        <v>0</v>
      </c>
      <c r="N372">
        <v>0</v>
      </c>
    </row>
    <row r="373" spans="1:14" x14ac:dyDescent="0.35">
      <c r="A373" t="s">
        <v>6</v>
      </c>
      <c r="B373" t="s">
        <v>887</v>
      </c>
      <c r="C373" t="s">
        <v>888</v>
      </c>
      <c r="D373" t="s">
        <v>889</v>
      </c>
      <c r="E373" t="s">
        <v>230</v>
      </c>
      <c r="F373" t="s">
        <v>55</v>
      </c>
      <c r="H373" t="str" cm="1">
        <f t="array" ref="H373">_xlfn.TEXTJOIN(", ", TRUE, IF(I373:M373&gt;0, I$1:M$1, ""))</f>
        <v>Tech Application</v>
      </c>
      <c r="I373">
        <v>0</v>
      </c>
      <c r="J373">
        <v>2</v>
      </c>
      <c r="K373">
        <v>0</v>
      </c>
      <c r="L373">
        <v>0</v>
      </c>
      <c r="M373">
        <v>0</v>
      </c>
      <c r="N373">
        <v>0</v>
      </c>
    </row>
    <row r="374" spans="1:14" x14ac:dyDescent="0.35">
      <c r="A374" t="s">
        <v>6</v>
      </c>
      <c r="B374" t="s">
        <v>890</v>
      </c>
      <c r="E374" t="s">
        <v>134</v>
      </c>
      <c r="F374" t="s">
        <v>528</v>
      </c>
      <c r="H374" t="str" cm="1">
        <f t="array" ref="H374">_xlfn.TEXTJOIN(", ", TRUE, IF(I374:M374&gt;0, I$1:M$1, ""))</f>
        <v/>
      </c>
      <c r="I374">
        <v>0</v>
      </c>
      <c r="J374">
        <v>0</v>
      </c>
      <c r="K374">
        <v>0</v>
      </c>
      <c r="L374">
        <v>0</v>
      </c>
      <c r="M374">
        <v>0</v>
      </c>
      <c r="N374">
        <v>0</v>
      </c>
    </row>
    <row r="375" spans="1:14" x14ac:dyDescent="0.35">
      <c r="A375" t="s">
        <v>6</v>
      </c>
      <c r="B375" t="s">
        <v>891</v>
      </c>
      <c r="D375" t="s">
        <v>892</v>
      </c>
      <c r="E375" t="s">
        <v>230</v>
      </c>
      <c r="F375" t="s">
        <v>152</v>
      </c>
      <c r="H375" t="str" cm="1">
        <f t="array" ref="H375">_xlfn.TEXTJOIN(", ", TRUE, IF(I375:M375&gt;0, I$1:M$1, ""))</f>
        <v>Tech Infrastructure</v>
      </c>
      <c r="I375">
        <v>1</v>
      </c>
      <c r="J375">
        <v>0</v>
      </c>
      <c r="K375">
        <v>0</v>
      </c>
      <c r="L375">
        <v>0</v>
      </c>
      <c r="M375">
        <v>0</v>
      </c>
      <c r="N375">
        <v>0</v>
      </c>
    </row>
    <row r="376" spans="1:14" x14ac:dyDescent="0.35">
      <c r="A376" t="s">
        <v>6</v>
      </c>
      <c r="B376" t="s">
        <v>893</v>
      </c>
      <c r="E376" t="s">
        <v>360</v>
      </c>
      <c r="F376" t="s">
        <v>342</v>
      </c>
      <c r="H376" t="str" cm="1">
        <f t="array" ref="H376">_xlfn.TEXTJOIN(", ", TRUE, IF(I376:M376&gt;0, I$1:M$1, ""))</f>
        <v>Semantic View</v>
      </c>
      <c r="I376">
        <v>0</v>
      </c>
      <c r="J376">
        <v>0</v>
      </c>
      <c r="K376">
        <v>0</v>
      </c>
      <c r="L376">
        <v>0</v>
      </c>
      <c r="M376">
        <v>3</v>
      </c>
      <c r="N376">
        <v>0</v>
      </c>
    </row>
    <row r="377" spans="1:14" x14ac:dyDescent="0.35">
      <c r="A377" t="s">
        <v>6</v>
      </c>
      <c r="B377" t="s">
        <v>894</v>
      </c>
      <c r="E377" t="s">
        <v>62</v>
      </c>
      <c r="F377" t="s">
        <v>55</v>
      </c>
      <c r="H377" t="str" cm="1">
        <f t="array" ref="H377">_xlfn.TEXTJOIN(", ", TRUE, IF(I377:M377&gt;0, I$1:M$1, ""))</f>
        <v>Tech Application</v>
      </c>
      <c r="I377">
        <v>0</v>
      </c>
      <c r="J377">
        <v>2</v>
      </c>
      <c r="K377">
        <v>0</v>
      </c>
      <c r="L377">
        <v>0</v>
      </c>
      <c r="M377">
        <v>0</v>
      </c>
      <c r="N377">
        <v>0</v>
      </c>
    </row>
    <row r="378" spans="1:14" x14ac:dyDescent="0.35">
      <c r="A378" t="s">
        <v>6</v>
      </c>
      <c r="B378" t="s">
        <v>895</v>
      </c>
      <c r="D378" t="s">
        <v>896</v>
      </c>
      <c r="E378" t="s">
        <v>59</v>
      </c>
      <c r="F378" t="s">
        <v>100</v>
      </c>
      <c r="H378" t="str" cm="1">
        <f t="array" ref="H378">_xlfn.TEXTJOIN(", ", TRUE, IF(I378:M378&gt;0, I$1:M$1, ""))</f>
        <v>Tech Infrastructure, Tech Application</v>
      </c>
      <c r="I378">
        <v>1</v>
      </c>
      <c r="J378">
        <v>4</v>
      </c>
      <c r="K378">
        <v>0</v>
      </c>
      <c r="L378">
        <v>0</v>
      </c>
      <c r="M378">
        <v>0</v>
      </c>
      <c r="N378">
        <v>0</v>
      </c>
    </row>
    <row r="379" spans="1:14" x14ac:dyDescent="0.35">
      <c r="A379" t="s">
        <v>6</v>
      </c>
      <c r="B379" t="s">
        <v>897</v>
      </c>
      <c r="D379" t="s">
        <v>898</v>
      </c>
      <c r="E379" t="s">
        <v>69</v>
      </c>
      <c r="F379" t="s">
        <v>55</v>
      </c>
      <c r="H379" t="str" cm="1">
        <f t="array" ref="H379">_xlfn.TEXTJOIN(", ", TRUE, IF(I379:M379&gt;0, I$1:M$1, ""))</f>
        <v>Tech Application</v>
      </c>
      <c r="I379">
        <v>0</v>
      </c>
      <c r="J379">
        <v>2</v>
      </c>
      <c r="K379">
        <v>0</v>
      </c>
      <c r="L379">
        <v>0</v>
      </c>
      <c r="M379">
        <v>0</v>
      </c>
      <c r="N379">
        <v>0</v>
      </c>
    </row>
    <row r="380" spans="1:14" x14ac:dyDescent="0.35">
      <c r="A380" t="s">
        <v>6</v>
      </c>
      <c r="B380" t="s">
        <v>899</v>
      </c>
      <c r="C380" t="s">
        <v>900</v>
      </c>
      <c r="E380" t="s">
        <v>62</v>
      </c>
      <c r="F380" t="s">
        <v>55</v>
      </c>
      <c r="H380" t="str" cm="1">
        <f t="array" ref="H380">_xlfn.TEXTJOIN(", ", TRUE, IF(I380:M380&gt;0, I$1:M$1, ""))</f>
        <v>Tech Infrastructure</v>
      </c>
      <c r="I380">
        <v>1</v>
      </c>
      <c r="J380">
        <v>0</v>
      </c>
      <c r="K380">
        <v>0</v>
      </c>
      <c r="L380">
        <v>0</v>
      </c>
      <c r="M380">
        <v>0</v>
      </c>
      <c r="N380">
        <v>0</v>
      </c>
    </row>
    <row r="381" spans="1:14" x14ac:dyDescent="0.35">
      <c r="A381" t="s">
        <v>6</v>
      </c>
      <c r="B381" t="s">
        <v>901</v>
      </c>
      <c r="C381" t="s">
        <v>902</v>
      </c>
      <c r="E381" t="s">
        <v>121</v>
      </c>
      <c r="F381" t="s">
        <v>152</v>
      </c>
      <c r="H381" t="str" cm="1">
        <f t="array" ref="H381">_xlfn.TEXTJOIN(", ", TRUE, IF(I381:M381&gt;0, I$1:M$1, ""))</f>
        <v>Tech Application</v>
      </c>
      <c r="I381">
        <v>0</v>
      </c>
      <c r="J381">
        <v>2</v>
      </c>
      <c r="K381">
        <v>0</v>
      </c>
      <c r="L381">
        <v>0</v>
      </c>
      <c r="M381">
        <v>0</v>
      </c>
      <c r="N381">
        <v>0</v>
      </c>
    </row>
    <row r="382" spans="1:14" x14ac:dyDescent="0.35">
      <c r="A382" t="s">
        <v>6</v>
      </c>
      <c r="B382" t="s">
        <v>903</v>
      </c>
      <c r="C382" t="s">
        <v>662</v>
      </c>
      <c r="E382" t="s">
        <v>59</v>
      </c>
      <c r="F382" t="s">
        <v>100</v>
      </c>
      <c r="H382" t="str" cm="1">
        <f t="array" ref="H382">_xlfn.TEXTJOIN(", ", TRUE, IF(I382:M382&gt;0, I$1:M$1, ""))</f>
        <v>Tech Application</v>
      </c>
      <c r="I382">
        <v>0</v>
      </c>
      <c r="J382">
        <v>4</v>
      </c>
      <c r="K382">
        <v>0</v>
      </c>
      <c r="L382">
        <v>0</v>
      </c>
      <c r="M382">
        <v>0</v>
      </c>
      <c r="N382">
        <v>0</v>
      </c>
    </row>
    <row r="383" spans="1:14" x14ac:dyDescent="0.35">
      <c r="A383" t="s">
        <v>6</v>
      </c>
      <c r="B383" t="s">
        <v>903</v>
      </c>
      <c r="C383" t="s">
        <v>662</v>
      </c>
      <c r="E383" t="s">
        <v>59</v>
      </c>
      <c r="F383" t="s">
        <v>155</v>
      </c>
      <c r="H383" t="str" cm="1">
        <f t="array" ref="H383">_xlfn.TEXTJOIN(", ", TRUE, IF(I383:M383&gt;0, I$1:M$1, ""))</f>
        <v>Tech Application</v>
      </c>
      <c r="I383">
        <v>0</v>
      </c>
      <c r="J383">
        <v>4</v>
      </c>
      <c r="K383">
        <v>0</v>
      </c>
      <c r="L383">
        <v>0</v>
      </c>
      <c r="M383">
        <v>0</v>
      </c>
      <c r="N383">
        <v>1</v>
      </c>
    </row>
    <row r="384" spans="1:14" x14ac:dyDescent="0.35">
      <c r="A384" t="s">
        <v>6</v>
      </c>
      <c r="B384" t="s">
        <v>904</v>
      </c>
      <c r="D384" t="s">
        <v>905</v>
      </c>
      <c r="E384" t="s">
        <v>69</v>
      </c>
      <c r="F384" t="s">
        <v>55</v>
      </c>
      <c r="H384" t="str" cm="1">
        <f t="array" ref="H384">_xlfn.TEXTJOIN(", ", TRUE, IF(I384:M384&gt;0, I$1:M$1, ""))</f>
        <v>Tech Application</v>
      </c>
      <c r="I384">
        <v>0</v>
      </c>
      <c r="J384">
        <v>2</v>
      </c>
      <c r="K384">
        <v>0</v>
      </c>
      <c r="L384">
        <v>0</v>
      </c>
      <c r="M384">
        <v>0</v>
      </c>
      <c r="N384">
        <v>0</v>
      </c>
    </row>
    <row r="385" spans="1:14" x14ac:dyDescent="0.35">
      <c r="A385" t="s">
        <v>6</v>
      </c>
      <c r="B385" t="s">
        <v>906</v>
      </c>
      <c r="C385" t="s">
        <v>581</v>
      </c>
      <c r="E385" t="s">
        <v>62</v>
      </c>
      <c r="F385" t="s">
        <v>907</v>
      </c>
      <c r="H385" t="str" cm="1">
        <f t="array" ref="H385">_xlfn.TEXTJOIN(", ", TRUE, IF(I385:M385&gt;0, I$1:M$1, ""))</f>
        <v>Tech Application, Organisational View</v>
      </c>
      <c r="I385">
        <v>0</v>
      </c>
      <c r="J385">
        <v>1</v>
      </c>
      <c r="K385">
        <v>0</v>
      </c>
      <c r="L385">
        <v>1</v>
      </c>
      <c r="M385">
        <v>0</v>
      </c>
      <c r="N385">
        <v>1</v>
      </c>
    </row>
    <row r="386" spans="1:14" x14ac:dyDescent="0.35">
      <c r="A386" t="s">
        <v>6</v>
      </c>
      <c r="B386" t="s">
        <v>908</v>
      </c>
      <c r="E386" t="s">
        <v>121</v>
      </c>
      <c r="F386" t="s">
        <v>55</v>
      </c>
      <c r="H386" t="str" cm="1">
        <f t="array" ref="H386">_xlfn.TEXTJOIN(", ", TRUE, IF(I386:M386&gt;0, I$1:M$1, ""))</f>
        <v>Tech Infrastructure</v>
      </c>
      <c r="I386">
        <v>1</v>
      </c>
      <c r="J386">
        <v>0</v>
      </c>
      <c r="K386">
        <v>0</v>
      </c>
      <c r="L386">
        <v>0</v>
      </c>
      <c r="M386">
        <v>0</v>
      </c>
      <c r="N386">
        <v>0</v>
      </c>
    </row>
    <row r="387" spans="1:14" x14ac:dyDescent="0.35">
      <c r="A387" t="s">
        <v>6</v>
      </c>
      <c r="B387" t="s">
        <v>909</v>
      </c>
      <c r="D387" t="s">
        <v>910</v>
      </c>
      <c r="E387" t="s">
        <v>230</v>
      </c>
      <c r="F387" t="s">
        <v>55</v>
      </c>
      <c r="H387" t="str" cm="1">
        <f t="array" ref="H387">_xlfn.TEXTJOIN(", ", TRUE, IF(I387:M387&gt;0, I$1:M$1, ""))</f>
        <v>Tech Infrastructure</v>
      </c>
      <c r="I387">
        <v>2</v>
      </c>
      <c r="J387">
        <v>0</v>
      </c>
      <c r="K387">
        <v>0</v>
      </c>
      <c r="L387">
        <v>0</v>
      </c>
      <c r="M387">
        <v>0</v>
      </c>
      <c r="N387">
        <v>0</v>
      </c>
    </row>
    <row r="388" spans="1:14" x14ac:dyDescent="0.35">
      <c r="A388" t="s">
        <v>6</v>
      </c>
      <c r="B388" t="s">
        <v>911</v>
      </c>
      <c r="C388" t="s">
        <v>912</v>
      </c>
      <c r="E388" t="s">
        <v>59</v>
      </c>
      <c r="F388" t="s">
        <v>100</v>
      </c>
      <c r="H388" t="str" cm="1">
        <f t="array" ref="H388">_xlfn.TEXTJOIN(", ", TRUE, IF(I388:M388&gt;0, I$1:M$1, ""))</f>
        <v>Tech Application</v>
      </c>
      <c r="I388">
        <v>0</v>
      </c>
      <c r="J388">
        <v>4</v>
      </c>
      <c r="K388">
        <v>0</v>
      </c>
      <c r="L388">
        <v>0</v>
      </c>
      <c r="M388">
        <v>0</v>
      </c>
      <c r="N388">
        <v>0</v>
      </c>
    </row>
    <row r="389" spans="1:14" x14ac:dyDescent="0.35">
      <c r="A389" t="s">
        <v>6</v>
      </c>
      <c r="B389" t="s">
        <v>913</v>
      </c>
      <c r="D389" t="s">
        <v>914</v>
      </c>
      <c r="E389" t="s">
        <v>69</v>
      </c>
      <c r="F389" t="s">
        <v>55</v>
      </c>
      <c r="H389" t="str" cm="1">
        <f t="array" ref="H389">_xlfn.TEXTJOIN(", ", TRUE, IF(I389:M389&gt;0, I$1:M$1, ""))</f>
        <v/>
      </c>
      <c r="I389">
        <v>0</v>
      </c>
      <c r="J389">
        <v>0</v>
      </c>
      <c r="K389">
        <v>0</v>
      </c>
      <c r="L389">
        <v>0</v>
      </c>
      <c r="M389">
        <v>0</v>
      </c>
      <c r="N389">
        <v>0</v>
      </c>
    </row>
    <row r="390" spans="1:14" x14ac:dyDescent="0.35">
      <c r="A390" t="s">
        <v>6</v>
      </c>
      <c r="B390" t="s">
        <v>915</v>
      </c>
      <c r="E390" t="s">
        <v>916</v>
      </c>
      <c r="F390" t="s">
        <v>51</v>
      </c>
      <c r="H390" t="str" cm="1">
        <f t="array" ref="H390">_xlfn.TEXTJOIN(", ", TRUE, IF(I390:M390&gt;0, I$1:M$1, ""))</f>
        <v>Tech Application, Semantic View</v>
      </c>
      <c r="I390">
        <v>0</v>
      </c>
      <c r="J390">
        <v>4</v>
      </c>
      <c r="K390">
        <v>0</v>
      </c>
      <c r="L390">
        <v>0</v>
      </c>
      <c r="M390">
        <v>2</v>
      </c>
      <c r="N390">
        <v>0</v>
      </c>
    </row>
    <row r="391" spans="1:14" x14ac:dyDescent="0.35">
      <c r="A391" t="s">
        <v>6</v>
      </c>
      <c r="B391" t="s">
        <v>917</v>
      </c>
      <c r="E391" t="s">
        <v>62</v>
      </c>
      <c r="F391" t="s">
        <v>444</v>
      </c>
      <c r="H391" t="str" cm="1">
        <f t="array" ref="H391">_xlfn.TEXTJOIN(", ", TRUE, IF(I391:M391&gt;0, I$1:M$1, ""))</f>
        <v>Tech Application</v>
      </c>
      <c r="I391">
        <v>0</v>
      </c>
      <c r="J391">
        <v>2</v>
      </c>
      <c r="K391">
        <v>0</v>
      </c>
      <c r="L391">
        <v>0</v>
      </c>
      <c r="M391">
        <v>0</v>
      </c>
      <c r="N391">
        <v>0</v>
      </c>
    </row>
    <row r="392" spans="1:14" x14ac:dyDescent="0.35">
      <c r="A392" t="s">
        <v>6</v>
      </c>
      <c r="B392" t="s">
        <v>918</v>
      </c>
      <c r="C392" t="s">
        <v>919</v>
      </c>
      <c r="E392" t="s">
        <v>920</v>
      </c>
      <c r="F392" t="s">
        <v>152</v>
      </c>
      <c r="H392" t="str" cm="1">
        <f t="array" ref="H392">_xlfn.TEXTJOIN(", ", TRUE, IF(I392:M392&gt;0, I$1:M$1, ""))</f>
        <v>Tech Application</v>
      </c>
      <c r="I392">
        <v>0</v>
      </c>
      <c r="J392">
        <v>3</v>
      </c>
      <c r="K392">
        <v>0</v>
      </c>
      <c r="L392">
        <v>0</v>
      </c>
      <c r="M392">
        <v>0</v>
      </c>
      <c r="N392">
        <v>0</v>
      </c>
    </row>
    <row r="393" spans="1:14" x14ac:dyDescent="0.35">
      <c r="A393" t="s">
        <v>6</v>
      </c>
      <c r="B393" t="s">
        <v>921</v>
      </c>
      <c r="E393" t="s">
        <v>922</v>
      </c>
      <c r="F393" t="s">
        <v>55</v>
      </c>
      <c r="H393" t="str" cm="1">
        <f t="array" ref="H393">_xlfn.TEXTJOIN(", ", TRUE, IF(I393:M393&gt;0, I$1:M$1, ""))</f>
        <v>Tech Application</v>
      </c>
      <c r="I393">
        <v>0</v>
      </c>
      <c r="J393">
        <v>3</v>
      </c>
      <c r="K393">
        <v>0</v>
      </c>
      <c r="L393">
        <v>0</v>
      </c>
      <c r="M393">
        <v>0</v>
      </c>
      <c r="N393">
        <v>0</v>
      </c>
    </row>
    <row r="394" spans="1:14" x14ac:dyDescent="0.35">
      <c r="A394" t="s">
        <v>6</v>
      </c>
      <c r="B394" t="s">
        <v>923</v>
      </c>
      <c r="E394" t="s">
        <v>121</v>
      </c>
      <c r="F394" t="s">
        <v>281</v>
      </c>
      <c r="H394" t="str" cm="1">
        <f t="array" ref="H394">_xlfn.TEXTJOIN(", ", TRUE, IF(I394:M394&gt;0, I$1:M$1, ""))</f>
        <v>Semantic View</v>
      </c>
      <c r="I394">
        <v>0</v>
      </c>
      <c r="J394">
        <v>0</v>
      </c>
      <c r="K394">
        <v>0</v>
      </c>
      <c r="L394">
        <v>0</v>
      </c>
      <c r="M394">
        <v>4</v>
      </c>
      <c r="N394">
        <v>0</v>
      </c>
    </row>
    <row r="395" spans="1:14" x14ac:dyDescent="0.35">
      <c r="A395" t="s">
        <v>6</v>
      </c>
      <c r="B395" t="s">
        <v>924</v>
      </c>
      <c r="C395" t="s">
        <v>925</v>
      </c>
      <c r="E395" t="s">
        <v>230</v>
      </c>
      <c r="F395" t="s">
        <v>92</v>
      </c>
      <c r="H395" t="str" cm="1">
        <f t="array" ref="H395">_xlfn.TEXTJOIN(", ", TRUE, IF(I395:M395&gt;0, I$1:M$1, ""))</f>
        <v>Tech Infrastructure</v>
      </c>
      <c r="I395">
        <v>1</v>
      </c>
      <c r="J395">
        <v>0</v>
      </c>
      <c r="K395">
        <v>0</v>
      </c>
      <c r="L395">
        <v>0</v>
      </c>
      <c r="M395">
        <v>0</v>
      </c>
      <c r="N395">
        <v>0</v>
      </c>
    </row>
    <row r="396" spans="1:14" x14ac:dyDescent="0.35">
      <c r="A396" t="s">
        <v>6</v>
      </c>
      <c r="B396" t="s">
        <v>926</v>
      </c>
      <c r="E396" t="s">
        <v>926</v>
      </c>
      <c r="F396" t="s">
        <v>55</v>
      </c>
      <c r="H396" t="str" cm="1">
        <f t="array" ref="H396">_xlfn.TEXTJOIN(", ", TRUE, IF(I396:M396&gt;0, I$1:M$1, ""))</f>
        <v>Tech Application</v>
      </c>
      <c r="I396">
        <v>0</v>
      </c>
      <c r="J396">
        <v>2</v>
      </c>
      <c r="K396">
        <v>0</v>
      </c>
      <c r="L396">
        <v>0</v>
      </c>
      <c r="M396">
        <v>0</v>
      </c>
      <c r="N396">
        <v>0</v>
      </c>
    </row>
    <row r="397" spans="1:14" x14ac:dyDescent="0.35">
      <c r="A397" t="s">
        <v>6</v>
      </c>
      <c r="B397" t="s">
        <v>927</v>
      </c>
      <c r="C397" t="s">
        <v>928</v>
      </c>
      <c r="E397" t="s">
        <v>59</v>
      </c>
      <c r="F397" t="s">
        <v>155</v>
      </c>
      <c r="H397" t="str" cm="1">
        <f t="array" ref="H397">_xlfn.TEXTJOIN(", ", TRUE, IF(I397:M397&gt;0, I$1:M$1, ""))</f>
        <v>Tech Application</v>
      </c>
      <c r="I397">
        <v>0</v>
      </c>
      <c r="J397">
        <v>1</v>
      </c>
      <c r="K397">
        <v>0</v>
      </c>
      <c r="L397">
        <v>0</v>
      </c>
      <c r="M397">
        <v>0</v>
      </c>
      <c r="N397">
        <v>0</v>
      </c>
    </row>
    <row r="398" spans="1:14" x14ac:dyDescent="0.35">
      <c r="A398" t="s">
        <v>6</v>
      </c>
      <c r="B398" t="s">
        <v>929</v>
      </c>
      <c r="C398" t="s">
        <v>930</v>
      </c>
      <c r="E398" t="s">
        <v>99</v>
      </c>
      <c r="F398" t="s">
        <v>155</v>
      </c>
      <c r="H398" t="str" cm="1">
        <f t="array" ref="H398">_xlfn.TEXTJOIN(", ", TRUE, IF(I398:M398&gt;0, I$1:M$1, ""))</f>
        <v>Tech Application</v>
      </c>
      <c r="I398">
        <v>0</v>
      </c>
      <c r="J398">
        <v>2</v>
      </c>
      <c r="K398">
        <v>0</v>
      </c>
      <c r="L398">
        <v>0</v>
      </c>
      <c r="M398">
        <v>0</v>
      </c>
      <c r="N398">
        <v>0</v>
      </c>
    </row>
    <row r="399" spans="1:14" x14ac:dyDescent="0.35">
      <c r="A399" t="s">
        <v>6</v>
      </c>
      <c r="B399" t="s">
        <v>931</v>
      </c>
      <c r="C399" t="s">
        <v>932</v>
      </c>
      <c r="E399" t="s">
        <v>59</v>
      </c>
      <c r="F399" t="s">
        <v>444</v>
      </c>
      <c r="H399" t="str" cm="1">
        <f t="array" ref="H399">_xlfn.TEXTJOIN(", ", TRUE, IF(I399:M399&gt;0, I$1:M$1, ""))</f>
        <v>Organisational View</v>
      </c>
      <c r="I399">
        <v>0</v>
      </c>
      <c r="J399">
        <v>0</v>
      </c>
      <c r="K399">
        <v>0</v>
      </c>
      <c r="L399">
        <v>1</v>
      </c>
      <c r="M399">
        <v>0</v>
      </c>
      <c r="N399">
        <v>0</v>
      </c>
    </row>
    <row r="400" spans="1:14" x14ac:dyDescent="0.35">
      <c r="A400" t="s">
        <v>6</v>
      </c>
      <c r="B400" t="s">
        <v>933</v>
      </c>
      <c r="E400" t="s">
        <v>62</v>
      </c>
      <c r="F400" t="s">
        <v>55</v>
      </c>
      <c r="H400" t="str" cm="1">
        <f t="array" ref="H400">_xlfn.TEXTJOIN(", ", TRUE, IF(I400:M400&gt;0, I$1:M$1, ""))</f>
        <v>Legal View</v>
      </c>
      <c r="I400">
        <v>0</v>
      </c>
      <c r="J400">
        <v>0</v>
      </c>
      <c r="K400">
        <v>1</v>
      </c>
      <c r="L400">
        <v>0</v>
      </c>
      <c r="M400">
        <v>0</v>
      </c>
      <c r="N400">
        <v>0</v>
      </c>
    </row>
    <row r="401" spans="1:14" x14ac:dyDescent="0.35">
      <c r="A401" t="s">
        <v>6</v>
      </c>
      <c r="B401" t="s">
        <v>934</v>
      </c>
      <c r="C401" t="s">
        <v>935</v>
      </c>
      <c r="E401" t="s">
        <v>936</v>
      </c>
      <c r="F401" t="s">
        <v>55</v>
      </c>
      <c r="H401" t="str" cm="1">
        <f t="array" ref="H401">_xlfn.TEXTJOIN(", ", TRUE, IF(I401:M401&gt;0, I$1:M$1, ""))</f>
        <v>Organisational View</v>
      </c>
      <c r="I401">
        <v>0</v>
      </c>
      <c r="J401">
        <v>0</v>
      </c>
      <c r="K401">
        <v>0</v>
      </c>
      <c r="L401">
        <v>2</v>
      </c>
      <c r="M401">
        <v>0</v>
      </c>
      <c r="N401">
        <v>0</v>
      </c>
    </row>
    <row r="402" spans="1:14" x14ac:dyDescent="0.35">
      <c r="A402" t="s">
        <v>6</v>
      </c>
      <c r="B402" t="s">
        <v>937</v>
      </c>
      <c r="D402" t="s">
        <v>938</v>
      </c>
      <c r="E402" t="s">
        <v>59</v>
      </c>
      <c r="F402" t="s">
        <v>305</v>
      </c>
      <c r="H402" t="str" cm="1">
        <f t="array" ref="H402">_xlfn.TEXTJOIN(", ", TRUE, IF(I402:M402&gt;0, I$1:M$1, ""))</f>
        <v/>
      </c>
      <c r="I402">
        <v>0</v>
      </c>
      <c r="J402">
        <v>0</v>
      </c>
      <c r="K402">
        <v>0</v>
      </c>
      <c r="L402">
        <v>0</v>
      </c>
      <c r="M402">
        <v>0</v>
      </c>
      <c r="N402">
        <v>0</v>
      </c>
    </row>
    <row r="403" spans="1:14" x14ac:dyDescent="0.35">
      <c r="A403" t="s">
        <v>6</v>
      </c>
      <c r="B403" t="s">
        <v>939</v>
      </c>
      <c r="C403" t="s">
        <v>940</v>
      </c>
      <c r="E403" t="s">
        <v>121</v>
      </c>
      <c r="F403" t="s">
        <v>51</v>
      </c>
      <c r="H403" t="str" cm="1">
        <f t="array" ref="H403">_xlfn.TEXTJOIN(", ", TRUE, IF(I403:M403&gt;0, I$1:M$1, ""))</f>
        <v>Tech Infrastructure, Tech Application</v>
      </c>
      <c r="I403">
        <v>1</v>
      </c>
      <c r="J403">
        <v>3</v>
      </c>
      <c r="K403">
        <v>0</v>
      </c>
      <c r="L403">
        <v>0</v>
      </c>
      <c r="M403">
        <v>0</v>
      </c>
      <c r="N403">
        <v>1</v>
      </c>
    </row>
    <row r="404" spans="1:14" x14ac:dyDescent="0.35">
      <c r="A404" t="s">
        <v>6</v>
      </c>
      <c r="B404" t="s">
        <v>941</v>
      </c>
      <c r="E404" t="s">
        <v>666</v>
      </c>
      <c r="F404" t="s">
        <v>92</v>
      </c>
      <c r="H404" t="str" cm="1">
        <f t="array" ref="H404">_xlfn.TEXTJOIN(", ", TRUE, IF(I404:M404&gt;0, I$1:M$1, ""))</f>
        <v>Semantic View</v>
      </c>
      <c r="I404">
        <v>0</v>
      </c>
      <c r="J404">
        <v>0</v>
      </c>
      <c r="K404">
        <v>0</v>
      </c>
      <c r="L404">
        <v>0</v>
      </c>
      <c r="M404">
        <v>4</v>
      </c>
      <c r="N404">
        <v>0</v>
      </c>
    </row>
    <row r="405" spans="1:14" x14ac:dyDescent="0.35">
      <c r="A405" t="s">
        <v>6</v>
      </c>
      <c r="B405" t="s">
        <v>942</v>
      </c>
      <c r="C405" t="s">
        <v>943</v>
      </c>
      <c r="D405" t="s">
        <v>944</v>
      </c>
      <c r="E405" t="s">
        <v>230</v>
      </c>
      <c r="F405" t="s">
        <v>55</v>
      </c>
      <c r="H405" t="str" cm="1">
        <f t="array" ref="H405">_xlfn.TEXTJOIN(", ", TRUE, IF(I405:M405&gt;0, I$1:M$1, ""))</f>
        <v>Semantic View</v>
      </c>
      <c r="I405">
        <v>0</v>
      </c>
      <c r="J405">
        <v>0</v>
      </c>
      <c r="K405">
        <v>0</v>
      </c>
      <c r="L405">
        <v>0</v>
      </c>
      <c r="M405">
        <v>2</v>
      </c>
      <c r="N405">
        <v>0</v>
      </c>
    </row>
    <row r="406" spans="1:14" x14ac:dyDescent="0.35">
      <c r="A406" t="s">
        <v>6</v>
      </c>
      <c r="B406" t="s">
        <v>945</v>
      </c>
      <c r="E406" t="s">
        <v>946</v>
      </c>
      <c r="F406" t="s">
        <v>276</v>
      </c>
      <c r="H406" t="str" cm="1">
        <f t="array" ref="H406">_xlfn.TEXTJOIN(", ", TRUE, IF(I406:M406&gt;0, I$1:M$1, ""))</f>
        <v>Tech Application</v>
      </c>
      <c r="I406">
        <v>0</v>
      </c>
      <c r="J406">
        <v>1</v>
      </c>
      <c r="K406">
        <v>0</v>
      </c>
      <c r="L406">
        <v>0</v>
      </c>
      <c r="M406">
        <v>0</v>
      </c>
      <c r="N406">
        <v>0</v>
      </c>
    </row>
    <row r="407" spans="1:14" x14ac:dyDescent="0.35">
      <c r="A407" t="s">
        <v>6</v>
      </c>
      <c r="B407" t="s">
        <v>947</v>
      </c>
      <c r="E407" t="s">
        <v>148</v>
      </c>
      <c r="F407" t="s">
        <v>55</v>
      </c>
      <c r="H407" t="str" cm="1">
        <f t="array" ref="H407">_xlfn.TEXTJOIN(", ", TRUE, IF(I407:M407&gt;0, I$1:M$1, ""))</f>
        <v>Tech Application</v>
      </c>
      <c r="I407">
        <v>0</v>
      </c>
      <c r="J407">
        <v>4</v>
      </c>
      <c r="K407">
        <v>0</v>
      </c>
      <c r="L407">
        <v>0</v>
      </c>
      <c r="M407">
        <v>0</v>
      </c>
      <c r="N407">
        <v>0</v>
      </c>
    </row>
    <row r="408" spans="1:14" x14ac:dyDescent="0.35">
      <c r="A408" t="s">
        <v>6</v>
      </c>
      <c r="B408" t="s">
        <v>948</v>
      </c>
      <c r="E408" t="s">
        <v>230</v>
      </c>
      <c r="F408" t="s">
        <v>276</v>
      </c>
      <c r="H408" t="str" cm="1">
        <f t="array" ref="H408">_xlfn.TEXTJOIN(", ", TRUE, IF(I408:M408&gt;0, I$1:M$1, ""))</f>
        <v>Tech Application</v>
      </c>
      <c r="I408">
        <v>0</v>
      </c>
      <c r="J408">
        <v>2</v>
      </c>
      <c r="K408">
        <v>0</v>
      </c>
      <c r="L408">
        <v>0</v>
      </c>
      <c r="M408">
        <v>0</v>
      </c>
      <c r="N408">
        <v>0</v>
      </c>
    </row>
    <row r="409" spans="1:14" x14ac:dyDescent="0.35">
      <c r="A409" t="s">
        <v>6</v>
      </c>
      <c r="B409" t="s">
        <v>949</v>
      </c>
      <c r="E409" t="s">
        <v>50</v>
      </c>
      <c r="F409" t="s">
        <v>55</v>
      </c>
      <c r="H409" t="str" cm="1">
        <f t="array" ref="H409">_xlfn.TEXTJOIN(", ", TRUE, IF(I409:M409&gt;0, I$1:M$1, ""))</f>
        <v>Semantic View</v>
      </c>
      <c r="I409">
        <v>0</v>
      </c>
      <c r="J409">
        <v>0</v>
      </c>
      <c r="K409">
        <v>0</v>
      </c>
      <c r="L409">
        <v>0</v>
      </c>
      <c r="M409">
        <v>2</v>
      </c>
      <c r="N409">
        <v>0</v>
      </c>
    </row>
    <row r="410" spans="1:14" x14ac:dyDescent="0.35">
      <c r="A410" t="s">
        <v>6</v>
      </c>
      <c r="B410" t="s">
        <v>950</v>
      </c>
      <c r="C410" t="s">
        <v>424</v>
      </c>
      <c r="E410" t="s">
        <v>62</v>
      </c>
      <c r="F410" t="s">
        <v>951</v>
      </c>
      <c r="H410" t="str" cm="1">
        <f t="array" ref="H410">_xlfn.TEXTJOIN(", ", TRUE, IF(I410:M410&gt;0, I$1:M$1, ""))</f>
        <v/>
      </c>
      <c r="I410">
        <v>0</v>
      </c>
      <c r="J410">
        <v>0</v>
      </c>
      <c r="K410">
        <v>0</v>
      </c>
      <c r="L410">
        <v>0</v>
      </c>
      <c r="M410">
        <v>0</v>
      </c>
      <c r="N410">
        <v>0</v>
      </c>
    </row>
    <row r="411" spans="1:14" x14ac:dyDescent="0.35">
      <c r="A411" t="s">
        <v>6</v>
      </c>
      <c r="B411" t="s">
        <v>952</v>
      </c>
      <c r="D411" t="s">
        <v>953</v>
      </c>
      <c r="E411" t="s">
        <v>69</v>
      </c>
      <c r="F411" t="s">
        <v>55</v>
      </c>
      <c r="H411" t="str" cm="1">
        <f t="array" ref="H411">_xlfn.TEXTJOIN(", ", TRUE, IF(I411:M411&gt;0, I$1:M$1, ""))</f>
        <v>Tech Application</v>
      </c>
      <c r="I411">
        <v>0</v>
      </c>
      <c r="J411">
        <v>4</v>
      </c>
      <c r="K411">
        <v>0</v>
      </c>
      <c r="L411">
        <v>0</v>
      </c>
      <c r="M411">
        <v>0</v>
      </c>
      <c r="N411">
        <v>0</v>
      </c>
    </row>
    <row r="412" spans="1:14" x14ac:dyDescent="0.35">
      <c r="A412" t="s">
        <v>6</v>
      </c>
      <c r="B412" t="s">
        <v>954</v>
      </c>
      <c r="D412" t="s">
        <v>955</v>
      </c>
      <c r="E412" t="s">
        <v>69</v>
      </c>
      <c r="F412" t="s">
        <v>55</v>
      </c>
      <c r="H412" t="str" cm="1">
        <f t="array" ref="H412">_xlfn.TEXTJOIN(", ", TRUE, IF(I412:M412&gt;0, I$1:M$1, ""))</f>
        <v>Tech Infrastructure, Tech Application</v>
      </c>
      <c r="I412">
        <v>3</v>
      </c>
      <c r="J412">
        <v>4</v>
      </c>
      <c r="K412">
        <v>0</v>
      </c>
      <c r="L412">
        <v>0</v>
      </c>
      <c r="M412">
        <v>0</v>
      </c>
      <c r="N412">
        <v>0</v>
      </c>
    </row>
    <row r="413" spans="1:14" x14ac:dyDescent="0.35">
      <c r="A413" t="s">
        <v>6</v>
      </c>
      <c r="B413" t="s">
        <v>956</v>
      </c>
      <c r="D413" t="s">
        <v>957</v>
      </c>
      <c r="E413" t="s">
        <v>59</v>
      </c>
      <c r="F413" t="s">
        <v>206</v>
      </c>
      <c r="H413" t="str" cm="1">
        <f t="array" ref="H413">_xlfn.TEXTJOIN(", ", TRUE, IF(I413:M413&gt;0, I$1:M$1, ""))</f>
        <v>Tech Application</v>
      </c>
      <c r="I413">
        <v>0</v>
      </c>
      <c r="J413">
        <v>3</v>
      </c>
      <c r="K413">
        <v>0</v>
      </c>
      <c r="L413">
        <v>0</v>
      </c>
      <c r="M413">
        <v>0</v>
      </c>
      <c r="N413">
        <v>1</v>
      </c>
    </row>
    <row r="414" spans="1:14" x14ac:dyDescent="0.35">
      <c r="A414" t="s">
        <v>6</v>
      </c>
      <c r="B414" t="s">
        <v>958</v>
      </c>
      <c r="C414" t="s">
        <v>959</v>
      </c>
      <c r="E414" t="s">
        <v>50</v>
      </c>
      <c r="F414" t="s">
        <v>55</v>
      </c>
      <c r="H414" t="str" cm="1">
        <f t="array" ref="H414">_xlfn.TEXTJOIN(", ", TRUE, IF(I414:M414&gt;0, I$1:M$1, ""))</f>
        <v>Semantic View</v>
      </c>
      <c r="I414">
        <v>0</v>
      </c>
      <c r="J414">
        <v>0</v>
      </c>
      <c r="K414">
        <v>0</v>
      </c>
      <c r="L414">
        <v>0</v>
      </c>
      <c r="M414">
        <v>2</v>
      </c>
      <c r="N414">
        <v>0</v>
      </c>
    </row>
    <row r="415" spans="1:14" x14ac:dyDescent="0.35">
      <c r="A415" t="s">
        <v>6</v>
      </c>
      <c r="B415" t="s">
        <v>960</v>
      </c>
      <c r="C415" t="s">
        <v>961</v>
      </c>
      <c r="E415" t="s">
        <v>62</v>
      </c>
      <c r="F415" t="s">
        <v>51</v>
      </c>
      <c r="H415" t="str" cm="1">
        <f t="array" ref="H415">_xlfn.TEXTJOIN(", ", TRUE, IF(I415:M415&gt;0, I$1:M$1, ""))</f>
        <v>Semantic View</v>
      </c>
      <c r="I415">
        <v>0</v>
      </c>
      <c r="J415">
        <v>0</v>
      </c>
      <c r="K415">
        <v>0</v>
      </c>
      <c r="L415">
        <v>0</v>
      </c>
      <c r="M415">
        <v>4</v>
      </c>
      <c r="N415">
        <v>0</v>
      </c>
    </row>
    <row r="416" spans="1:14" x14ac:dyDescent="0.35">
      <c r="A416" t="s">
        <v>6</v>
      </c>
      <c r="B416" t="s">
        <v>962</v>
      </c>
      <c r="C416" t="s">
        <v>963</v>
      </c>
      <c r="E416" t="s">
        <v>66</v>
      </c>
      <c r="F416" t="s">
        <v>964</v>
      </c>
      <c r="H416" t="str" cm="1">
        <f t="array" ref="H416">_xlfn.TEXTJOIN(", ", TRUE, IF(I416:M416&gt;0, I$1:M$1, ""))</f>
        <v>Semantic View</v>
      </c>
      <c r="I416">
        <v>0</v>
      </c>
      <c r="J416">
        <v>0</v>
      </c>
      <c r="K416">
        <v>0</v>
      </c>
      <c r="L416">
        <v>0</v>
      </c>
      <c r="M416">
        <v>1</v>
      </c>
      <c r="N416">
        <v>0</v>
      </c>
    </row>
    <row r="417" spans="1:14" x14ac:dyDescent="0.35">
      <c r="A417" t="s">
        <v>6</v>
      </c>
      <c r="B417" t="s">
        <v>965</v>
      </c>
      <c r="C417" t="s">
        <v>912</v>
      </c>
      <c r="D417" t="s">
        <v>966</v>
      </c>
      <c r="E417" t="s">
        <v>230</v>
      </c>
      <c r="F417" t="s">
        <v>51</v>
      </c>
      <c r="H417" t="str" cm="1">
        <f t="array" ref="H417">_xlfn.TEXTJOIN(", ", TRUE, IF(I417:M417&gt;0, I$1:M$1, ""))</f>
        <v/>
      </c>
      <c r="I417">
        <v>0</v>
      </c>
      <c r="J417">
        <v>0</v>
      </c>
      <c r="K417">
        <v>0</v>
      </c>
      <c r="L417">
        <v>0</v>
      </c>
      <c r="M417">
        <v>0</v>
      </c>
      <c r="N417">
        <v>0</v>
      </c>
    </row>
    <row r="418" spans="1:14" x14ac:dyDescent="0.35">
      <c r="A418" t="s">
        <v>6</v>
      </c>
      <c r="B418" t="s">
        <v>967</v>
      </c>
      <c r="D418" t="s">
        <v>968</v>
      </c>
      <c r="E418" t="s">
        <v>69</v>
      </c>
      <c r="F418" t="s">
        <v>55</v>
      </c>
      <c r="H418" t="str" cm="1">
        <f t="array" ref="H418">_xlfn.TEXTJOIN(", ", TRUE, IF(I418:M418&gt;0, I$1:M$1, ""))</f>
        <v>Tech Application</v>
      </c>
      <c r="I418">
        <v>0</v>
      </c>
      <c r="J418">
        <v>3</v>
      </c>
      <c r="K418">
        <v>0</v>
      </c>
      <c r="L418">
        <v>0</v>
      </c>
      <c r="M418">
        <v>0</v>
      </c>
      <c r="N418">
        <v>0</v>
      </c>
    </row>
    <row r="419" spans="1:14" x14ac:dyDescent="0.35">
      <c r="A419" t="s">
        <v>6</v>
      </c>
      <c r="B419" t="s">
        <v>969</v>
      </c>
      <c r="D419" t="s">
        <v>970</v>
      </c>
      <c r="E419" t="s">
        <v>69</v>
      </c>
      <c r="F419" t="s">
        <v>55</v>
      </c>
      <c r="H419" t="str" cm="1">
        <f t="array" ref="H419">_xlfn.TEXTJOIN(", ", TRUE, IF(I419:M419&gt;0, I$1:M$1, ""))</f>
        <v>Tech Infrastructure, Tech Application</v>
      </c>
      <c r="I419">
        <v>1</v>
      </c>
      <c r="J419">
        <v>2</v>
      </c>
      <c r="K419">
        <v>0</v>
      </c>
      <c r="L419">
        <v>0</v>
      </c>
      <c r="M419">
        <v>0</v>
      </c>
      <c r="N419">
        <v>0</v>
      </c>
    </row>
    <row r="420" spans="1:14" x14ac:dyDescent="0.35">
      <c r="A420" t="s">
        <v>6</v>
      </c>
      <c r="B420" t="s">
        <v>971</v>
      </c>
      <c r="D420" t="s">
        <v>972</v>
      </c>
      <c r="E420" t="s">
        <v>124</v>
      </c>
      <c r="F420" t="s">
        <v>180</v>
      </c>
      <c r="H420" t="str" cm="1">
        <f t="array" ref="H420">_xlfn.TEXTJOIN(", ", TRUE, IF(I420:M420&gt;0, I$1:M$1, ""))</f>
        <v>Tech Application</v>
      </c>
      <c r="I420">
        <v>0</v>
      </c>
      <c r="J420">
        <v>1</v>
      </c>
      <c r="K420">
        <v>0</v>
      </c>
      <c r="L420">
        <v>0</v>
      </c>
      <c r="M420">
        <v>0</v>
      </c>
      <c r="N420">
        <v>0</v>
      </c>
    </row>
    <row r="421" spans="1:14" x14ac:dyDescent="0.35">
      <c r="A421" t="s">
        <v>6</v>
      </c>
      <c r="B421" t="s">
        <v>973</v>
      </c>
      <c r="E421" t="s">
        <v>66</v>
      </c>
      <c r="F421" t="s">
        <v>92</v>
      </c>
      <c r="H421" t="str" cm="1">
        <f t="array" ref="H421">_xlfn.TEXTJOIN(", ", TRUE, IF(I421:M421&gt;0, I$1:M$1, ""))</f>
        <v>Semantic View</v>
      </c>
      <c r="I421">
        <v>0</v>
      </c>
      <c r="J421">
        <v>0</v>
      </c>
      <c r="K421">
        <v>0</v>
      </c>
      <c r="L421">
        <v>0</v>
      </c>
      <c r="M421">
        <v>4</v>
      </c>
      <c r="N421">
        <v>0</v>
      </c>
    </row>
    <row r="422" spans="1:14" x14ac:dyDescent="0.35">
      <c r="A422" t="s">
        <v>6</v>
      </c>
      <c r="B422" t="s">
        <v>974</v>
      </c>
      <c r="D422" t="s">
        <v>975</v>
      </c>
      <c r="E422" t="s">
        <v>69</v>
      </c>
      <c r="F422" t="s">
        <v>55</v>
      </c>
      <c r="H422" t="str" cm="1">
        <f t="array" ref="H422">_xlfn.TEXTJOIN(", ", TRUE, IF(I422:M422&gt;0, I$1:M$1, ""))</f>
        <v/>
      </c>
      <c r="I422">
        <v>0</v>
      </c>
      <c r="J422">
        <v>0</v>
      </c>
      <c r="K422">
        <v>0</v>
      </c>
      <c r="L422">
        <v>0</v>
      </c>
      <c r="M422">
        <v>0</v>
      </c>
      <c r="N422">
        <v>0</v>
      </c>
    </row>
    <row r="423" spans="1:14" x14ac:dyDescent="0.35">
      <c r="A423" t="s">
        <v>6</v>
      </c>
      <c r="B423" t="s">
        <v>976</v>
      </c>
      <c r="C423" t="s">
        <v>977</v>
      </c>
      <c r="E423" t="s">
        <v>978</v>
      </c>
      <c r="F423" t="s">
        <v>51</v>
      </c>
      <c r="H423" t="str" cm="1">
        <f t="array" ref="H423">_xlfn.TEXTJOIN(", ", TRUE, IF(I423:M423&gt;0, I$1:M$1, ""))</f>
        <v>Semantic View</v>
      </c>
      <c r="I423">
        <v>0</v>
      </c>
      <c r="J423">
        <v>0</v>
      </c>
      <c r="K423">
        <v>0</v>
      </c>
      <c r="L423">
        <v>0</v>
      </c>
      <c r="M423">
        <v>2</v>
      </c>
      <c r="N423">
        <v>1</v>
      </c>
    </row>
    <row r="424" spans="1:14" x14ac:dyDescent="0.35">
      <c r="A424" t="s">
        <v>6</v>
      </c>
      <c r="B424" t="s">
        <v>979</v>
      </c>
      <c r="C424" t="s">
        <v>980</v>
      </c>
      <c r="E424" t="s">
        <v>981</v>
      </c>
      <c r="F424" t="s">
        <v>55</v>
      </c>
      <c r="H424" t="str" cm="1">
        <f t="array" ref="H424">_xlfn.TEXTJOIN(", ", TRUE, IF(I424:M424&gt;0, I$1:M$1, ""))</f>
        <v>Tech Infrastructure, Tech Application</v>
      </c>
      <c r="I424">
        <v>1</v>
      </c>
      <c r="J424">
        <v>1</v>
      </c>
      <c r="K424">
        <v>0</v>
      </c>
      <c r="L424">
        <v>0</v>
      </c>
      <c r="M424">
        <v>0</v>
      </c>
      <c r="N424">
        <v>0</v>
      </c>
    </row>
    <row r="425" spans="1:14" x14ac:dyDescent="0.35">
      <c r="A425" t="s">
        <v>6</v>
      </c>
      <c r="B425" t="s">
        <v>982</v>
      </c>
      <c r="C425" t="s">
        <v>983</v>
      </c>
      <c r="E425" t="s">
        <v>62</v>
      </c>
      <c r="F425" t="s">
        <v>51</v>
      </c>
      <c r="H425" t="str" cm="1">
        <f t="array" ref="H425">_xlfn.TEXTJOIN(", ", TRUE, IF(I425:M425&gt;0, I$1:M$1, ""))</f>
        <v>Tech Application, Semantic View</v>
      </c>
      <c r="I425">
        <v>0</v>
      </c>
      <c r="J425">
        <v>4</v>
      </c>
      <c r="K425">
        <v>0</v>
      </c>
      <c r="L425">
        <v>0</v>
      </c>
      <c r="M425">
        <v>8</v>
      </c>
      <c r="N425">
        <v>2</v>
      </c>
    </row>
    <row r="426" spans="1:14" x14ac:dyDescent="0.35">
      <c r="A426" t="s">
        <v>6</v>
      </c>
      <c r="B426" t="s">
        <v>984</v>
      </c>
      <c r="C426" t="s">
        <v>985</v>
      </c>
      <c r="E426" t="s">
        <v>66</v>
      </c>
      <c r="F426" t="s">
        <v>51</v>
      </c>
      <c r="H426" t="str" cm="1">
        <f t="array" ref="H426">_xlfn.TEXTJOIN(", ", TRUE, IF(I426:M426&gt;0, I$1:M$1, ""))</f>
        <v>Semantic View</v>
      </c>
      <c r="I426">
        <v>0</v>
      </c>
      <c r="J426">
        <v>0</v>
      </c>
      <c r="K426">
        <v>0</v>
      </c>
      <c r="L426">
        <v>0</v>
      </c>
      <c r="M426">
        <v>1</v>
      </c>
      <c r="N426">
        <v>0</v>
      </c>
    </row>
    <row r="427" spans="1:14" x14ac:dyDescent="0.35">
      <c r="A427" t="s">
        <v>6</v>
      </c>
      <c r="B427" t="s">
        <v>986</v>
      </c>
      <c r="D427" t="s">
        <v>987</v>
      </c>
      <c r="E427" t="s">
        <v>336</v>
      </c>
      <c r="F427" t="s">
        <v>55</v>
      </c>
      <c r="H427" t="str" cm="1">
        <f t="array" ref="H427">_xlfn.TEXTJOIN(", ", TRUE, IF(I427:M427&gt;0, I$1:M$1, ""))</f>
        <v>Tech Application</v>
      </c>
      <c r="I427">
        <v>0</v>
      </c>
      <c r="J427">
        <v>2</v>
      </c>
      <c r="K427">
        <v>0</v>
      </c>
      <c r="L427">
        <v>0</v>
      </c>
      <c r="M427">
        <v>0</v>
      </c>
      <c r="N427">
        <v>0</v>
      </c>
    </row>
    <row r="428" spans="1:14" x14ac:dyDescent="0.35">
      <c r="A428" t="s">
        <v>6</v>
      </c>
      <c r="B428" t="s">
        <v>988</v>
      </c>
      <c r="C428" t="s">
        <v>989</v>
      </c>
      <c r="D428" t="s">
        <v>990</v>
      </c>
      <c r="E428" t="s">
        <v>50</v>
      </c>
      <c r="F428" t="s">
        <v>92</v>
      </c>
      <c r="H428" t="str" cm="1">
        <f t="array" ref="H428">_xlfn.TEXTJOIN(", ", TRUE, IF(I428:M428&gt;0, I$1:M$1, ""))</f>
        <v>Tech Application</v>
      </c>
      <c r="I428">
        <v>0</v>
      </c>
      <c r="J428">
        <v>2</v>
      </c>
      <c r="K428">
        <v>0</v>
      </c>
      <c r="L428">
        <v>0</v>
      </c>
      <c r="M428">
        <v>0</v>
      </c>
      <c r="N428">
        <v>2</v>
      </c>
    </row>
    <row r="429" spans="1:14" x14ac:dyDescent="0.35">
      <c r="A429" t="s">
        <v>6</v>
      </c>
      <c r="B429" t="s">
        <v>351</v>
      </c>
      <c r="C429" t="s">
        <v>351</v>
      </c>
      <c r="E429" t="s">
        <v>50</v>
      </c>
      <c r="F429" t="s">
        <v>111</v>
      </c>
      <c r="H429" t="str" cm="1">
        <f t="array" ref="H429">_xlfn.TEXTJOIN(", ", TRUE, IF(I429:M429&gt;0, I$1:M$1, ""))</f>
        <v>Tech Application, Semantic View</v>
      </c>
      <c r="I429">
        <v>0</v>
      </c>
      <c r="J429">
        <v>1</v>
      </c>
      <c r="K429">
        <v>0</v>
      </c>
      <c r="L429">
        <v>0</v>
      </c>
      <c r="M429">
        <v>1</v>
      </c>
      <c r="N429">
        <v>0</v>
      </c>
    </row>
    <row r="430" spans="1:14" x14ac:dyDescent="0.35">
      <c r="A430" t="s">
        <v>6</v>
      </c>
      <c r="B430" t="s">
        <v>991</v>
      </c>
      <c r="D430" t="s">
        <v>992</v>
      </c>
      <c r="E430" t="s">
        <v>59</v>
      </c>
      <c r="F430" t="s">
        <v>100</v>
      </c>
      <c r="H430" t="str" cm="1">
        <f t="array" ref="H430">_xlfn.TEXTJOIN(", ", TRUE, IF(I430:M430&gt;0, I$1:M$1, ""))</f>
        <v/>
      </c>
      <c r="I430">
        <v>0</v>
      </c>
      <c r="J430">
        <v>0</v>
      </c>
      <c r="K430">
        <v>0</v>
      </c>
      <c r="L430">
        <v>0</v>
      </c>
      <c r="M430">
        <v>0</v>
      </c>
      <c r="N430">
        <v>0</v>
      </c>
    </row>
    <row r="431" spans="1:14" x14ac:dyDescent="0.35">
      <c r="A431" t="s">
        <v>6</v>
      </c>
      <c r="B431" t="s">
        <v>993</v>
      </c>
      <c r="D431" t="s">
        <v>994</v>
      </c>
      <c r="E431" t="s">
        <v>230</v>
      </c>
      <c r="F431" t="s">
        <v>276</v>
      </c>
      <c r="H431" t="str" cm="1">
        <f t="array" ref="H431">_xlfn.TEXTJOIN(", ", TRUE, IF(I431:M431&gt;0, I$1:M$1, ""))</f>
        <v>Tech Application</v>
      </c>
      <c r="I431">
        <v>0</v>
      </c>
      <c r="J431">
        <v>6</v>
      </c>
      <c r="K431">
        <v>0</v>
      </c>
      <c r="L431">
        <v>0</v>
      </c>
      <c r="M431">
        <v>0</v>
      </c>
      <c r="N431">
        <v>0</v>
      </c>
    </row>
    <row r="432" spans="1:14" x14ac:dyDescent="0.35">
      <c r="A432" t="s">
        <v>6</v>
      </c>
      <c r="B432" t="s">
        <v>995</v>
      </c>
      <c r="D432" t="s">
        <v>996</v>
      </c>
      <c r="E432" t="s">
        <v>69</v>
      </c>
      <c r="F432" t="s">
        <v>55</v>
      </c>
      <c r="H432" t="str" cm="1">
        <f t="array" ref="H432">_xlfn.TEXTJOIN(", ", TRUE, IF(I432:M432&gt;0, I$1:M$1, ""))</f>
        <v>Tech Infrastructure</v>
      </c>
      <c r="I432">
        <v>2</v>
      </c>
      <c r="J432">
        <v>0</v>
      </c>
      <c r="K432">
        <v>0</v>
      </c>
      <c r="L432">
        <v>0</v>
      </c>
      <c r="M432">
        <v>0</v>
      </c>
      <c r="N432">
        <v>0</v>
      </c>
    </row>
    <row r="433" spans="1:14" x14ac:dyDescent="0.35">
      <c r="A433" t="s">
        <v>6</v>
      </c>
      <c r="B433" t="s">
        <v>997</v>
      </c>
      <c r="C433" t="s">
        <v>998</v>
      </c>
      <c r="E433" t="s">
        <v>121</v>
      </c>
      <c r="F433" t="s">
        <v>55</v>
      </c>
      <c r="H433" t="str" cm="1">
        <f t="array" ref="H433">_xlfn.TEXTJOIN(", ", TRUE, IF(I433:M433&gt;0, I$1:M$1, ""))</f>
        <v>Semantic View</v>
      </c>
      <c r="I433">
        <v>0</v>
      </c>
      <c r="J433">
        <v>0</v>
      </c>
      <c r="K433">
        <v>0</v>
      </c>
      <c r="L433">
        <v>0</v>
      </c>
      <c r="M433">
        <v>5</v>
      </c>
      <c r="N433">
        <v>0</v>
      </c>
    </row>
    <row r="434" spans="1:14" x14ac:dyDescent="0.35">
      <c r="A434" t="s">
        <v>6</v>
      </c>
      <c r="B434" t="s">
        <v>999</v>
      </c>
      <c r="D434" t="s">
        <v>1000</v>
      </c>
      <c r="E434" t="s">
        <v>59</v>
      </c>
      <c r="F434" t="s">
        <v>1001</v>
      </c>
      <c r="H434" t="str" cm="1">
        <f t="array" ref="H434">_xlfn.TEXTJOIN(", ", TRUE, IF(I434:M434&gt;0, I$1:M$1, ""))</f>
        <v>Semantic View</v>
      </c>
      <c r="I434">
        <v>0</v>
      </c>
      <c r="J434">
        <v>0</v>
      </c>
      <c r="K434">
        <v>0</v>
      </c>
      <c r="L434">
        <v>0</v>
      </c>
      <c r="M434">
        <v>5</v>
      </c>
      <c r="N434">
        <v>0</v>
      </c>
    </row>
    <row r="435" spans="1:14" x14ac:dyDescent="0.35">
      <c r="A435" t="s">
        <v>6</v>
      </c>
      <c r="B435" t="s">
        <v>1002</v>
      </c>
      <c r="C435" t="s">
        <v>1003</v>
      </c>
      <c r="E435" t="s">
        <v>1004</v>
      </c>
      <c r="F435" t="s">
        <v>55</v>
      </c>
      <c r="H435" t="str" cm="1">
        <f t="array" ref="H435">_xlfn.TEXTJOIN(", ", TRUE, IF(I435:M435&gt;0, I$1:M$1, ""))</f>
        <v>Tech Application, Organisational View</v>
      </c>
      <c r="I435">
        <v>0</v>
      </c>
      <c r="J435">
        <v>7</v>
      </c>
      <c r="K435">
        <v>0</v>
      </c>
      <c r="L435">
        <v>2</v>
      </c>
      <c r="M435">
        <v>0</v>
      </c>
      <c r="N435">
        <v>0</v>
      </c>
    </row>
    <row r="436" spans="1:14" x14ac:dyDescent="0.35">
      <c r="A436" t="s">
        <v>6</v>
      </c>
      <c r="B436" t="s">
        <v>1005</v>
      </c>
      <c r="E436" t="s">
        <v>50</v>
      </c>
      <c r="F436" t="s">
        <v>55</v>
      </c>
      <c r="H436" t="str" cm="1">
        <f t="array" ref="H436">_xlfn.TEXTJOIN(", ", TRUE, IF(I436:M436&gt;0, I$1:M$1, ""))</f>
        <v>Tech Application</v>
      </c>
      <c r="I436">
        <v>0</v>
      </c>
      <c r="J436">
        <v>1</v>
      </c>
      <c r="K436">
        <v>0</v>
      </c>
      <c r="L436">
        <v>0</v>
      </c>
      <c r="M436">
        <v>0</v>
      </c>
      <c r="N436">
        <v>0</v>
      </c>
    </row>
    <row r="437" spans="1:14" x14ac:dyDescent="0.35">
      <c r="A437" t="s">
        <v>6</v>
      </c>
      <c r="B437" t="s">
        <v>1006</v>
      </c>
      <c r="C437" t="s">
        <v>129</v>
      </c>
      <c r="D437" t="s">
        <v>1007</v>
      </c>
      <c r="E437" t="s">
        <v>230</v>
      </c>
      <c r="F437" t="s">
        <v>535</v>
      </c>
      <c r="H437" t="str" cm="1">
        <f t="array" ref="H437">_xlfn.TEXTJOIN(", ", TRUE, IF(I437:M437&gt;0, I$1:M$1, ""))</f>
        <v/>
      </c>
      <c r="I437">
        <v>0</v>
      </c>
      <c r="J437">
        <v>0</v>
      </c>
      <c r="K437">
        <v>0</v>
      </c>
      <c r="L437">
        <v>0</v>
      </c>
      <c r="M437">
        <v>0</v>
      </c>
      <c r="N437">
        <v>0</v>
      </c>
    </row>
    <row r="438" spans="1:14" x14ac:dyDescent="0.35">
      <c r="A438" t="s">
        <v>6</v>
      </c>
      <c r="B438" t="s">
        <v>1008</v>
      </c>
      <c r="D438" t="s">
        <v>1009</v>
      </c>
      <c r="E438" t="s">
        <v>1010</v>
      </c>
      <c r="F438" t="s">
        <v>51</v>
      </c>
      <c r="H438" t="str" cm="1">
        <f t="array" ref="H438">_xlfn.TEXTJOIN(", ", TRUE, IF(I438:M438&gt;0, I$1:M$1, ""))</f>
        <v>Semantic View</v>
      </c>
      <c r="I438">
        <v>0</v>
      </c>
      <c r="J438">
        <v>0</v>
      </c>
      <c r="K438">
        <v>0</v>
      </c>
      <c r="L438">
        <v>0</v>
      </c>
      <c r="M438">
        <v>2</v>
      </c>
      <c r="N438">
        <v>0</v>
      </c>
    </row>
    <row r="439" spans="1:14" x14ac:dyDescent="0.35">
      <c r="A439" t="s">
        <v>6</v>
      </c>
      <c r="B439" t="s">
        <v>1011</v>
      </c>
      <c r="E439" t="s">
        <v>620</v>
      </c>
      <c r="F439" t="s">
        <v>1012</v>
      </c>
      <c r="H439" t="str" cm="1">
        <f t="array" ref="H439">_xlfn.TEXTJOIN(", ", TRUE, IF(I439:M439&gt;0, I$1:M$1, ""))</f>
        <v>Tech Application</v>
      </c>
      <c r="I439">
        <v>0</v>
      </c>
      <c r="J439">
        <v>3</v>
      </c>
      <c r="K439">
        <v>0</v>
      </c>
      <c r="L439">
        <v>0</v>
      </c>
      <c r="M439">
        <v>0</v>
      </c>
      <c r="N439">
        <v>0</v>
      </c>
    </row>
    <row r="440" spans="1:14" x14ac:dyDescent="0.35">
      <c r="A440" t="s">
        <v>6</v>
      </c>
      <c r="B440" t="s">
        <v>1013</v>
      </c>
      <c r="D440" t="s">
        <v>1014</v>
      </c>
      <c r="E440" t="s">
        <v>66</v>
      </c>
      <c r="F440" t="s">
        <v>1015</v>
      </c>
      <c r="H440" t="str" cm="1">
        <f t="array" ref="H440">_xlfn.TEXTJOIN(", ", TRUE, IF(I440:M440&gt;0, I$1:M$1, ""))</f>
        <v>Legal View</v>
      </c>
      <c r="I440">
        <v>0</v>
      </c>
      <c r="J440">
        <v>0</v>
      </c>
      <c r="K440">
        <v>5</v>
      </c>
      <c r="L440">
        <v>0</v>
      </c>
      <c r="M440">
        <v>0</v>
      </c>
      <c r="N440">
        <v>0</v>
      </c>
    </row>
    <row r="441" spans="1:14" x14ac:dyDescent="0.35">
      <c r="A441" t="s">
        <v>6</v>
      </c>
      <c r="B441" t="s">
        <v>1016</v>
      </c>
      <c r="E441" t="s">
        <v>99</v>
      </c>
      <c r="F441" t="s">
        <v>152</v>
      </c>
      <c r="H441" t="str" cm="1">
        <f t="array" ref="H441">_xlfn.TEXTJOIN(", ", TRUE, IF(I441:M441&gt;0, I$1:M$1, ""))</f>
        <v/>
      </c>
      <c r="I441">
        <v>0</v>
      </c>
      <c r="J441">
        <v>0</v>
      </c>
      <c r="K441">
        <v>0</v>
      </c>
      <c r="L441">
        <v>0</v>
      </c>
      <c r="M441">
        <v>0</v>
      </c>
      <c r="N441">
        <v>0</v>
      </c>
    </row>
    <row r="442" spans="1:14" x14ac:dyDescent="0.35">
      <c r="A442" t="s">
        <v>6</v>
      </c>
      <c r="B442" t="s">
        <v>1017</v>
      </c>
      <c r="E442" t="s">
        <v>1017</v>
      </c>
      <c r="F442" t="s">
        <v>1018</v>
      </c>
      <c r="H442" t="str" cm="1">
        <f t="array" ref="H442">_xlfn.TEXTJOIN(", ", TRUE, IF(I442:M442&gt;0, I$1:M$1, ""))</f>
        <v>Tech Infrastructure</v>
      </c>
      <c r="I442">
        <v>1</v>
      </c>
      <c r="J442">
        <v>0</v>
      </c>
      <c r="K442">
        <v>0</v>
      </c>
      <c r="L442">
        <v>0</v>
      </c>
      <c r="M442">
        <v>0</v>
      </c>
      <c r="N442">
        <v>0</v>
      </c>
    </row>
    <row r="443" spans="1:14" x14ac:dyDescent="0.35">
      <c r="A443" t="s">
        <v>6</v>
      </c>
      <c r="B443" t="s">
        <v>1019</v>
      </c>
      <c r="E443" t="s">
        <v>293</v>
      </c>
      <c r="F443" t="s">
        <v>535</v>
      </c>
      <c r="H443" t="str" cm="1">
        <f t="array" ref="H443">_xlfn.TEXTJOIN(", ", TRUE, IF(I443:M443&gt;0, I$1:M$1, ""))</f>
        <v/>
      </c>
      <c r="I443">
        <v>0</v>
      </c>
      <c r="J443">
        <v>0</v>
      </c>
      <c r="K443">
        <v>0</v>
      </c>
      <c r="L443">
        <v>0</v>
      </c>
      <c r="M443">
        <v>0</v>
      </c>
      <c r="N443">
        <v>0</v>
      </c>
    </row>
    <row r="444" spans="1:14" x14ac:dyDescent="0.35">
      <c r="A444" t="s">
        <v>6</v>
      </c>
      <c r="B444" t="s">
        <v>1020</v>
      </c>
      <c r="C444" t="s">
        <v>581</v>
      </c>
      <c r="E444" t="s">
        <v>62</v>
      </c>
      <c r="F444" t="s">
        <v>111</v>
      </c>
      <c r="H444" t="str" cm="1">
        <f t="array" ref="H444">_xlfn.TEXTJOIN(", ", TRUE, IF(I444:M444&gt;0, I$1:M$1, ""))</f>
        <v>Tech Application, Organisational View</v>
      </c>
      <c r="I444">
        <v>0</v>
      </c>
      <c r="J444">
        <v>1</v>
      </c>
      <c r="K444">
        <v>0</v>
      </c>
      <c r="L444">
        <v>1</v>
      </c>
      <c r="M444">
        <v>0</v>
      </c>
      <c r="N444">
        <v>0</v>
      </c>
    </row>
    <row r="445" spans="1:14" x14ac:dyDescent="0.35">
      <c r="A445" t="s">
        <v>6</v>
      </c>
      <c r="B445" t="s">
        <v>1021</v>
      </c>
      <c r="C445" t="s">
        <v>1021</v>
      </c>
      <c r="E445" t="s">
        <v>50</v>
      </c>
      <c r="F445" t="s">
        <v>554</v>
      </c>
      <c r="H445" t="str" cm="1">
        <f t="array" ref="H445">_xlfn.TEXTJOIN(", ", TRUE, IF(I445:M445&gt;0, I$1:M$1, ""))</f>
        <v>Tech Application</v>
      </c>
      <c r="I445">
        <v>0</v>
      </c>
      <c r="J445">
        <v>2</v>
      </c>
      <c r="K445">
        <v>0</v>
      </c>
      <c r="L445">
        <v>0</v>
      </c>
      <c r="M445">
        <v>0</v>
      </c>
      <c r="N445">
        <v>2</v>
      </c>
    </row>
    <row r="446" spans="1:14" x14ac:dyDescent="0.35">
      <c r="A446" t="s">
        <v>6</v>
      </c>
      <c r="B446" t="s">
        <v>1022</v>
      </c>
      <c r="E446" t="s">
        <v>733</v>
      </c>
      <c r="F446" t="s">
        <v>276</v>
      </c>
      <c r="H446" t="str" cm="1">
        <f t="array" ref="H446">_xlfn.TEXTJOIN(", ", TRUE, IF(I446:M446&gt;0, I$1:M$1, ""))</f>
        <v>Semantic View</v>
      </c>
      <c r="I446">
        <v>0</v>
      </c>
      <c r="J446">
        <v>0</v>
      </c>
      <c r="K446">
        <v>0</v>
      </c>
      <c r="L446">
        <v>0</v>
      </c>
      <c r="M446">
        <v>2</v>
      </c>
      <c r="N446">
        <v>0</v>
      </c>
    </row>
    <row r="447" spans="1:14" x14ac:dyDescent="0.35">
      <c r="A447" t="s">
        <v>6</v>
      </c>
      <c r="B447" t="s">
        <v>1023</v>
      </c>
      <c r="C447" t="s">
        <v>1024</v>
      </c>
      <c r="E447" t="s">
        <v>96</v>
      </c>
      <c r="F447" t="s">
        <v>55</v>
      </c>
      <c r="H447" t="str" cm="1">
        <f t="array" ref="H447">_xlfn.TEXTJOIN(", ", TRUE, IF(I447:M447&gt;0, I$1:M$1, ""))</f>
        <v>Tech Infrastructure, Tech Application</v>
      </c>
      <c r="I447">
        <v>1</v>
      </c>
      <c r="J447">
        <v>2</v>
      </c>
      <c r="K447">
        <v>0</v>
      </c>
      <c r="L447">
        <v>0</v>
      </c>
      <c r="M447">
        <v>0</v>
      </c>
      <c r="N447">
        <v>1</v>
      </c>
    </row>
    <row r="448" spans="1:14" x14ac:dyDescent="0.35">
      <c r="A448" t="s">
        <v>6</v>
      </c>
      <c r="B448" t="s">
        <v>1025</v>
      </c>
      <c r="C448" t="s">
        <v>1026</v>
      </c>
      <c r="E448" t="s">
        <v>733</v>
      </c>
      <c r="F448" t="s">
        <v>51</v>
      </c>
      <c r="H448" t="str" cm="1">
        <f t="array" ref="H448">_xlfn.TEXTJOIN(", ", TRUE, IF(I448:M448&gt;0, I$1:M$1, ""))</f>
        <v>Tech Application, Semantic View</v>
      </c>
      <c r="I448">
        <v>0</v>
      </c>
      <c r="J448">
        <v>1</v>
      </c>
      <c r="K448">
        <v>0</v>
      </c>
      <c r="L448">
        <v>0</v>
      </c>
      <c r="M448">
        <v>1</v>
      </c>
      <c r="N448">
        <v>0</v>
      </c>
    </row>
    <row r="449" spans="1:14" x14ac:dyDescent="0.35">
      <c r="A449" t="s">
        <v>6</v>
      </c>
      <c r="B449" t="s">
        <v>1027</v>
      </c>
      <c r="C449" t="s">
        <v>1028</v>
      </c>
      <c r="E449" t="s">
        <v>62</v>
      </c>
      <c r="F449" t="s">
        <v>55</v>
      </c>
      <c r="H449" t="str" cm="1">
        <f t="array" ref="H449">_xlfn.TEXTJOIN(", ", TRUE, IF(I449:M449&gt;0, I$1:M$1, ""))</f>
        <v>Tech Infrastructure, Tech Application, Semantic View</v>
      </c>
      <c r="I449">
        <v>2</v>
      </c>
      <c r="J449">
        <v>4</v>
      </c>
      <c r="K449">
        <v>0</v>
      </c>
      <c r="L449">
        <v>0</v>
      </c>
      <c r="M449">
        <v>1</v>
      </c>
      <c r="N449">
        <v>1</v>
      </c>
    </row>
    <row r="450" spans="1:14" x14ac:dyDescent="0.35">
      <c r="A450" t="s">
        <v>6</v>
      </c>
      <c r="B450" t="s">
        <v>1029</v>
      </c>
      <c r="E450" t="s">
        <v>148</v>
      </c>
      <c r="F450" t="s">
        <v>1030</v>
      </c>
      <c r="H450" t="str" cm="1">
        <f t="array" ref="H450">_xlfn.TEXTJOIN(", ", TRUE, IF(I450:M450&gt;0, I$1:M$1, ""))</f>
        <v>Tech Application, Organisational View</v>
      </c>
      <c r="I450">
        <v>0</v>
      </c>
      <c r="J450">
        <v>1</v>
      </c>
      <c r="K450">
        <v>0</v>
      </c>
      <c r="L450">
        <v>1</v>
      </c>
      <c r="M450">
        <v>0</v>
      </c>
      <c r="N450">
        <v>0</v>
      </c>
    </row>
    <row r="451" spans="1:14" x14ac:dyDescent="0.35">
      <c r="A451" t="s">
        <v>6</v>
      </c>
      <c r="B451" t="s">
        <v>1031</v>
      </c>
      <c r="C451" t="s">
        <v>1028</v>
      </c>
      <c r="E451" t="s">
        <v>62</v>
      </c>
      <c r="F451" t="s">
        <v>51</v>
      </c>
      <c r="H451" t="str" cm="1">
        <f t="array" ref="H451">_xlfn.TEXTJOIN(", ", TRUE, IF(I451:M451&gt;0, I$1:M$1, ""))</f>
        <v>Tech Infrastructure, Tech Application, Semantic View</v>
      </c>
      <c r="I451">
        <v>2</v>
      </c>
      <c r="J451">
        <v>4</v>
      </c>
      <c r="K451">
        <v>0</v>
      </c>
      <c r="L451">
        <v>0</v>
      </c>
      <c r="M451">
        <v>1</v>
      </c>
      <c r="N451">
        <v>0</v>
      </c>
    </row>
    <row r="452" spans="1:14" x14ac:dyDescent="0.35">
      <c r="A452" t="s">
        <v>6</v>
      </c>
      <c r="B452" t="s">
        <v>1032</v>
      </c>
      <c r="E452" t="s">
        <v>293</v>
      </c>
      <c r="F452" t="s">
        <v>535</v>
      </c>
      <c r="H452" t="str" cm="1">
        <f t="array" ref="H452">_xlfn.TEXTJOIN(", ", TRUE, IF(I452:M452&gt;0, I$1:M$1, ""))</f>
        <v/>
      </c>
      <c r="I452">
        <v>0</v>
      </c>
      <c r="J452">
        <v>0</v>
      </c>
      <c r="K452">
        <v>0</v>
      </c>
      <c r="L452">
        <v>0</v>
      </c>
      <c r="M452">
        <v>0</v>
      </c>
      <c r="N452">
        <v>0</v>
      </c>
    </row>
    <row r="453" spans="1:14" x14ac:dyDescent="0.35">
      <c r="A453" t="s">
        <v>6</v>
      </c>
      <c r="B453" t="s">
        <v>1033</v>
      </c>
      <c r="C453" t="s">
        <v>1034</v>
      </c>
      <c r="D453" t="s">
        <v>1035</v>
      </c>
      <c r="E453" t="s">
        <v>222</v>
      </c>
      <c r="F453" t="s">
        <v>276</v>
      </c>
      <c r="H453" t="str" cm="1">
        <f t="array" ref="H453">_xlfn.TEXTJOIN(", ", TRUE, IF(I453:M453&gt;0, I$1:M$1, ""))</f>
        <v>Organisational View</v>
      </c>
      <c r="I453">
        <v>0</v>
      </c>
      <c r="J453">
        <v>0</v>
      </c>
      <c r="K453">
        <v>0</v>
      </c>
      <c r="L453">
        <v>1</v>
      </c>
      <c r="M453">
        <v>0</v>
      </c>
      <c r="N453">
        <v>1</v>
      </c>
    </row>
    <row r="454" spans="1:14" x14ac:dyDescent="0.35">
      <c r="A454" t="s">
        <v>6</v>
      </c>
      <c r="B454" t="s">
        <v>1036</v>
      </c>
      <c r="E454" t="s">
        <v>584</v>
      </c>
      <c r="F454" t="s">
        <v>125</v>
      </c>
      <c r="H454" t="str" cm="1">
        <f t="array" ref="H454">_xlfn.TEXTJOIN(", ", TRUE, IF(I454:M454&gt;0, I$1:M$1, ""))</f>
        <v>Tech Application</v>
      </c>
      <c r="I454">
        <v>0</v>
      </c>
      <c r="J454">
        <v>5</v>
      </c>
      <c r="K454">
        <v>0</v>
      </c>
      <c r="L454">
        <v>0</v>
      </c>
      <c r="M454">
        <v>0</v>
      </c>
      <c r="N454">
        <v>0</v>
      </c>
    </row>
    <row r="455" spans="1:14" x14ac:dyDescent="0.35">
      <c r="A455" t="s">
        <v>6</v>
      </c>
      <c r="B455" t="s">
        <v>1037</v>
      </c>
      <c r="C455" t="s">
        <v>1038</v>
      </c>
      <c r="E455" t="s">
        <v>360</v>
      </c>
      <c r="F455" t="s">
        <v>97</v>
      </c>
      <c r="H455" t="str" cm="1">
        <f t="array" ref="H455">_xlfn.TEXTJOIN(", ", TRUE, IF(I455:M455&gt;0, I$1:M$1, ""))</f>
        <v>Tech Infrastructure, Tech Application</v>
      </c>
      <c r="I455">
        <v>2</v>
      </c>
      <c r="J455">
        <v>4</v>
      </c>
      <c r="K455">
        <v>0</v>
      </c>
      <c r="L455">
        <v>0</v>
      </c>
      <c r="M455">
        <v>0</v>
      </c>
      <c r="N455">
        <v>1</v>
      </c>
    </row>
    <row r="456" spans="1:14" x14ac:dyDescent="0.35">
      <c r="A456" t="s">
        <v>6</v>
      </c>
      <c r="B456" t="s">
        <v>1039</v>
      </c>
      <c r="D456" t="s">
        <v>1040</v>
      </c>
      <c r="E456" t="s">
        <v>69</v>
      </c>
      <c r="F456" t="s">
        <v>55</v>
      </c>
      <c r="H456" t="str" cm="1">
        <f t="array" ref="H456">_xlfn.TEXTJOIN(", ", TRUE, IF(I456:M456&gt;0, I$1:M$1, ""))</f>
        <v>Tech Infrastructure, Tech Application</v>
      </c>
      <c r="I456">
        <v>3</v>
      </c>
      <c r="J456">
        <v>4</v>
      </c>
      <c r="K456">
        <v>0</v>
      </c>
      <c r="L456">
        <v>0</v>
      </c>
      <c r="M456">
        <v>0</v>
      </c>
      <c r="N456">
        <v>0</v>
      </c>
    </row>
    <row r="457" spans="1:14" x14ac:dyDescent="0.35">
      <c r="A457" t="s">
        <v>6</v>
      </c>
      <c r="B457" t="s">
        <v>1041</v>
      </c>
      <c r="C457" t="s">
        <v>1042</v>
      </c>
      <c r="E457" t="s">
        <v>148</v>
      </c>
      <c r="F457" t="s">
        <v>1043</v>
      </c>
      <c r="H457" t="str" cm="1">
        <f t="array" ref="H457">_xlfn.TEXTJOIN(", ", TRUE, IF(I457:M457&gt;0, I$1:M$1, ""))</f>
        <v>Tech Infrastructure, Tech Application</v>
      </c>
      <c r="I457">
        <v>1</v>
      </c>
      <c r="J457">
        <v>3</v>
      </c>
      <c r="K457">
        <v>0</v>
      </c>
      <c r="L457">
        <v>0</v>
      </c>
      <c r="M457">
        <v>0</v>
      </c>
      <c r="N457">
        <v>0</v>
      </c>
    </row>
    <row r="458" spans="1:14" x14ac:dyDescent="0.35">
      <c r="A458" t="s">
        <v>6</v>
      </c>
      <c r="B458" t="s">
        <v>1044</v>
      </c>
      <c r="C458" t="s">
        <v>1045</v>
      </c>
      <c r="E458" t="s">
        <v>455</v>
      </c>
      <c r="F458" t="s">
        <v>180</v>
      </c>
      <c r="H458" t="str" cm="1">
        <f t="array" ref="H458">_xlfn.TEXTJOIN(", ", TRUE, IF(I458:M458&gt;0, I$1:M$1, ""))</f>
        <v>Tech Application</v>
      </c>
      <c r="I458">
        <v>0</v>
      </c>
      <c r="J458">
        <v>2</v>
      </c>
      <c r="K458">
        <v>0</v>
      </c>
      <c r="L458">
        <v>0</v>
      </c>
      <c r="M458">
        <v>0</v>
      </c>
      <c r="N458">
        <v>1</v>
      </c>
    </row>
    <row r="459" spans="1:14" x14ac:dyDescent="0.35">
      <c r="A459" t="s">
        <v>6</v>
      </c>
      <c r="B459" t="s">
        <v>1046</v>
      </c>
      <c r="D459" t="s">
        <v>1047</v>
      </c>
      <c r="E459" t="s">
        <v>59</v>
      </c>
      <c r="F459" t="s">
        <v>100</v>
      </c>
      <c r="H459" t="str" cm="1">
        <f t="array" ref="H459">_xlfn.TEXTJOIN(", ", TRUE, IF(I459:M459&gt;0, I$1:M$1, ""))</f>
        <v>Tech Application</v>
      </c>
      <c r="I459">
        <v>0</v>
      </c>
      <c r="J459">
        <v>7</v>
      </c>
      <c r="K459">
        <v>0</v>
      </c>
      <c r="L459">
        <v>0</v>
      </c>
      <c r="M459">
        <v>0</v>
      </c>
      <c r="N459">
        <v>1</v>
      </c>
    </row>
    <row r="460" spans="1:14" x14ac:dyDescent="0.35">
      <c r="A460" t="s">
        <v>6</v>
      </c>
      <c r="B460" t="s">
        <v>1048</v>
      </c>
      <c r="D460" t="s">
        <v>1049</v>
      </c>
      <c r="E460" t="s">
        <v>50</v>
      </c>
      <c r="F460" t="s">
        <v>55</v>
      </c>
      <c r="H460" t="str" cm="1">
        <f t="array" ref="H460">_xlfn.TEXTJOIN(", ", TRUE, IF(I460:M460&gt;0, I$1:M$1, ""))</f>
        <v/>
      </c>
      <c r="I460">
        <v>0</v>
      </c>
      <c r="J460">
        <v>0</v>
      </c>
      <c r="K460">
        <v>0</v>
      </c>
      <c r="L460">
        <v>0</v>
      </c>
      <c r="M460">
        <v>0</v>
      </c>
      <c r="N460">
        <v>0</v>
      </c>
    </row>
    <row r="461" spans="1:14" x14ac:dyDescent="0.35">
      <c r="A461" t="s">
        <v>6</v>
      </c>
      <c r="B461" t="s">
        <v>1050</v>
      </c>
      <c r="C461" t="s">
        <v>1051</v>
      </c>
      <c r="E461" t="s">
        <v>438</v>
      </c>
      <c r="F461" t="s">
        <v>55</v>
      </c>
      <c r="H461" t="str" cm="1">
        <f t="array" ref="H461">_xlfn.TEXTJOIN(", ", TRUE, IF(I461:M461&gt;0, I$1:M$1, ""))</f>
        <v>Tech Infrastructure, Tech Application</v>
      </c>
      <c r="I461">
        <v>1</v>
      </c>
      <c r="J461">
        <v>1</v>
      </c>
      <c r="K461">
        <v>0</v>
      </c>
      <c r="L461">
        <v>0</v>
      </c>
      <c r="M461">
        <v>0</v>
      </c>
      <c r="N461">
        <v>0</v>
      </c>
    </row>
    <row r="462" spans="1:14" x14ac:dyDescent="0.35">
      <c r="A462" t="s">
        <v>6</v>
      </c>
      <c r="B462" t="s">
        <v>1052</v>
      </c>
      <c r="C462" t="s">
        <v>912</v>
      </c>
      <c r="D462" t="s">
        <v>1053</v>
      </c>
      <c r="E462" t="s">
        <v>59</v>
      </c>
      <c r="F462" t="s">
        <v>155</v>
      </c>
      <c r="H462" t="str" cm="1">
        <f t="array" ref="H462">_xlfn.TEXTJOIN(", ", TRUE, IF(I462:M462&gt;0, I$1:M$1, ""))</f>
        <v>Tech Application</v>
      </c>
      <c r="I462">
        <v>0</v>
      </c>
      <c r="J462">
        <v>4</v>
      </c>
      <c r="K462">
        <v>0</v>
      </c>
      <c r="L462">
        <v>0</v>
      </c>
      <c r="M462">
        <v>0</v>
      </c>
      <c r="N462">
        <v>0</v>
      </c>
    </row>
    <row r="463" spans="1:14" x14ac:dyDescent="0.35">
      <c r="A463" t="s">
        <v>6</v>
      </c>
      <c r="B463" t="s">
        <v>1052</v>
      </c>
      <c r="C463" t="s">
        <v>912</v>
      </c>
      <c r="D463" t="s">
        <v>1053</v>
      </c>
      <c r="E463" t="s">
        <v>59</v>
      </c>
      <c r="F463" t="s">
        <v>189</v>
      </c>
      <c r="H463" t="str" cm="1">
        <f t="array" ref="H463">_xlfn.TEXTJOIN(", ", TRUE, IF(I463:M463&gt;0, I$1:M$1, ""))</f>
        <v>Tech Application</v>
      </c>
      <c r="I463">
        <v>0</v>
      </c>
      <c r="J463">
        <v>4</v>
      </c>
      <c r="K463">
        <v>0</v>
      </c>
      <c r="L463">
        <v>0</v>
      </c>
      <c r="M463">
        <v>0</v>
      </c>
      <c r="N463">
        <v>1</v>
      </c>
    </row>
    <row r="464" spans="1:14" x14ac:dyDescent="0.35">
      <c r="A464" t="s">
        <v>6</v>
      </c>
      <c r="B464" t="s">
        <v>1054</v>
      </c>
      <c r="E464" t="s">
        <v>62</v>
      </c>
      <c r="F464" t="s">
        <v>1055</v>
      </c>
      <c r="H464" t="str" cm="1">
        <f t="array" ref="H464">_xlfn.TEXTJOIN(", ", TRUE, IF(I464:M464&gt;0, I$1:M$1, ""))</f>
        <v>Tech Application</v>
      </c>
      <c r="I464">
        <v>0</v>
      </c>
      <c r="J464">
        <v>1</v>
      </c>
      <c r="K464">
        <v>0</v>
      </c>
      <c r="L464">
        <v>0</v>
      </c>
      <c r="M464">
        <v>0</v>
      </c>
      <c r="N464">
        <v>0</v>
      </c>
    </row>
    <row r="465" spans="1:14" x14ac:dyDescent="0.35">
      <c r="A465" t="s">
        <v>6</v>
      </c>
      <c r="B465" t="s">
        <v>1056</v>
      </c>
      <c r="D465" t="s">
        <v>1057</v>
      </c>
      <c r="E465" t="s">
        <v>66</v>
      </c>
      <c r="F465" t="s">
        <v>1058</v>
      </c>
      <c r="H465" t="str" cm="1">
        <f t="array" ref="H465">_xlfn.TEXTJOIN(", ", TRUE, IF(I465:M465&gt;0, I$1:M$1, ""))</f>
        <v>Legal View</v>
      </c>
      <c r="I465">
        <v>0</v>
      </c>
      <c r="J465">
        <v>0</v>
      </c>
      <c r="K465">
        <v>1</v>
      </c>
      <c r="L465">
        <v>0</v>
      </c>
      <c r="M465">
        <v>0</v>
      </c>
      <c r="N465">
        <v>0</v>
      </c>
    </row>
    <row r="466" spans="1:14" x14ac:dyDescent="0.35">
      <c r="A466" t="s">
        <v>6</v>
      </c>
      <c r="B466" t="s">
        <v>1059</v>
      </c>
      <c r="C466" t="s">
        <v>1059</v>
      </c>
      <c r="E466" t="s">
        <v>1060</v>
      </c>
      <c r="F466" t="s">
        <v>1061</v>
      </c>
      <c r="H466" t="str" cm="1">
        <f t="array" ref="H466">_xlfn.TEXTJOIN(", ", TRUE, IF(I466:M466&gt;0, I$1:M$1, ""))</f>
        <v>Tech Application, Semantic View</v>
      </c>
      <c r="I466">
        <v>0</v>
      </c>
      <c r="J466">
        <v>1</v>
      </c>
      <c r="K466">
        <v>0</v>
      </c>
      <c r="L466">
        <v>0</v>
      </c>
      <c r="M466">
        <v>1</v>
      </c>
      <c r="N466">
        <v>1</v>
      </c>
    </row>
    <row r="467" spans="1:14" x14ac:dyDescent="0.35">
      <c r="A467" t="s">
        <v>6</v>
      </c>
      <c r="B467" t="s">
        <v>1062</v>
      </c>
      <c r="D467" t="s">
        <v>1063</v>
      </c>
      <c r="E467" t="s">
        <v>59</v>
      </c>
      <c r="F467" t="s">
        <v>305</v>
      </c>
      <c r="H467" t="str" cm="1">
        <f t="array" ref="H467">_xlfn.TEXTJOIN(", ", TRUE, IF(I467:M467&gt;0, I$1:M$1, ""))</f>
        <v>Tech Application, Organisational View</v>
      </c>
      <c r="I467">
        <v>0</v>
      </c>
      <c r="J467">
        <v>2</v>
      </c>
      <c r="K467">
        <v>0</v>
      </c>
      <c r="L467">
        <v>2</v>
      </c>
      <c r="M467">
        <v>0</v>
      </c>
      <c r="N467">
        <v>0</v>
      </c>
    </row>
    <row r="468" spans="1:14" x14ac:dyDescent="0.35">
      <c r="A468" t="s">
        <v>6</v>
      </c>
      <c r="B468" t="s">
        <v>1064</v>
      </c>
      <c r="C468" t="s">
        <v>1065</v>
      </c>
      <c r="E468" t="s">
        <v>50</v>
      </c>
      <c r="F468" t="s">
        <v>111</v>
      </c>
      <c r="H468" t="str" cm="1">
        <f t="array" ref="H468">_xlfn.TEXTJOIN(", ", TRUE, IF(I468:M468&gt;0, I$1:M$1, ""))</f>
        <v>Tech Application</v>
      </c>
      <c r="I468">
        <v>0</v>
      </c>
      <c r="J468">
        <v>2</v>
      </c>
      <c r="K468">
        <v>0</v>
      </c>
      <c r="L468">
        <v>0</v>
      </c>
      <c r="M468">
        <v>0</v>
      </c>
      <c r="N468">
        <v>0</v>
      </c>
    </row>
    <row r="469" spans="1:14" x14ac:dyDescent="0.35">
      <c r="A469" t="s">
        <v>6</v>
      </c>
      <c r="B469" t="s">
        <v>1066</v>
      </c>
      <c r="E469" t="s">
        <v>1067</v>
      </c>
      <c r="F469" t="s">
        <v>55</v>
      </c>
      <c r="H469" t="str" cm="1">
        <f t="array" ref="H469">_xlfn.TEXTJOIN(", ", TRUE, IF(I469:M469&gt;0, I$1:M$1, ""))</f>
        <v>Tech Application</v>
      </c>
      <c r="I469">
        <v>0</v>
      </c>
      <c r="J469">
        <v>4</v>
      </c>
      <c r="K469">
        <v>0</v>
      </c>
      <c r="L469">
        <v>0</v>
      </c>
      <c r="M469">
        <v>0</v>
      </c>
      <c r="N469">
        <v>0</v>
      </c>
    </row>
    <row r="470" spans="1:14" x14ac:dyDescent="0.35">
      <c r="A470" t="s">
        <v>6</v>
      </c>
      <c r="B470" t="s">
        <v>1068</v>
      </c>
      <c r="D470" t="s">
        <v>1069</v>
      </c>
      <c r="E470" t="s">
        <v>230</v>
      </c>
      <c r="F470" t="s">
        <v>55</v>
      </c>
      <c r="H470" t="str" cm="1">
        <f t="array" ref="H470">_xlfn.TEXTJOIN(", ", TRUE, IF(I470:M470&gt;0, I$1:M$1, ""))</f>
        <v>Tech Infrastructure, Tech Application</v>
      </c>
      <c r="I470">
        <v>1</v>
      </c>
      <c r="J470">
        <v>1</v>
      </c>
      <c r="K470">
        <v>0</v>
      </c>
      <c r="L470">
        <v>0</v>
      </c>
      <c r="M470">
        <v>0</v>
      </c>
      <c r="N470">
        <v>0</v>
      </c>
    </row>
    <row r="471" spans="1:14" x14ac:dyDescent="0.35">
      <c r="A471" t="s">
        <v>6</v>
      </c>
      <c r="B471" t="s">
        <v>1070</v>
      </c>
      <c r="C471" t="s">
        <v>1070</v>
      </c>
      <c r="E471" t="s">
        <v>86</v>
      </c>
      <c r="F471" t="s">
        <v>92</v>
      </c>
      <c r="H471" t="str" cm="1">
        <f t="array" ref="H471">_xlfn.TEXTJOIN(", ", TRUE, IF(I471:M471&gt;0, I$1:M$1, ""))</f>
        <v>Tech Application, Semantic View</v>
      </c>
      <c r="I471">
        <v>0</v>
      </c>
      <c r="J471">
        <v>1</v>
      </c>
      <c r="K471">
        <v>0</v>
      </c>
      <c r="L471">
        <v>0</v>
      </c>
      <c r="M471">
        <v>1</v>
      </c>
      <c r="N471">
        <v>0</v>
      </c>
    </row>
    <row r="472" spans="1:14" x14ac:dyDescent="0.35">
      <c r="A472" t="s">
        <v>6</v>
      </c>
      <c r="B472" t="s">
        <v>1071</v>
      </c>
      <c r="E472" t="s">
        <v>69</v>
      </c>
      <c r="F472" t="s">
        <v>1072</v>
      </c>
      <c r="H472" t="str" cm="1">
        <f t="array" ref="H472">_xlfn.TEXTJOIN(", ", TRUE, IF(I472:M472&gt;0, I$1:M$1, ""))</f>
        <v>Tech Application</v>
      </c>
      <c r="I472">
        <v>0</v>
      </c>
      <c r="J472">
        <v>4</v>
      </c>
      <c r="K472">
        <v>0</v>
      </c>
      <c r="L472">
        <v>0</v>
      </c>
      <c r="M472">
        <v>0</v>
      </c>
      <c r="N472">
        <v>0</v>
      </c>
    </row>
    <row r="473" spans="1:14" x14ac:dyDescent="0.35">
      <c r="A473" t="s">
        <v>6</v>
      </c>
      <c r="B473" t="s">
        <v>1073</v>
      </c>
      <c r="C473" t="s">
        <v>546</v>
      </c>
      <c r="E473" t="s">
        <v>121</v>
      </c>
      <c r="F473" t="s">
        <v>51</v>
      </c>
      <c r="H473" t="str" cm="1">
        <f t="array" ref="H473">_xlfn.TEXTJOIN(", ", TRUE, IF(I473:M473&gt;0, I$1:M$1, ""))</f>
        <v>Tech Application, Semantic View</v>
      </c>
      <c r="I473">
        <v>0</v>
      </c>
      <c r="J473">
        <v>4</v>
      </c>
      <c r="K473">
        <v>0</v>
      </c>
      <c r="L473">
        <v>0</v>
      </c>
      <c r="M473">
        <v>8</v>
      </c>
      <c r="N473">
        <v>2</v>
      </c>
    </row>
    <row r="474" spans="1:14" x14ac:dyDescent="0.35">
      <c r="A474" t="s">
        <v>6</v>
      </c>
      <c r="B474" t="s">
        <v>1074</v>
      </c>
      <c r="E474" t="s">
        <v>1074</v>
      </c>
      <c r="F474" t="s">
        <v>55</v>
      </c>
      <c r="H474" t="str" cm="1">
        <f t="array" ref="H474">_xlfn.TEXTJOIN(", ", TRUE, IF(I474:M474&gt;0, I$1:M$1, ""))</f>
        <v>Tech Application</v>
      </c>
      <c r="I474">
        <v>0</v>
      </c>
      <c r="J474">
        <v>2</v>
      </c>
      <c r="K474">
        <v>0</v>
      </c>
      <c r="L474">
        <v>0</v>
      </c>
      <c r="M474">
        <v>0</v>
      </c>
      <c r="N474">
        <v>0</v>
      </c>
    </row>
    <row r="475" spans="1:14" x14ac:dyDescent="0.35">
      <c r="A475" t="s">
        <v>6</v>
      </c>
      <c r="B475" t="s">
        <v>1075</v>
      </c>
      <c r="C475" t="s">
        <v>1076</v>
      </c>
      <c r="D475" t="s">
        <v>1077</v>
      </c>
      <c r="E475" t="s">
        <v>50</v>
      </c>
      <c r="F475" t="s">
        <v>55</v>
      </c>
      <c r="H475" t="str" cm="1">
        <f t="array" ref="H475">_xlfn.TEXTJOIN(", ", TRUE, IF(I475:M475&gt;0, I$1:M$1, ""))</f>
        <v>Semantic View</v>
      </c>
      <c r="I475">
        <v>0</v>
      </c>
      <c r="J475">
        <v>0</v>
      </c>
      <c r="K475">
        <v>0</v>
      </c>
      <c r="L475">
        <v>0</v>
      </c>
      <c r="M475">
        <v>1</v>
      </c>
      <c r="N475">
        <v>0</v>
      </c>
    </row>
    <row r="476" spans="1:14" x14ac:dyDescent="0.35">
      <c r="A476" t="s">
        <v>6</v>
      </c>
      <c r="B476" t="s">
        <v>1078</v>
      </c>
      <c r="D476" t="s">
        <v>1079</v>
      </c>
      <c r="E476" t="s">
        <v>50</v>
      </c>
      <c r="F476" t="s">
        <v>55</v>
      </c>
      <c r="H476" t="str" cm="1">
        <f t="array" ref="H476">_xlfn.TEXTJOIN(", ", TRUE, IF(I476:M476&gt;0, I$1:M$1, ""))</f>
        <v>Tech Application</v>
      </c>
      <c r="I476">
        <v>0</v>
      </c>
      <c r="J476">
        <v>4</v>
      </c>
      <c r="K476">
        <v>0</v>
      </c>
      <c r="L476">
        <v>0</v>
      </c>
      <c r="M476">
        <v>0</v>
      </c>
      <c r="N476">
        <v>0</v>
      </c>
    </row>
    <row r="477" spans="1:14" x14ac:dyDescent="0.35">
      <c r="A477" t="s">
        <v>6</v>
      </c>
      <c r="B477" t="s">
        <v>1080</v>
      </c>
      <c r="D477" t="s">
        <v>1081</v>
      </c>
      <c r="E477" t="s">
        <v>69</v>
      </c>
      <c r="F477" t="s">
        <v>55</v>
      </c>
      <c r="H477" t="str" cm="1">
        <f t="array" ref="H477">_xlfn.TEXTJOIN(", ", TRUE, IF(I477:M477&gt;0, I$1:M$1, ""))</f>
        <v>Tech Application, Semantic View</v>
      </c>
      <c r="I477">
        <v>0</v>
      </c>
      <c r="J477">
        <v>2</v>
      </c>
      <c r="K477">
        <v>0</v>
      </c>
      <c r="L477">
        <v>0</v>
      </c>
      <c r="M477">
        <v>2</v>
      </c>
      <c r="N477">
        <v>0</v>
      </c>
    </row>
    <row r="478" spans="1:14" x14ac:dyDescent="0.35">
      <c r="A478" t="s">
        <v>6</v>
      </c>
      <c r="B478" t="s">
        <v>1082</v>
      </c>
      <c r="C478" t="s">
        <v>1083</v>
      </c>
      <c r="D478" t="s">
        <v>1084</v>
      </c>
      <c r="E478" t="s">
        <v>50</v>
      </c>
      <c r="F478" t="s">
        <v>1085</v>
      </c>
      <c r="H478" t="str" cm="1">
        <f t="array" ref="H478">_xlfn.TEXTJOIN(", ", TRUE, IF(I478:M478&gt;0, I$1:M$1, ""))</f>
        <v>Tech Application</v>
      </c>
      <c r="I478">
        <v>0</v>
      </c>
      <c r="J478">
        <v>2</v>
      </c>
      <c r="K478">
        <v>0</v>
      </c>
      <c r="L478">
        <v>0</v>
      </c>
      <c r="M478">
        <v>0</v>
      </c>
      <c r="N478">
        <v>2</v>
      </c>
    </row>
    <row r="479" spans="1:14" x14ac:dyDescent="0.35">
      <c r="A479" t="s">
        <v>6</v>
      </c>
      <c r="B479" t="s">
        <v>1086</v>
      </c>
      <c r="C479" t="s">
        <v>1086</v>
      </c>
      <c r="E479" t="s">
        <v>66</v>
      </c>
      <c r="F479" t="s">
        <v>55</v>
      </c>
      <c r="H479" t="str" cm="1">
        <f t="array" ref="H479">_xlfn.TEXTJOIN(", ", TRUE, IF(I479:M479&gt;0, I$1:M$1, ""))</f>
        <v/>
      </c>
      <c r="I479">
        <v>0</v>
      </c>
      <c r="J479">
        <v>0</v>
      </c>
      <c r="K479">
        <v>0</v>
      </c>
      <c r="L479">
        <v>0</v>
      </c>
      <c r="M479">
        <v>0</v>
      </c>
      <c r="N479">
        <v>0</v>
      </c>
    </row>
    <row r="480" spans="1:14" x14ac:dyDescent="0.35">
      <c r="A480" t="s">
        <v>6</v>
      </c>
      <c r="B480" t="s">
        <v>1087</v>
      </c>
      <c r="C480" t="s">
        <v>1088</v>
      </c>
      <c r="E480" t="s">
        <v>121</v>
      </c>
      <c r="F480" t="s">
        <v>55</v>
      </c>
      <c r="H480" t="str" cm="1">
        <f t="array" ref="H480">_xlfn.TEXTJOIN(", ", TRUE, IF(I480:M480&gt;0, I$1:M$1, ""))</f>
        <v>Semantic View</v>
      </c>
      <c r="I480">
        <v>0</v>
      </c>
      <c r="J480">
        <v>0</v>
      </c>
      <c r="K480">
        <v>0</v>
      </c>
      <c r="L480">
        <v>0</v>
      </c>
      <c r="M480">
        <v>1</v>
      </c>
      <c r="N480">
        <v>0</v>
      </c>
    </row>
    <row r="481" spans="1:14" x14ac:dyDescent="0.35">
      <c r="A481" t="s">
        <v>6</v>
      </c>
      <c r="B481" t="s">
        <v>1089</v>
      </c>
      <c r="E481" t="s">
        <v>592</v>
      </c>
      <c r="F481" t="s">
        <v>92</v>
      </c>
      <c r="H481" t="str" cm="1">
        <f t="array" ref="H481">_xlfn.TEXTJOIN(", ", TRUE, IF(I481:M481&gt;0, I$1:M$1, ""))</f>
        <v>Tech Application</v>
      </c>
      <c r="I481">
        <v>0</v>
      </c>
      <c r="J481">
        <v>3</v>
      </c>
      <c r="K481">
        <v>0</v>
      </c>
      <c r="L481">
        <v>0</v>
      </c>
      <c r="M481">
        <v>0</v>
      </c>
      <c r="N481">
        <v>0</v>
      </c>
    </row>
    <row r="482" spans="1:14" x14ac:dyDescent="0.35">
      <c r="A482" t="s">
        <v>6</v>
      </c>
      <c r="B482" t="s">
        <v>1090</v>
      </c>
      <c r="C482" t="s">
        <v>73</v>
      </c>
      <c r="E482" t="s">
        <v>50</v>
      </c>
      <c r="F482" t="s">
        <v>152</v>
      </c>
      <c r="H482" t="str" cm="1">
        <f t="array" ref="H482">_xlfn.TEXTJOIN(", ", TRUE, IF(I482:M482&gt;0, I$1:M$1, ""))</f>
        <v/>
      </c>
      <c r="I482">
        <v>0</v>
      </c>
      <c r="J482">
        <v>0</v>
      </c>
      <c r="K482">
        <v>0</v>
      </c>
      <c r="L482">
        <v>0</v>
      </c>
      <c r="M482">
        <v>0</v>
      </c>
      <c r="N482">
        <v>0</v>
      </c>
    </row>
    <row r="483" spans="1:14" x14ac:dyDescent="0.35">
      <c r="A483" t="s">
        <v>6</v>
      </c>
      <c r="B483" t="s">
        <v>1091</v>
      </c>
      <c r="E483" t="s">
        <v>1092</v>
      </c>
      <c r="F483" t="s">
        <v>1093</v>
      </c>
      <c r="H483" t="str" cm="1">
        <f t="array" ref="H483">_xlfn.TEXTJOIN(", ", TRUE, IF(I483:M483&gt;0, I$1:M$1, ""))</f>
        <v>Semantic View</v>
      </c>
      <c r="I483">
        <v>0</v>
      </c>
      <c r="J483">
        <v>0</v>
      </c>
      <c r="K483">
        <v>0</v>
      </c>
      <c r="L483">
        <v>0</v>
      </c>
      <c r="M483">
        <v>6</v>
      </c>
      <c r="N483">
        <v>1</v>
      </c>
    </row>
    <row r="484" spans="1:14" x14ac:dyDescent="0.35">
      <c r="A484" t="s">
        <v>6</v>
      </c>
      <c r="B484" t="s">
        <v>1094</v>
      </c>
      <c r="C484" t="s">
        <v>1095</v>
      </c>
      <c r="E484" t="s">
        <v>99</v>
      </c>
      <c r="F484" t="s">
        <v>152</v>
      </c>
      <c r="H484" t="str" cm="1">
        <f t="array" ref="H484">_xlfn.TEXTJOIN(", ", TRUE, IF(I484:M484&gt;0, I$1:M$1, ""))</f>
        <v>Tech Infrastructure, Tech Application</v>
      </c>
      <c r="I484">
        <v>1</v>
      </c>
      <c r="J484">
        <v>2</v>
      </c>
      <c r="K484">
        <v>0</v>
      </c>
      <c r="L484">
        <v>0</v>
      </c>
      <c r="M484">
        <v>0</v>
      </c>
      <c r="N484">
        <v>0</v>
      </c>
    </row>
    <row r="485" spans="1:14" x14ac:dyDescent="0.35">
      <c r="A485" t="s">
        <v>6</v>
      </c>
      <c r="B485" t="s">
        <v>1096</v>
      </c>
      <c r="C485" t="s">
        <v>1097</v>
      </c>
      <c r="E485" t="s">
        <v>96</v>
      </c>
      <c r="F485" t="s">
        <v>97</v>
      </c>
      <c r="H485" t="str" cm="1">
        <f t="array" ref="H485">_xlfn.TEXTJOIN(", ", TRUE, IF(I485:M485&gt;0, I$1:M$1, ""))</f>
        <v>Tech Infrastructure</v>
      </c>
      <c r="I485">
        <v>1</v>
      </c>
      <c r="J485">
        <v>0</v>
      </c>
      <c r="K485">
        <v>0</v>
      </c>
      <c r="L485">
        <v>0</v>
      </c>
      <c r="M485">
        <v>0</v>
      </c>
      <c r="N485">
        <v>0</v>
      </c>
    </row>
    <row r="486" spans="1:14" x14ac:dyDescent="0.35">
      <c r="A486" t="s">
        <v>6</v>
      </c>
      <c r="B486" t="s">
        <v>983</v>
      </c>
      <c r="E486" t="s">
        <v>62</v>
      </c>
      <c r="F486" t="s">
        <v>92</v>
      </c>
      <c r="H486" t="str" cm="1">
        <f t="array" ref="H486">_xlfn.TEXTJOIN(", ", TRUE, IF(I486:M486&gt;0, I$1:M$1, ""))</f>
        <v>Tech Application, Semantic View</v>
      </c>
      <c r="I486">
        <v>0</v>
      </c>
      <c r="J486">
        <v>4</v>
      </c>
      <c r="K486">
        <v>0</v>
      </c>
      <c r="L486">
        <v>0</v>
      </c>
      <c r="M486">
        <v>11</v>
      </c>
      <c r="N486">
        <v>0</v>
      </c>
    </row>
    <row r="487" spans="1:14" x14ac:dyDescent="0.35">
      <c r="A487" t="s">
        <v>6</v>
      </c>
      <c r="B487" t="s">
        <v>1098</v>
      </c>
      <c r="C487" t="s">
        <v>1098</v>
      </c>
      <c r="E487" t="s">
        <v>62</v>
      </c>
      <c r="F487" t="s">
        <v>180</v>
      </c>
      <c r="H487" t="str" cm="1">
        <f t="array" ref="H487">_xlfn.TEXTJOIN(", ", TRUE, IF(I487:M487&gt;0, I$1:M$1, ""))</f>
        <v>Semantic View</v>
      </c>
      <c r="I487">
        <v>0</v>
      </c>
      <c r="J487">
        <v>0</v>
      </c>
      <c r="K487">
        <v>0</v>
      </c>
      <c r="L487">
        <v>0</v>
      </c>
      <c r="M487">
        <v>2</v>
      </c>
      <c r="N487">
        <v>0</v>
      </c>
    </row>
    <row r="488" spans="1:14" x14ac:dyDescent="0.35">
      <c r="A488" t="s">
        <v>6</v>
      </c>
      <c r="B488" t="s">
        <v>1099</v>
      </c>
      <c r="D488" t="s">
        <v>1100</v>
      </c>
      <c r="E488" t="s">
        <v>69</v>
      </c>
      <c r="F488" t="s">
        <v>55</v>
      </c>
      <c r="H488" t="str" cm="1">
        <f t="array" ref="H488">_xlfn.TEXTJOIN(", ", TRUE, IF(I488:M488&gt;0, I$1:M$1, ""))</f>
        <v>Tech Infrastructure</v>
      </c>
      <c r="I488">
        <v>1</v>
      </c>
      <c r="J488">
        <v>0</v>
      </c>
      <c r="K488">
        <v>0</v>
      </c>
      <c r="L488">
        <v>0</v>
      </c>
      <c r="M488">
        <v>0</v>
      </c>
      <c r="N488">
        <v>0</v>
      </c>
    </row>
    <row r="489" spans="1:14" x14ac:dyDescent="0.35">
      <c r="A489" t="s">
        <v>6</v>
      </c>
      <c r="B489" t="s">
        <v>1101</v>
      </c>
      <c r="E489" t="s">
        <v>1102</v>
      </c>
      <c r="F489" t="s">
        <v>55</v>
      </c>
      <c r="H489" t="str" cm="1">
        <f t="array" ref="H489">_xlfn.TEXTJOIN(", ", TRUE, IF(I489:M489&gt;0, I$1:M$1, ""))</f>
        <v>Tech Application, Organisational View</v>
      </c>
      <c r="I489">
        <v>0</v>
      </c>
      <c r="J489">
        <v>1</v>
      </c>
      <c r="K489">
        <v>0</v>
      </c>
      <c r="L489">
        <v>1</v>
      </c>
      <c r="M489">
        <v>0</v>
      </c>
      <c r="N489">
        <v>0</v>
      </c>
    </row>
    <row r="490" spans="1:14" x14ac:dyDescent="0.35">
      <c r="A490" t="s">
        <v>6</v>
      </c>
      <c r="B490" t="s">
        <v>1103</v>
      </c>
      <c r="E490" t="s">
        <v>1104</v>
      </c>
      <c r="F490" t="s">
        <v>1105</v>
      </c>
      <c r="H490" t="str" cm="1">
        <f t="array" ref="H490">_xlfn.TEXTJOIN(", ", TRUE, IF(I490:M490&gt;0, I$1:M$1, ""))</f>
        <v>Tech Application</v>
      </c>
      <c r="I490">
        <v>0</v>
      </c>
      <c r="J490">
        <v>4</v>
      </c>
      <c r="K490">
        <v>0</v>
      </c>
      <c r="L490">
        <v>0</v>
      </c>
      <c r="M490">
        <v>0</v>
      </c>
      <c r="N490">
        <v>0</v>
      </c>
    </row>
    <row r="491" spans="1:14" x14ac:dyDescent="0.35">
      <c r="A491" t="s">
        <v>6</v>
      </c>
      <c r="B491" t="s">
        <v>1106</v>
      </c>
      <c r="C491" t="s">
        <v>1107</v>
      </c>
      <c r="E491" t="s">
        <v>864</v>
      </c>
      <c r="F491" t="s">
        <v>51</v>
      </c>
      <c r="H491" t="str" cm="1">
        <f t="array" ref="H491">_xlfn.TEXTJOIN(", ", TRUE, IF(I491:M491&gt;0, I$1:M$1, ""))</f>
        <v>Semantic View</v>
      </c>
      <c r="I491">
        <v>0</v>
      </c>
      <c r="J491">
        <v>0</v>
      </c>
      <c r="K491">
        <v>0</v>
      </c>
      <c r="L491">
        <v>0</v>
      </c>
      <c r="M491">
        <v>9</v>
      </c>
      <c r="N491">
        <v>0</v>
      </c>
    </row>
    <row r="492" spans="1:14" x14ac:dyDescent="0.35">
      <c r="A492" t="s">
        <v>6</v>
      </c>
      <c r="B492" t="s">
        <v>1108</v>
      </c>
      <c r="E492" t="s">
        <v>62</v>
      </c>
      <c r="F492" t="s">
        <v>152</v>
      </c>
      <c r="H492" t="str" cm="1">
        <f t="array" ref="H492">_xlfn.TEXTJOIN(", ", TRUE, IF(I492:M492&gt;0, I$1:M$1, ""))</f>
        <v>Tech Application</v>
      </c>
      <c r="I492">
        <v>0</v>
      </c>
      <c r="J492">
        <v>2</v>
      </c>
      <c r="K492">
        <v>0</v>
      </c>
      <c r="L492">
        <v>0</v>
      </c>
      <c r="M492">
        <v>0</v>
      </c>
      <c r="N492">
        <v>0</v>
      </c>
    </row>
    <row r="493" spans="1:14" x14ac:dyDescent="0.35">
      <c r="A493" t="s">
        <v>6</v>
      </c>
      <c r="B493" t="s">
        <v>1109</v>
      </c>
      <c r="E493" t="s">
        <v>59</v>
      </c>
      <c r="F493" t="s">
        <v>100</v>
      </c>
      <c r="H493" t="str" cm="1">
        <f t="array" ref="H493">_xlfn.TEXTJOIN(", ", TRUE, IF(I493:M493&gt;0, I$1:M$1, ""))</f>
        <v/>
      </c>
      <c r="I493">
        <v>0</v>
      </c>
      <c r="J493">
        <v>0</v>
      </c>
      <c r="K493">
        <v>0</v>
      </c>
      <c r="L493">
        <v>0</v>
      </c>
      <c r="M493">
        <v>0</v>
      </c>
      <c r="N493">
        <v>0</v>
      </c>
    </row>
    <row r="494" spans="1:14" x14ac:dyDescent="0.35">
      <c r="A494" t="s">
        <v>6</v>
      </c>
      <c r="B494" t="s">
        <v>1110</v>
      </c>
      <c r="C494" t="s">
        <v>1111</v>
      </c>
      <c r="E494" t="s">
        <v>864</v>
      </c>
      <c r="F494" t="s">
        <v>92</v>
      </c>
      <c r="H494" t="str" cm="1">
        <f t="array" ref="H494">_xlfn.TEXTJOIN(", ", TRUE, IF(I494:M494&gt;0, I$1:M$1, ""))</f>
        <v>Semantic View</v>
      </c>
      <c r="I494">
        <v>0</v>
      </c>
      <c r="J494">
        <v>0</v>
      </c>
      <c r="K494">
        <v>0</v>
      </c>
      <c r="L494">
        <v>0</v>
      </c>
      <c r="M494">
        <v>3</v>
      </c>
      <c r="N494">
        <v>0</v>
      </c>
    </row>
    <row r="495" spans="1:14" x14ac:dyDescent="0.35">
      <c r="A495" t="s">
        <v>6</v>
      </c>
      <c r="B495" t="s">
        <v>1112</v>
      </c>
      <c r="E495" t="s">
        <v>66</v>
      </c>
      <c r="F495" t="s">
        <v>55</v>
      </c>
      <c r="H495" t="str" cm="1">
        <f t="array" ref="H495">_xlfn.TEXTJOIN(", ", TRUE, IF(I495:M495&gt;0, I$1:M$1, ""))</f>
        <v>Semantic View</v>
      </c>
      <c r="I495">
        <v>0</v>
      </c>
      <c r="J495">
        <v>0</v>
      </c>
      <c r="K495">
        <v>0</v>
      </c>
      <c r="L495">
        <v>0</v>
      </c>
      <c r="M495">
        <v>2</v>
      </c>
      <c r="N495">
        <v>0</v>
      </c>
    </row>
    <row r="496" spans="1:14" x14ac:dyDescent="0.35">
      <c r="A496" t="s">
        <v>6</v>
      </c>
      <c r="B496" t="s">
        <v>1113</v>
      </c>
      <c r="C496" t="s">
        <v>1114</v>
      </c>
      <c r="D496" t="s">
        <v>1115</v>
      </c>
      <c r="E496" t="s">
        <v>230</v>
      </c>
      <c r="F496" t="s">
        <v>55</v>
      </c>
      <c r="H496" t="str" cm="1">
        <f t="array" ref="H496">_xlfn.TEXTJOIN(", ", TRUE, IF(I496:M496&gt;0, I$1:M$1, ""))</f>
        <v/>
      </c>
      <c r="I496">
        <v>0</v>
      </c>
      <c r="J496">
        <v>0</v>
      </c>
      <c r="K496">
        <v>0</v>
      </c>
      <c r="L496">
        <v>0</v>
      </c>
      <c r="M496">
        <v>0</v>
      </c>
      <c r="N496">
        <v>0</v>
      </c>
    </row>
    <row r="497" spans="1:14" x14ac:dyDescent="0.35">
      <c r="A497" t="s">
        <v>6</v>
      </c>
      <c r="B497" t="s">
        <v>1116</v>
      </c>
      <c r="C497" t="s">
        <v>1117</v>
      </c>
      <c r="E497" t="s">
        <v>96</v>
      </c>
      <c r="F497" t="s">
        <v>152</v>
      </c>
      <c r="H497" t="str" cm="1">
        <f t="array" ref="H497">_xlfn.TEXTJOIN(", ", TRUE, IF(I497:M497&gt;0, I$1:M$1, ""))</f>
        <v>Tech Application, Organisational View</v>
      </c>
      <c r="I497">
        <v>0</v>
      </c>
      <c r="J497">
        <v>2</v>
      </c>
      <c r="K497">
        <v>0</v>
      </c>
      <c r="L497">
        <v>1</v>
      </c>
      <c r="M497">
        <v>0</v>
      </c>
      <c r="N497">
        <v>0</v>
      </c>
    </row>
    <row r="498" spans="1:14" x14ac:dyDescent="0.35">
      <c r="A498" t="s">
        <v>6</v>
      </c>
      <c r="B498" t="s">
        <v>1118</v>
      </c>
      <c r="C498" t="s">
        <v>1119</v>
      </c>
      <c r="D498" t="s">
        <v>1120</v>
      </c>
      <c r="E498" t="s">
        <v>230</v>
      </c>
      <c r="F498" t="s">
        <v>55</v>
      </c>
      <c r="H498" t="str" cm="1">
        <f t="array" ref="H498">_xlfn.TEXTJOIN(", ", TRUE, IF(I498:M498&gt;0, I$1:M$1, ""))</f>
        <v/>
      </c>
      <c r="I498">
        <v>0</v>
      </c>
      <c r="J498">
        <v>0</v>
      </c>
      <c r="K498">
        <v>0</v>
      </c>
      <c r="L498">
        <v>0</v>
      </c>
      <c r="M498">
        <v>0</v>
      </c>
      <c r="N498">
        <v>0</v>
      </c>
    </row>
    <row r="499" spans="1:14" x14ac:dyDescent="0.35">
      <c r="A499" t="s">
        <v>6</v>
      </c>
      <c r="B499" t="s">
        <v>1121</v>
      </c>
      <c r="C499" t="s">
        <v>1122</v>
      </c>
      <c r="D499" t="s">
        <v>1123</v>
      </c>
      <c r="E499" t="s">
        <v>50</v>
      </c>
      <c r="F499" t="s">
        <v>554</v>
      </c>
      <c r="H499" t="str" cm="1">
        <f t="array" ref="H499">_xlfn.TEXTJOIN(", ", TRUE, IF(I499:M499&gt;0, I$1:M$1, ""))</f>
        <v>Tech Application</v>
      </c>
      <c r="I499">
        <v>0</v>
      </c>
      <c r="J499">
        <v>2</v>
      </c>
      <c r="K499">
        <v>0</v>
      </c>
      <c r="L499">
        <v>0</v>
      </c>
      <c r="M499">
        <v>0</v>
      </c>
      <c r="N499">
        <v>2</v>
      </c>
    </row>
    <row r="500" spans="1:14" x14ac:dyDescent="0.35">
      <c r="A500" t="s">
        <v>6</v>
      </c>
      <c r="B500" t="s">
        <v>1124</v>
      </c>
      <c r="E500" t="s">
        <v>99</v>
      </c>
      <c r="F500" t="s">
        <v>55</v>
      </c>
      <c r="H500" t="str" cm="1">
        <f t="array" ref="H500">_xlfn.TEXTJOIN(", ", TRUE, IF(I500:M500&gt;0, I$1:M$1, ""))</f>
        <v>Tech Infrastructure</v>
      </c>
      <c r="I500">
        <v>2</v>
      </c>
      <c r="J500">
        <v>0</v>
      </c>
      <c r="K500">
        <v>0</v>
      </c>
      <c r="L500">
        <v>0</v>
      </c>
      <c r="M500">
        <v>0</v>
      </c>
      <c r="N500">
        <v>0</v>
      </c>
    </row>
    <row r="501" spans="1:14" x14ac:dyDescent="0.35">
      <c r="A501" t="s">
        <v>6</v>
      </c>
      <c r="B501" t="s">
        <v>1125</v>
      </c>
      <c r="D501" t="s">
        <v>1126</v>
      </c>
      <c r="E501" t="s">
        <v>59</v>
      </c>
      <c r="F501" t="s">
        <v>100</v>
      </c>
      <c r="H501" t="str" cm="1">
        <f t="array" ref="H501">_xlfn.TEXTJOIN(", ", TRUE, IF(I501:M501&gt;0, I$1:M$1, ""))</f>
        <v>Tech Application</v>
      </c>
      <c r="I501">
        <v>0</v>
      </c>
      <c r="J501">
        <v>2</v>
      </c>
      <c r="K501">
        <v>0</v>
      </c>
      <c r="L501">
        <v>0</v>
      </c>
      <c r="M501">
        <v>0</v>
      </c>
      <c r="N501">
        <v>0</v>
      </c>
    </row>
    <row r="502" spans="1:14" x14ac:dyDescent="0.35">
      <c r="A502" t="s">
        <v>6</v>
      </c>
      <c r="B502" t="s">
        <v>1127</v>
      </c>
      <c r="C502" t="s">
        <v>930</v>
      </c>
      <c r="E502" t="s">
        <v>733</v>
      </c>
      <c r="F502" t="s">
        <v>74</v>
      </c>
      <c r="H502" t="str" cm="1">
        <f t="array" ref="H502">_xlfn.TEXTJOIN(", ", TRUE, IF(I502:M502&gt;0, I$1:M$1, ""))</f>
        <v>Tech Application</v>
      </c>
      <c r="I502">
        <v>0</v>
      </c>
      <c r="J502">
        <v>2</v>
      </c>
      <c r="K502">
        <v>0</v>
      </c>
      <c r="L502">
        <v>0</v>
      </c>
      <c r="M502">
        <v>0</v>
      </c>
      <c r="N502">
        <v>0</v>
      </c>
    </row>
    <row r="503" spans="1:14" x14ac:dyDescent="0.35">
      <c r="A503" t="s">
        <v>6</v>
      </c>
      <c r="B503" t="s">
        <v>1128</v>
      </c>
      <c r="D503" t="s">
        <v>1129</v>
      </c>
      <c r="E503" t="s">
        <v>69</v>
      </c>
      <c r="F503" t="s">
        <v>55</v>
      </c>
      <c r="H503" t="str" cm="1">
        <f t="array" ref="H503">_xlfn.TEXTJOIN(", ", TRUE, IF(I503:M503&gt;0, I$1:M$1, ""))</f>
        <v>Tech Application</v>
      </c>
      <c r="I503">
        <v>0</v>
      </c>
      <c r="J503">
        <v>2</v>
      </c>
      <c r="K503">
        <v>0</v>
      </c>
      <c r="L503">
        <v>0</v>
      </c>
      <c r="M503">
        <v>0</v>
      </c>
      <c r="N503">
        <v>0</v>
      </c>
    </row>
    <row r="504" spans="1:14" x14ac:dyDescent="0.35">
      <c r="A504" t="s">
        <v>6</v>
      </c>
      <c r="B504" t="s">
        <v>1130</v>
      </c>
      <c r="C504" t="s">
        <v>1131</v>
      </c>
      <c r="D504" t="s">
        <v>1132</v>
      </c>
      <c r="E504" t="s">
        <v>59</v>
      </c>
      <c r="F504" t="s">
        <v>100</v>
      </c>
      <c r="H504" t="str" cm="1">
        <f t="array" ref="H504">_xlfn.TEXTJOIN(", ", TRUE, IF(I504:M504&gt;0, I$1:M$1, ""))</f>
        <v>Tech Application</v>
      </c>
      <c r="I504">
        <v>0</v>
      </c>
      <c r="J504">
        <v>2</v>
      </c>
      <c r="K504">
        <v>0</v>
      </c>
      <c r="L504">
        <v>0</v>
      </c>
      <c r="M504">
        <v>0</v>
      </c>
      <c r="N504">
        <v>0</v>
      </c>
    </row>
    <row r="505" spans="1:14" x14ac:dyDescent="0.35">
      <c r="A505" t="s">
        <v>6</v>
      </c>
      <c r="B505" t="s">
        <v>1133</v>
      </c>
      <c r="D505" t="s">
        <v>1134</v>
      </c>
      <c r="E505" t="s">
        <v>50</v>
      </c>
      <c r="F505" t="s">
        <v>330</v>
      </c>
      <c r="H505" t="str" cm="1">
        <f t="array" ref="H505">_xlfn.TEXTJOIN(", ", TRUE, IF(I505:M505&gt;0, I$1:M$1, ""))</f>
        <v>Tech Infrastructure</v>
      </c>
      <c r="I505">
        <v>1</v>
      </c>
      <c r="J505">
        <v>0</v>
      </c>
      <c r="K505">
        <v>0</v>
      </c>
      <c r="L505">
        <v>0</v>
      </c>
      <c r="M505">
        <v>0</v>
      </c>
      <c r="N505">
        <v>0</v>
      </c>
    </row>
    <row r="506" spans="1:14" x14ac:dyDescent="0.35">
      <c r="A506" t="s">
        <v>6</v>
      </c>
      <c r="B506" t="s">
        <v>1135</v>
      </c>
      <c r="C506" t="s">
        <v>1136</v>
      </c>
      <c r="E506" t="s">
        <v>920</v>
      </c>
      <c r="F506" t="s">
        <v>55</v>
      </c>
      <c r="H506" t="str" cm="1">
        <f t="array" ref="H506">_xlfn.TEXTJOIN(", ", TRUE, IF(I506:M506&gt;0, I$1:M$1, ""))</f>
        <v>Semantic View</v>
      </c>
      <c r="I506">
        <v>0</v>
      </c>
      <c r="J506">
        <v>0</v>
      </c>
      <c r="K506">
        <v>0</v>
      </c>
      <c r="L506">
        <v>0</v>
      </c>
      <c r="M506">
        <v>4</v>
      </c>
      <c r="N506">
        <v>0</v>
      </c>
    </row>
    <row r="507" spans="1:14" x14ac:dyDescent="0.35">
      <c r="A507" t="s">
        <v>6</v>
      </c>
      <c r="B507" t="s">
        <v>1137</v>
      </c>
      <c r="E507" t="s">
        <v>154</v>
      </c>
      <c r="F507" t="s">
        <v>155</v>
      </c>
      <c r="H507" t="str" cm="1">
        <f t="array" ref="H507">_xlfn.TEXTJOIN(", ", TRUE, IF(I507:M507&gt;0, I$1:M$1, ""))</f>
        <v>Tech Application</v>
      </c>
      <c r="I507">
        <v>0</v>
      </c>
      <c r="J507">
        <v>3</v>
      </c>
      <c r="K507">
        <v>0</v>
      </c>
      <c r="L507">
        <v>0</v>
      </c>
      <c r="M507">
        <v>0</v>
      </c>
      <c r="N507">
        <v>0</v>
      </c>
    </row>
    <row r="508" spans="1:14" x14ac:dyDescent="0.35">
      <c r="A508" t="s">
        <v>6</v>
      </c>
      <c r="B508" t="s">
        <v>1138</v>
      </c>
      <c r="C508" t="s">
        <v>1139</v>
      </c>
      <c r="E508" t="s">
        <v>91</v>
      </c>
      <c r="F508" t="s">
        <v>281</v>
      </c>
      <c r="H508" t="str" cm="1">
        <f t="array" ref="H508">_xlfn.TEXTJOIN(", ", TRUE, IF(I508:M508&gt;0, I$1:M$1, ""))</f>
        <v>Semantic View</v>
      </c>
      <c r="I508">
        <v>0</v>
      </c>
      <c r="J508">
        <v>0</v>
      </c>
      <c r="K508">
        <v>0</v>
      </c>
      <c r="L508">
        <v>0</v>
      </c>
      <c r="M508">
        <v>1</v>
      </c>
      <c r="N508">
        <v>0</v>
      </c>
    </row>
    <row r="509" spans="1:14" x14ac:dyDescent="0.35">
      <c r="A509" t="s">
        <v>6</v>
      </c>
      <c r="B509" t="s">
        <v>1140</v>
      </c>
      <c r="E509" t="s">
        <v>121</v>
      </c>
      <c r="F509" t="s">
        <v>92</v>
      </c>
      <c r="H509" t="str" cm="1">
        <f t="array" ref="H509">_xlfn.TEXTJOIN(", ", TRUE, IF(I509:M509&gt;0, I$1:M$1, ""))</f>
        <v>Tech Application</v>
      </c>
      <c r="I509">
        <v>0</v>
      </c>
      <c r="J509">
        <v>2</v>
      </c>
      <c r="K509">
        <v>0</v>
      </c>
      <c r="L509">
        <v>0</v>
      </c>
      <c r="M509">
        <v>0</v>
      </c>
      <c r="N509">
        <v>0</v>
      </c>
    </row>
    <row r="510" spans="1:14" x14ac:dyDescent="0.35">
      <c r="A510" t="s">
        <v>6</v>
      </c>
      <c r="B510" t="s">
        <v>1141</v>
      </c>
      <c r="E510" t="s">
        <v>1142</v>
      </c>
      <c r="F510" t="s">
        <v>276</v>
      </c>
      <c r="H510" t="str" cm="1">
        <f t="array" ref="H510">_xlfn.TEXTJOIN(", ", TRUE, IF(I510:M510&gt;0, I$1:M$1, ""))</f>
        <v>Tech Application</v>
      </c>
      <c r="I510">
        <v>0</v>
      </c>
      <c r="J510">
        <v>2</v>
      </c>
      <c r="K510">
        <v>0</v>
      </c>
      <c r="L510">
        <v>0</v>
      </c>
      <c r="M510">
        <v>0</v>
      </c>
      <c r="N510">
        <v>0</v>
      </c>
    </row>
    <row r="511" spans="1:14" x14ac:dyDescent="0.35">
      <c r="A511" t="s">
        <v>6</v>
      </c>
      <c r="B511" t="s">
        <v>1143</v>
      </c>
      <c r="E511" t="s">
        <v>1144</v>
      </c>
      <c r="F511" t="s">
        <v>1145</v>
      </c>
      <c r="H511" t="str" cm="1">
        <f t="array" ref="H511">_xlfn.TEXTJOIN(", ", TRUE, IF(I511:M511&gt;0, I$1:M$1, ""))</f>
        <v>Tech Application</v>
      </c>
      <c r="I511">
        <v>0</v>
      </c>
      <c r="J511">
        <v>3</v>
      </c>
      <c r="K511">
        <v>0</v>
      </c>
      <c r="L511">
        <v>0</v>
      </c>
      <c r="M511">
        <v>0</v>
      </c>
      <c r="N511">
        <v>0</v>
      </c>
    </row>
    <row r="512" spans="1:14" x14ac:dyDescent="0.35">
      <c r="A512" t="s">
        <v>6</v>
      </c>
      <c r="B512" t="s">
        <v>1146</v>
      </c>
      <c r="D512" t="s">
        <v>1147</v>
      </c>
      <c r="E512" t="s">
        <v>1148</v>
      </c>
      <c r="F512" t="s">
        <v>51</v>
      </c>
      <c r="H512" t="str" cm="1">
        <f t="array" ref="H512">_xlfn.TEXTJOIN(", ", TRUE, IF(I512:M512&gt;0, I$1:M$1, ""))</f>
        <v>Tech Application, Organisational View</v>
      </c>
      <c r="I512">
        <v>0</v>
      </c>
      <c r="J512">
        <v>1</v>
      </c>
      <c r="K512">
        <v>0</v>
      </c>
      <c r="L512">
        <v>9</v>
      </c>
      <c r="M512">
        <v>0</v>
      </c>
      <c r="N512">
        <v>0</v>
      </c>
    </row>
    <row r="513" spans="1:14" x14ac:dyDescent="0.35">
      <c r="A513" t="s">
        <v>6</v>
      </c>
      <c r="B513" t="s">
        <v>1149</v>
      </c>
      <c r="C513" t="s">
        <v>1149</v>
      </c>
      <c r="E513" t="s">
        <v>678</v>
      </c>
      <c r="F513" t="s">
        <v>51</v>
      </c>
      <c r="H513" t="str" cm="1">
        <f t="array" ref="H513">_xlfn.TEXTJOIN(", ", TRUE, IF(I513:M513&gt;0, I$1:M$1, ""))</f>
        <v>Tech Application</v>
      </c>
      <c r="I513">
        <v>0</v>
      </c>
      <c r="J513">
        <v>1</v>
      </c>
      <c r="K513">
        <v>0</v>
      </c>
      <c r="L513">
        <v>0</v>
      </c>
      <c r="M513">
        <v>0</v>
      </c>
      <c r="N513">
        <v>0</v>
      </c>
    </row>
    <row r="514" spans="1:14" x14ac:dyDescent="0.35">
      <c r="A514" t="s">
        <v>6</v>
      </c>
      <c r="B514" t="s">
        <v>1150</v>
      </c>
      <c r="D514" t="s">
        <v>1151</v>
      </c>
      <c r="E514" t="s">
        <v>66</v>
      </c>
      <c r="F514" t="s">
        <v>1152</v>
      </c>
      <c r="H514" t="str" cm="1">
        <f t="array" ref="H514">_xlfn.TEXTJOIN(", ", TRUE, IF(I514:M514&gt;0, I$1:M$1, ""))</f>
        <v>Legal View</v>
      </c>
      <c r="I514">
        <v>0</v>
      </c>
      <c r="J514">
        <v>0</v>
      </c>
      <c r="K514">
        <v>5</v>
      </c>
      <c r="L514">
        <v>0</v>
      </c>
      <c r="M514">
        <v>0</v>
      </c>
      <c r="N514">
        <v>0</v>
      </c>
    </row>
    <row r="515" spans="1:14" x14ac:dyDescent="0.35">
      <c r="A515" t="s">
        <v>6</v>
      </c>
      <c r="B515" t="s">
        <v>1153</v>
      </c>
      <c r="E515" t="s">
        <v>66</v>
      </c>
      <c r="F515" t="s">
        <v>1154</v>
      </c>
      <c r="H515" t="str" cm="1">
        <f t="array" ref="H515">_xlfn.TEXTJOIN(", ", TRUE, IF(I515:M515&gt;0, I$1:M$1, ""))</f>
        <v>Legal View</v>
      </c>
      <c r="I515">
        <v>0</v>
      </c>
      <c r="J515">
        <v>0</v>
      </c>
      <c r="K515">
        <v>1</v>
      </c>
      <c r="L515">
        <v>0</v>
      </c>
      <c r="M515">
        <v>0</v>
      </c>
      <c r="N515">
        <v>0</v>
      </c>
    </row>
    <row r="516" spans="1:14" x14ac:dyDescent="0.35">
      <c r="A516" t="s">
        <v>6</v>
      </c>
      <c r="B516" t="s">
        <v>1155</v>
      </c>
      <c r="D516" t="s">
        <v>1156</v>
      </c>
      <c r="E516" t="s">
        <v>50</v>
      </c>
      <c r="F516" t="s">
        <v>55</v>
      </c>
      <c r="H516" t="str" cm="1">
        <f t="array" ref="H516">_xlfn.TEXTJOIN(", ", TRUE, IF(I516:M516&gt;0, I$1:M$1, ""))</f>
        <v>Semantic View</v>
      </c>
      <c r="I516">
        <v>0</v>
      </c>
      <c r="J516">
        <v>0</v>
      </c>
      <c r="K516">
        <v>0</v>
      </c>
      <c r="L516">
        <v>0</v>
      </c>
      <c r="M516">
        <v>2</v>
      </c>
      <c r="N516">
        <v>0</v>
      </c>
    </row>
    <row r="517" spans="1:14" x14ac:dyDescent="0.35">
      <c r="A517" t="s">
        <v>6</v>
      </c>
      <c r="B517" t="s">
        <v>1157</v>
      </c>
      <c r="D517" t="s">
        <v>1158</v>
      </c>
      <c r="E517" t="s">
        <v>59</v>
      </c>
      <c r="F517" t="s">
        <v>100</v>
      </c>
      <c r="H517" t="str" cm="1">
        <f t="array" ref="H517">_xlfn.TEXTJOIN(", ", TRUE, IF(I517:M517&gt;0, I$1:M$1, ""))</f>
        <v>Tech Application, Legal View, Organisational View</v>
      </c>
      <c r="I517">
        <v>0</v>
      </c>
      <c r="J517">
        <v>5</v>
      </c>
      <c r="K517">
        <v>3</v>
      </c>
      <c r="L517">
        <v>1</v>
      </c>
      <c r="M517">
        <v>0</v>
      </c>
      <c r="N517">
        <v>0</v>
      </c>
    </row>
    <row r="518" spans="1:14" x14ac:dyDescent="0.35">
      <c r="A518" t="s">
        <v>6</v>
      </c>
      <c r="B518" t="s">
        <v>1159</v>
      </c>
      <c r="D518" t="s">
        <v>1160</v>
      </c>
      <c r="E518" t="s">
        <v>59</v>
      </c>
      <c r="F518" t="s">
        <v>100</v>
      </c>
      <c r="H518" t="str" cm="1">
        <f t="array" ref="H518">_xlfn.TEXTJOIN(", ", TRUE, IF(I518:M518&gt;0, I$1:M$1, ""))</f>
        <v>Tech Infrastructure, Tech Application</v>
      </c>
      <c r="I518">
        <v>1</v>
      </c>
      <c r="J518">
        <v>4</v>
      </c>
      <c r="K518">
        <v>0</v>
      </c>
      <c r="L518">
        <v>0</v>
      </c>
      <c r="M518">
        <v>0</v>
      </c>
      <c r="N518">
        <v>0</v>
      </c>
    </row>
    <row r="519" spans="1:14" x14ac:dyDescent="0.35">
      <c r="A519" t="s">
        <v>6</v>
      </c>
      <c r="B519" t="s">
        <v>1161</v>
      </c>
      <c r="D519" t="s">
        <v>1162</v>
      </c>
      <c r="E519" t="s">
        <v>50</v>
      </c>
      <c r="F519" t="s">
        <v>55</v>
      </c>
      <c r="H519" t="str" cm="1">
        <f t="array" ref="H519">_xlfn.TEXTJOIN(", ", TRUE, IF(I519:M519&gt;0, I$1:M$1, ""))</f>
        <v>Tech Application</v>
      </c>
      <c r="I519">
        <v>0</v>
      </c>
      <c r="J519">
        <v>4</v>
      </c>
      <c r="K519">
        <v>0</v>
      </c>
      <c r="L519">
        <v>0</v>
      </c>
      <c r="M519">
        <v>0</v>
      </c>
      <c r="N519">
        <v>0</v>
      </c>
    </row>
    <row r="520" spans="1:14" x14ac:dyDescent="0.35">
      <c r="A520" t="s">
        <v>6</v>
      </c>
      <c r="B520" t="s">
        <v>1163</v>
      </c>
      <c r="C520" t="s">
        <v>1164</v>
      </c>
      <c r="E520" t="s">
        <v>50</v>
      </c>
      <c r="F520" t="s">
        <v>1165</v>
      </c>
      <c r="H520" t="str" cm="1">
        <f t="array" ref="H520">_xlfn.TEXTJOIN(", ", TRUE, IF(I520:M520&gt;0, I$1:M$1, ""))</f>
        <v>Tech Application</v>
      </c>
      <c r="I520">
        <v>0</v>
      </c>
      <c r="J520">
        <v>2</v>
      </c>
      <c r="K520">
        <v>0</v>
      </c>
      <c r="L520">
        <v>0</v>
      </c>
      <c r="M520">
        <v>0</v>
      </c>
      <c r="N520">
        <v>0</v>
      </c>
    </row>
    <row r="521" spans="1:14" x14ac:dyDescent="0.35">
      <c r="A521" t="s">
        <v>6</v>
      </c>
      <c r="B521" t="s">
        <v>1166</v>
      </c>
      <c r="D521" t="s">
        <v>1167</v>
      </c>
      <c r="E521" t="s">
        <v>121</v>
      </c>
      <c r="F521" t="s">
        <v>92</v>
      </c>
      <c r="H521" t="str" cm="1">
        <f t="array" ref="H521">_xlfn.TEXTJOIN(", ", TRUE, IF(I521:M521&gt;0, I$1:M$1, ""))</f>
        <v>Tech Infrastructure, Tech Application</v>
      </c>
      <c r="I521">
        <v>4</v>
      </c>
      <c r="J521">
        <v>2</v>
      </c>
      <c r="K521">
        <v>0</v>
      </c>
      <c r="L521">
        <v>0</v>
      </c>
      <c r="M521">
        <v>0</v>
      </c>
      <c r="N521">
        <v>1</v>
      </c>
    </row>
    <row r="522" spans="1:14" x14ac:dyDescent="0.35">
      <c r="A522" t="s">
        <v>6</v>
      </c>
      <c r="B522" t="s">
        <v>1168</v>
      </c>
      <c r="C522" t="s">
        <v>1169</v>
      </c>
      <c r="E522" t="s">
        <v>121</v>
      </c>
      <c r="F522" t="s">
        <v>97</v>
      </c>
      <c r="H522" t="str" cm="1">
        <f t="array" ref="H522">_xlfn.TEXTJOIN(", ", TRUE, IF(I522:M522&gt;0, I$1:M$1, ""))</f>
        <v>Tech Application, Semantic View</v>
      </c>
      <c r="I522">
        <v>0</v>
      </c>
      <c r="J522">
        <v>1</v>
      </c>
      <c r="K522">
        <v>0</v>
      </c>
      <c r="L522">
        <v>0</v>
      </c>
      <c r="M522">
        <v>3</v>
      </c>
      <c r="N522">
        <v>2</v>
      </c>
    </row>
    <row r="523" spans="1:14" x14ac:dyDescent="0.35">
      <c r="A523" t="s">
        <v>6</v>
      </c>
      <c r="B523" t="s">
        <v>1170</v>
      </c>
      <c r="E523" t="s">
        <v>886</v>
      </c>
      <c r="F523" t="s">
        <v>55</v>
      </c>
      <c r="H523" t="str" cm="1">
        <f t="array" ref="H523">_xlfn.TEXTJOIN(", ", TRUE, IF(I523:M523&gt;0, I$1:M$1, ""))</f>
        <v>Tech Infrastructure</v>
      </c>
      <c r="I523">
        <v>2</v>
      </c>
      <c r="J523">
        <v>0</v>
      </c>
      <c r="K523">
        <v>0</v>
      </c>
      <c r="L523">
        <v>0</v>
      </c>
      <c r="M523">
        <v>0</v>
      </c>
      <c r="N523">
        <v>0</v>
      </c>
    </row>
    <row r="524" spans="1:14" x14ac:dyDescent="0.35">
      <c r="A524" t="s">
        <v>6</v>
      </c>
      <c r="B524" t="s">
        <v>1171</v>
      </c>
      <c r="E524" t="s">
        <v>66</v>
      </c>
      <c r="F524" t="s">
        <v>55</v>
      </c>
      <c r="H524" t="str" cm="1">
        <f t="array" ref="H524">_xlfn.TEXTJOIN(", ", TRUE, IF(I524:M524&gt;0, I$1:M$1, ""))</f>
        <v>Legal View, Organisational View, Semantic View</v>
      </c>
      <c r="I524">
        <v>0</v>
      </c>
      <c r="J524">
        <v>0</v>
      </c>
      <c r="K524">
        <v>1</v>
      </c>
      <c r="L524">
        <v>2</v>
      </c>
      <c r="M524">
        <v>6</v>
      </c>
      <c r="N524">
        <v>0</v>
      </c>
    </row>
    <row r="525" spans="1:14" x14ac:dyDescent="0.35">
      <c r="A525" t="s">
        <v>6</v>
      </c>
      <c r="B525" t="s">
        <v>1172</v>
      </c>
      <c r="C525" t="s">
        <v>211</v>
      </c>
      <c r="E525" t="s">
        <v>62</v>
      </c>
      <c r="F525" t="s">
        <v>55</v>
      </c>
      <c r="H525" t="str" cm="1">
        <f t="array" ref="H525">_xlfn.TEXTJOIN(", ", TRUE, IF(I525:M525&gt;0, I$1:M$1, ""))</f>
        <v>Semantic View</v>
      </c>
      <c r="I525">
        <v>0</v>
      </c>
      <c r="J525">
        <v>0</v>
      </c>
      <c r="K525">
        <v>0</v>
      </c>
      <c r="L525">
        <v>0</v>
      </c>
      <c r="M525">
        <v>7</v>
      </c>
      <c r="N525">
        <v>2</v>
      </c>
    </row>
    <row r="526" spans="1:14" x14ac:dyDescent="0.35">
      <c r="A526" t="s">
        <v>6</v>
      </c>
      <c r="B526" t="s">
        <v>1173</v>
      </c>
      <c r="D526" t="s">
        <v>1174</v>
      </c>
      <c r="E526" t="s">
        <v>59</v>
      </c>
      <c r="F526" t="s">
        <v>1175</v>
      </c>
      <c r="H526" t="str" cm="1">
        <f t="array" ref="H526">_xlfn.TEXTJOIN(", ", TRUE, IF(I526:M526&gt;0, I$1:M$1, ""))</f>
        <v>Tech Application, Semantic View</v>
      </c>
      <c r="I526">
        <v>0</v>
      </c>
      <c r="J526">
        <v>2</v>
      </c>
      <c r="K526">
        <v>0</v>
      </c>
      <c r="L526">
        <v>0</v>
      </c>
      <c r="M526">
        <v>1</v>
      </c>
      <c r="N526">
        <v>0</v>
      </c>
    </row>
    <row r="527" spans="1:14" x14ac:dyDescent="0.35">
      <c r="A527" t="s">
        <v>6</v>
      </c>
      <c r="B527" t="s">
        <v>1176</v>
      </c>
      <c r="C527" t="s">
        <v>1177</v>
      </c>
      <c r="E527" t="s">
        <v>62</v>
      </c>
      <c r="F527" t="s">
        <v>55</v>
      </c>
      <c r="H527" t="str" cm="1">
        <f t="array" ref="H527">_xlfn.TEXTJOIN(", ", TRUE, IF(I527:M527&gt;0, I$1:M$1, ""))</f>
        <v>Semantic View</v>
      </c>
      <c r="I527">
        <v>0</v>
      </c>
      <c r="J527">
        <v>0</v>
      </c>
      <c r="K527">
        <v>0</v>
      </c>
      <c r="L527">
        <v>0</v>
      </c>
      <c r="M527">
        <v>7</v>
      </c>
      <c r="N527">
        <v>2</v>
      </c>
    </row>
    <row r="528" spans="1:14" x14ac:dyDescent="0.35">
      <c r="A528" t="s">
        <v>6</v>
      </c>
      <c r="B528" t="s">
        <v>1178</v>
      </c>
      <c r="C528" t="s">
        <v>1179</v>
      </c>
      <c r="E528" t="s">
        <v>59</v>
      </c>
      <c r="F528" t="s">
        <v>60</v>
      </c>
      <c r="H528" t="str" cm="1">
        <f t="array" ref="H528">_xlfn.TEXTJOIN(", ", TRUE, IF(I528:M528&gt;0, I$1:M$1, ""))</f>
        <v>Tech Infrastructure</v>
      </c>
      <c r="I528">
        <v>1</v>
      </c>
      <c r="J528">
        <v>0</v>
      </c>
      <c r="K528">
        <v>0</v>
      </c>
      <c r="L528">
        <v>0</v>
      </c>
      <c r="M528">
        <v>0</v>
      </c>
      <c r="N528">
        <v>0</v>
      </c>
    </row>
    <row r="529" spans="1:14" x14ac:dyDescent="0.35">
      <c r="A529" t="s">
        <v>6</v>
      </c>
      <c r="B529" t="s">
        <v>1180</v>
      </c>
      <c r="C529" t="s">
        <v>1181</v>
      </c>
      <c r="E529" t="s">
        <v>311</v>
      </c>
      <c r="F529" t="s">
        <v>1182</v>
      </c>
      <c r="H529" t="str" cm="1">
        <f t="array" ref="H529">_xlfn.TEXTJOIN(", ", TRUE, IF(I529:M529&gt;0, I$1:M$1, ""))</f>
        <v>Tech Infrastructure</v>
      </c>
      <c r="I529">
        <v>1</v>
      </c>
      <c r="J529">
        <v>0</v>
      </c>
      <c r="K529">
        <v>0</v>
      </c>
      <c r="L529">
        <v>0</v>
      </c>
      <c r="M529">
        <v>0</v>
      </c>
      <c r="N529">
        <v>0</v>
      </c>
    </row>
    <row r="530" spans="1:14" x14ac:dyDescent="0.35">
      <c r="A530" t="s">
        <v>6</v>
      </c>
      <c r="B530" t="s">
        <v>1183</v>
      </c>
      <c r="C530" t="s">
        <v>1184</v>
      </c>
      <c r="E530" t="s">
        <v>1185</v>
      </c>
      <c r="F530" t="s">
        <v>314</v>
      </c>
      <c r="H530" t="str" cm="1">
        <f t="array" ref="H530">_xlfn.TEXTJOIN(", ", TRUE, IF(I530:M530&gt;0, I$1:M$1, ""))</f>
        <v>Tech Application</v>
      </c>
      <c r="I530">
        <v>0</v>
      </c>
      <c r="J530">
        <v>4</v>
      </c>
      <c r="K530">
        <v>0</v>
      </c>
      <c r="L530">
        <v>0</v>
      </c>
      <c r="M530">
        <v>0</v>
      </c>
      <c r="N530">
        <v>0</v>
      </c>
    </row>
    <row r="531" spans="1:14" x14ac:dyDescent="0.35">
      <c r="A531" t="s">
        <v>6</v>
      </c>
      <c r="B531" t="s">
        <v>1186</v>
      </c>
      <c r="D531" t="s">
        <v>1187</v>
      </c>
      <c r="E531" t="s">
        <v>69</v>
      </c>
      <c r="F531" t="s">
        <v>55</v>
      </c>
      <c r="H531" t="str" cm="1">
        <f t="array" ref="H531">_xlfn.TEXTJOIN(", ", TRUE, IF(I531:M531&gt;0, I$1:M$1, ""))</f>
        <v>Tech Application</v>
      </c>
      <c r="I531">
        <v>0</v>
      </c>
      <c r="J531">
        <v>5</v>
      </c>
      <c r="K531">
        <v>0</v>
      </c>
      <c r="L531">
        <v>0</v>
      </c>
      <c r="M531">
        <v>0</v>
      </c>
      <c r="N531">
        <v>0</v>
      </c>
    </row>
    <row r="532" spans="1:14" x14ac:dyDescent="0.35">
      <c r="A532" t="s">
        <v>6</v>
      </c>
      <c r="B532" t="s">
        <v>1188</v>
      </c>
      <c r="E532" t="s">
        <v>182</v>
      </c>
      <c r="F532" t="s">
        <v>1189</v>
      </c>
      <c r="H532" t="str" cm="1">
        <f t="array" ref="H532">_xlfn.TEXTJOIN(", ", TRUE, IF(I532:M532&gt;0, I$1:M$1, ""))</f>
        <v>Tech Application, Semantic View</v>
      </c>
      <c r="I532">
        <v>0</v>
      </c>
      <c r="J532">
        <v>2</v>
      </c>
      <c r="K532">
        <v>0</v>
      </c>
      <c r="L532">
        <v>0</v>
      </c>
      <c r="M532">
        <v>1</v>
      </c>
      <c r="N532">
        <v>0</v>
      </c>
    </row>
    <row r="533" spans="1:14" x14ac:dyDescent="0.35">
      <c r="A533" t="s">
        <v>6</v>
      </c>
      <c r="B533" t="s">
        <v>1190</v>
      </c>
      <c r="C533" t="s">
        <v>1191</v>
      </c>
      <c r="E533" t="s">
        <v>62</v>
      </c>
      <c r="F533" t="s">
        <v>152</v>
      </c>
      <c r="H533" t="str" cm="1">
        <f t="array" ref="H533">_xlfn.TEXTJOIN(", ", TRUE, IF(I533:M533&gt;0, I$1:M$1, ""))</f>
        <v>Tech Application</v>
      </c>
      <c r="I533">
        <v>0</v>
      </c>
      <c r="J533">
        <v>1</v>
      </c>
      <c r="K533">
        <v>0</v>
      </c>
      <c r="L533">
        <v>0</v>
      </c>
      <c r="M533">
        <v>0</v>
      </c>
      <c r="N533">
        <v>0</v>
      </c>
    </row>
    <row r="534" spans="1:14" x14ac:dyDescent="0.35">
      <c r="A534" t="s">
        <v>6</v>
      </c>
      <c r="B534" t="s">
        <v>1192</v>
      </c>
      <c r="C534" t="s">
        <v>1193</v>
      </c>
      <c r="E534" t="s">
        <v>50</v>
      </c>
      <c r="F534" t="s">
        <v>554</v>
      </c>
      <c r="H534" t="str" cm="1">
        <f t="array" ref="H534">_xlfn.TEXTJOIN(", ", TRUE, IF(I534:M534&gt;0, I$1:M$1, ""))</f>
        <v>Tech Application</v>
      </c>
      <c r="I534">
        <v>0</v>
      </c>
      <c r="J534">
        <v>3</v>
      </c>
      <c r="K534">
        <v>0</v>
      </c>
      <c r="L534">
        <v>0</v>
      </c>
      <c r="M534">
        <v>0</v>
      </c>
      <c r="N534">
        <v>0</v>
      </c>
    </row>
    <row r="535" spans="1:14" x14ac:dyDescent="0.35">
      <c r="A535" t="s">
        <v>6</v>
      </c>
      <c r="B535" t="s">
        <v>1194</v>
      </c>
      <c r="D535" t="s">
        <v>1195</v>
      </c>
      <c r="E535" t="s">
        <v>62</v>
      </c>
      <c r="F535" t="s">
        <v>1196</v>
      </c>
      <c r="H535" t="str" cm="1">
        <f t="array" ref="H535">_xlfn.TEXTJOIN(", ", TRUE, IF(I535:M535&gt;0, I$1:M$1, ""))</f>
        <v>Legal View</v>
      </c>
      <c r="I535">
        <v>0</v>
      </c>
      <c r="J535">
        <v>0</v>
      </c>
      <c r="K535">
        <v>5</v>
      </c>
      <c r="L535">
        <v>0</v>
      </c>
      <c r="M535">
        <v>0</v>
      </c>
      <c r="N535">
        <v>0</v>
      </c>
    </row>
    <row r="536" spans="1:14" x14ac:dyDescent="0.35">
      <c r="A536" t="s">
        <v>6</v>
      </c>
      <c r="B536" t="s">
        <v>1197</v>
      </c>
      <c r="D536" t="s">
        <v>1198</v>
      </c>
      <c r="E536" t="s">
        <v>121</v>
      </c>
      <c r="F536" t="s">
        <v>55</v>
      </c>
      <c r="H536" t="str" cm="1">
        <f t="array" ref="H536">_xlfn.TEXTJOIN(", ", TRUE, IF(I536:M536&gt;0, I$1:M$1, ""))</f>
        <v>Semantic View</v>
      </c>
      <c r="I536">
        <v>0</v>
      </c>
      <c r="J536">
        <v>0</v>
      </c>
      <c r="K536">
        <v>0</v>
      </c>
      <c r="L536">
        <v>0</v>
      </c>
      <c r="M536">
        <v>8</v>
      </c>
      <c r="N536">
        <v>0</v>
      </c>
    </row>
    <row r="537" spans="1:14" x14ac:dyDescent="0.35">
      <c r="A537" t="s">
        <v>6</v>
      </c>
      <c r="B537" t="s">
        <v>1199</v>
      </c>
      <c r="C537" t="s">
        <v>1200</v>
      </c>
      <c r="E537" t="s">
        <v>336</v>
      </c>
      <c r="F537" t="s">
        <v>51</v>
      </c>
      <c r="H537" t="str" cm="1">
        <f t="array" ref="H537">_xlfn.TEXTJOIN(", ", TRUE, IF(I537:M537&gt;0, I$1:M$1, ""))</f>
        <v/>
      </c>
      <c r="I537">
        <v>0</v>
      </c>
      <c r="J537">
        <v>0</v>
      </c>
      <c r="K537">
        <v>0</v>
      </c>
      <c r="L537">
        <v>0</v>
      </c>
      <c r="M537">
        <v>0</v>
      </c>
      <c r="N537">
        <v>0</v>
      </c>
    </row>
    <row r="538" spans="1:14" x14ac:dyDescent="0.35">
      <c r="A538" t="s">
        <v>6</v>
      </c>
      <c r="B538" t="s">
        <v>1201</v>
      </c>
      <c r="C538" t="s">
        <v>1202</v>
      </c>
      <c r="E538" t="s">
        <v>50</v>
      </c>
      <c r="F538" t="s">
        <v>1203</v>
      </c>
      <c r="H538" t="str" cm="1">
        <f t="array" ref="H538">_xlfn.TEXTJOIN(", ", TRUE, IF(I538:M538&gt;0, I$1:M$1, ""))</f>
        <v>Tech Infrastructure</v>
      </c>
      <c r="I538">
        <v>1</v>
      </c>
      <c r="J538">
        <v>0</v>
      </c>
      <c r="K538">
        <v>0</v>
      </c>
      <c r="L538">
        <v>0</v>
      </c>
      <c r="M538">
        <v>0</v>
      </c>
      <c r="N538">
        <v>0</v>
      </c>
    </row>
    <row r="539" spans="1:14" x14ac:dyDescent="0.35">
      <c r="A539" t="s">
        <v>6</v>
      </c>
      <c r="B539" t="s">
        <v>1204</v>
      </c>
      <c r="D539" t="s">
        <v>1205</v>
      </c>
      <c r="E539" t="s">
        <v>69</v>
      </c>
      <c r="F539" t="s">
        <v>55</v>
      </c>
      <c r="H539" t="str" cm="1">
        <f t="array" ref="H539">_xlfn.TEXTJOIN(", ", TRUE, IF(I539:M539&gt;0, I$1:M$1, ""))</f>
        <v>Tech Application</v>
      </c>
      <c r="I539">
        <v>0</v>
      </c>
      <c r="J539">
        <v>3</v>
      </c>
      <c r="K539">
        <v>0</v>
      </c>
      <c r="L539">
        <v>0</v>
      </c>
      <c r="M539">
        <v>0</v>
      </c>
      <c r="N539">
        <v>0</v>
      </c>
    </row>
    <row r="540" spans="1:14" x14ac:dyDescent="0.35">
      <c r="A540" t="s">
        <v>6</v>
      </c>
      <c r="B540" t="s">
        <v>1206</v>
      </c>
      <c r="C540" t="s">
        <v>1207</v>
      </c>
      <c r="E540" t="s">
        <v>121</v>
      </c>
      <c r="F540" t="s">
        <v>55</v>
      </c>
      <c r="H540" t="str" cm="1">
        <f t="array" ref="H540">_xlfn.TEXTJOIN(", ", TRUE, IF(I540:M540&gt;0, I$1:M$1, ""))</f>
        <v>Tech Application, Semantic View</v>
      </c>
      <c r="I540">
        <v>0</v>
      </c>
      <c r="J540">
        <v>2</v>
      </c>
      <c r="K540">
        <v>0</v>
      </c>
      <c r="L540">
        <v>0</v>
      </c>
      <c r="M540">
        <v>5</v>
      </c>
      <c r="N540">
        <v>0</v>
      </c>
    </row>
    <row r="541" spans="1:14" x14ac:dyDescent="0.35">
      <c r="A541" t="s">
        <v>6</v>
      </c>
      <c r="B541" t="s">
        <v>1208</v>
      </c>
      <c r="C541" t="s">
        <v>1209</v>
      </c>
      <c r="D541" t="s">
        <v>1210</v>
      </c>
      <c r="E541" t="s">
        <v>230</v>
      </c>
      <c r="F541" t="s">
        <v>55</v>
      </c>
      <c r="H541" t="str" cm="1">
        <f t="array" ref="H541">_xlfn.TEXTJOIN(", ", TRUE, IF(I541:M541&gt;0, I$1:M$1, ""))</f>
        <v>Semantic View</v>
      </c>
      <c r="I541">
        <v>0</v>
      </c>
      <c r="J541">
        <v>0</v>
      </c>
      <c r="K541">
        <v>0</v>
      </c>
      <c r="L541">
        <v>0</v>
      </c>
      <c r="M541">
        <v>2</v>
      </c>
      <c r="N541">
        <v>0</v>
      </c>
    </row>
    <row r="542" spans="1:14" x14ac:dyDescent="0.35">
      <c r="A542" t="s">
        <v>6</v>
      </c>
      <c r="B542" t="s">
        <v>1211</v>
      </c>
      <c r="D542" t="s">
        <v>1212</v>
      </c>
      <c r="E542" t="s">
        <v>59</v>
      </c>
      <c r="F542" t="s">
        <v>1213</v>
      </c>
      <c r="H542" t="str" cm="1">
        <f t="array" ref="H542">_xlfn.TEXTJOIN(", ", TRUE, IF(I542:M542&gt;0, I$1:M$1, ""))</f>
        <v>Semantic View</v>
      </c>
      <c r="I542">
        <v>0</v>
      </c>
      <c r="J542">
        <v>0</v>
      </c>
      <c r="K542">
        <v>0</v>
      </c>
      <c r="L542">
        <v>0</v>
      </c>
      <c r="M542">
        <v>1</v>
      </c>
      <c r="N542">
        <v>0</v>
      </c>
    </row>
    <row r="543" spans="1:14" x14ac:dyDescent="0.35">
      <c r="A543" t="s">
        <v>6</v>
      </c>
      <c r="B543" t="s">
        <v>1214</v>
      </c>
      <c r="E543" t="s">
        <v>121</v>
      </c>
      <c r="F543" t="s">
        <v>97</v>
      </c>
      <c r="H543" t="str" cm="1">
        <f t="array" ref="H543">_xlfn.TEXTJOIN(", ", TRUE, IF(I543:M543&gt;0, I$1:M$1, ""))</f>
        <v>Tech Application, Semantic View</v>
      </c>
      <c r="I543">
        <v>0</v>
      </c>
      <c r="J543">
        <v>2</v>
      </c>
      <c r="K543">
        <v>0</v>
      </c>
      <c r="L543">
        <v>0</v>
      </c>
      <c r="M543">
        <v>1</v>
      </c>
      <c r="N543">
        <v>0</v>
      </c>
    </row>
    <row r="544" spans="1:14" x14ac:dyDescent="0.35">
      <c r="A544" t="s">
        <v>6</v>
      </c>
      <c r="B544" t="s">
        <v>1215</v>
      </c>
      <c r="C544" t="s">
        <v>1216</v>
      </c>
      <c r="E544" t="s">
        <v>121</v>
      </c>
      <c r="F544" t="s">
        <v>180</v>
      </c>
      <c r="H544" t="str" cm="1">
        <f t="array" ref="H544">_xlfn.TEXTJOIN(", ", TRUE, IF(I544:M544&gt;0, I$1:M$1, ""))</f>
        <v>Organisational View, Semantic View</v>
      </c>
      <c r="I544">
        <v>0</v>
      </c>
      <c r="J544">
        <v>0</v>
      </c>
      <c r="K544">
        <v>0</v>
      </c>
      <c r="L544">
        <v>2</v>
      </c>
      <c r="M544">
        <v>7</v>
      </c>
      <c r="N544">
        <v>0</v>
      </c>
    </row>
    <row r="545" spans="1:14" x14ac:dyDescent="0.35">
      <c r="A545" t="s">
        <v>6</v>
      </c>
      <c r="B545" t="s">
        <v>1217</v>
      </c>
      <c r="C545" t="s">
        <v>682</v>
      </c>
      <c r="E545" t="s">
        <v>66</v>
      </c>
      <c r="F545" t="s">
        <v>55</v>
      </c>
      <c r="H545" t="str" cm="1">
        <f t="array" ref="H545">_xlfn.TEXTJOIN(", ", TRUE, IF(I545:M545&gt;0, I$1:M$1, ""))</f>
        <v>Semantic View</v>
      </c>
      <c r="I545">
        <v>0</v>
      </c>
      <c r="J545">
        <v>0</v>
      </c>
      <c r="K545">
        <v>0</v>
      </c>
      <c r="L545">
        <v>0</v>
      </c>
      <c r="M545">
        <v>1</v>
      </c>
      <c r="N545">
        <v>0</v>
      </c>
    </row>
    <row r="546" spans="1:14" x14ac:dyDescent="0.35">
      <c r="A546" t="s">
        <v>6</v>
      </c>
      <c r="B546" t="s">
        <v>1218</v>
      </c>
      <c r="D546" t="s">
        <v>1219</v>
      </c>
      <c r="E546" t="s">
        <v>69</v>
      </c>
      <c r="F546" t="s">
        <v>55</v>
      </c>
      <c r="H546" t="str" cm="1">
        <f t="array" ref="H546">_xlfn.TEXTJOIN(", ", TRUE, IF(I546:M546&gt;0, I$1:M$1, ""))</f>
        <v>Tech Infrastructure, Tech Application</v>
      </c>
      <c r="I546">
        <v>2</v>
      </c>
      <c r="J546">
        <v>4</v>
      </c>
      <c r="K546">
        <v>0</v>
      </c>
      <c r="L546">
        <v>0</v>
      </c>
      <c r="M546">
        <v>0</v>
      </c>
      <c r="N546">
        <v>0</v>
      </c>
    </row>
    <row r="547" spans="1:14" x14ac:dyDescent="0.35">
      <c r="A547" t="s">
        <v>6</v>
      </c>
      <c r="B547" t="s">
        <v>1220</v>
      </c>
      <c r="E547" t="s">
        <v>62</v>
      </c>
      <c r="F547" t="s">
        <v>206</v>
      </c>
      <c r="H547" t="str" cm="1">
        <f t="array" ref="H547">_xlfn.TEXTJOIN(", ", TRUE, IF(I547:M547&gt;0, I$1:M$1, ""))</f>
        <v>Tech Application</v>
      </c>
      <c r="I547">
        <v>0</v>
      </c>
      <c r="J547">
        <v>1</v>
      </c>
      <c r="K547">
        <v>0</v>
      </c>
      <c r="L547">
        <v>0</v>
      </c>
      <c r="M547">
        <v>0</v>
      </c>
      <c r="N547">
        <v>0</v>
      </c>
    </row>
    <row r="548" spans="1:14" x14ac:dyDescent="0.35">
      <c r="A548" t="s">
        <v>6</v>
      </c>
      <c r="B548" t="s">
        <v>1221</v>
      </c>
      <c r="E548" t="s">
        <v>66</v>
      </c>
      <c r="F548" t="s">
        <v>74</v>
      </c>
      <c r="H548" t="str" cm="1">
        <f t="array" ref="H548">_xlfn.TEXTJOIN(", ", TRUE, IF(I548:M548&gt;0, I$1:M$1, ""))</f>
        <v>Semantic View</v>
      </c>
      <c r="I548">
        <v>0</v>
      </c>
      <c r="J548">
        <v>0</v>
      </c>
      <c r="K548">
        <v>0</v>
      </c>
      <c r="L548">
        <v>0</v>
      </c>
      <c r="M548">
        <v>1</v>
      </c>
      <c r="N548">
        <v>0</v>
      </c>
    </row>
    <row r="549" spans="1:14" x14ac:dyDescent="0.35">
      <c r="A549" t="s">
        <v>6</v>
      </c>
      <c r="B549" t="s">
        <v>1222</v>
      </c>
      <c r="C549" t="s">
        <v>1223</v>
      </c>
      <c r="E549" t="s">
        <v>148</v>
      </c>
      <c r="F549" t="s">
        <v>55</v>
      </c>
      <c r="H549" t="str" cm="1">
        <f t="array" ref="H549">_xlfn.TEXTJOIN(", ", TRUE, IF(I549:M549&gt;0, I$1:M$1, ""))</f>
        <v>Tech Application</v>
      </c>
      <c r="I549">
        <v>0</v>
      </c>
      <c r="J549">
        <v>3</v>
      </c>
      <c r="K549">
        <v>0</v>
      </c>
      <c r="L549">
        <v>0</v>
      </c>
      <c r="M549">
        <v>0</v>
      </c>
      <c r="N549">
        <v>0</v>
      </c>
    </row>
    <row r="550" spans="1:14" x14ac:dyDescent="0.35">
      <c r="A550" t="s">
        <v>6</v>
      </c>
      <c r="B550" t="s">
        <v>1224</v>
      </c>
      <c r="D550" t="s">
        <v>1225</v>
      </c>
      <c r="E550" t="s">
        <v>69</v>
      </c>
      <c r="F550" t="s">
        <v>55</v>
      </c>
      <c r="H550" t="str" cm="1">
        <f t="array" ref="H550">_xlfn.TEXTJOIN(", ", TRUE, IF(I550:M550&gt;0, I$1:M$1, ""))</f>
        <v>Tech Infrastructure</v>
      </c>
      <c r="I550">
        <v>1</v>
      </c>
      <c r="J550">
        <v>0</v>
      </c>
      <c r="K550">
        <v>0</v>
      </c>
      <c r="L550">
        <v>0</v>
      </c>
      <c r="M550">
        <v>0</v>
      </c>
      <c r="N550">
        <v>0</v>
      </c>
    </row>
    <row r="551" spans="1:14" x14ac:dyDescent="0.35">
      <c r="A551" t="s">
        <v>6</v>
      </c>
      <c r="B551" t="s">
        <v>1226</v>
      </c>
      <c r="C551" t="s">
        <v>1227</v>
      </c>
      <c r="E551" t="s">
        <v>62</v>
      </c>
      <c r="F551" t="s">
        <v>152</v>
      </c>
      <c r="H551" t="str" cm="1">
        <f t="array" ref="H551">_xlfn.TEXTJOIN(", ", TRUE, IF(I551:M551&gt;0, I$1:M$1, ""))</f>
        <v>Semantic View</v>
      </c>
      <c r="I551">
        <v>0</v>
      </c>
      <c r="J551">
        <v>0</v>
      </c>
      <c r="K551">
        <v>0</v>
      </c>
      <c r="L551">
        <v>0</v>
      </c>
      <c r="M551">
        <v>10</v>
      </c>
      <c r="N551">
        <v>0</v>
      </c>
    </row>
    <row r="552" spans="1:14" x14ac:dyDescent="0.35">
      <c r="A552" t="s">
        <v>6</v>
      </c>
      <c r="B552" t="s">
        <v>1228</v>
      </c>
      <c r="C552" t="s">
        <v>1229</v>
      </c>
      <c r="E552" t="s">
        <v>50</v>
      </c>
      <c r="F552" t="s">
        <v>440</v>
      </c>
      <c r="H552" t="str" cm="1">
        <f t="array" ref="H552">_xlfn.TEXTJOIN(", ", TRUE, IF(I552:M552&gt;0, I$1:M$1, ""))</f>
        <v>Tech Infrastructure, Tech Application</v>
      </c>
      <c r="I552">
        <v>1</v>
      </c>
      <c r="J552">
        <v>2</v>
      </c>
      <c r="K552">
        <v>0</v>
      </c>
      <c r="L552">
        <v>0</v>
      </c>
      <c r="M552">
        <v>0</v>
      </c>
      <c r="N552">
        <v>0</v>
      </c>
    </row>
    <row r="553" spans="1:14" x14ac:dyDescent="0.35">
      <c r="A553" t="s">
        <v>6</v>
      </c>
      <c r="B553" t="s">
        <v>1230</v>
      </c>
      <c r="C553" t="s">
        <v>1231</v>
      </c>
      <c r="E553" t="s">
        <v>96</v>
      </c>
      <c r="F553" t="s">
        <v>92</v>
      </c>
      <c r="H553" t="str" cm="1">
        <f t="array" ref="H553">_xlfn.TEXTJOIN(", ", TRUE, IF(I553:M553&gt;0, I$1:M$1, ""))</f>
        <v>Tech Application, Semantic View</v>
      </c>
      <c r="I553">
        <v>0</v>
      </c>
      <c r="J553">
        <v>2</v>
      </c>
      <c r="K553">
        <v>0</v>
      </c>
      <c r="L553">
        <v>0</v>
      </c>
      <c r="M553">
        <v>1</v>
      </c>
      <c r="N553">
        <v>0</v>
      </c>
    </row>
    <row r="554" spans="1:14" x14ac:dyDescent="0.35">
      <c r="A554" t="s">
        <v>6</v>
      </c>
      <c r="B554" t="s">
        <v>1232</v>
      </c>
      <c r="E554" t="s">
        <v>50</v>
      </c>
      <c r="F554" t="s">
        <v>55</v>
      </c>
      <c r="H554" t="str" cm="1">
        <f t="array" ref="H554">_xlfn.TEXTJOIN(", ", TRUE, IF(I554:M554&gt;0, I$1:M$1, ""))</f>
        <v>Tech Application</v>
      </c>
      <c r="I554">
        <v>0</v>
      </c>
      <c r="J554">
        <v>3</v>
      </c>
      <c r="K554">
        <v>0</v>
      </c>
      <c r="L554">
        <v>0</v>
      </c>
      <c r="M554">
        <v>0</v>
      </c>
      <c r="N554">
        <v>0</v>
      </c>
    </row>
    <row r="555" spans="1:14" x14ac:dyDescent="0.35">
      <c r="A555" t="s">
        <v>6</v>
      </c>
      <c r="B555" t="s">
        <v>1233</v>
      </c>
      <c r="C555" t="s">
        <v>136</v>
      </c>
      <c r="E555" t="s">
        <v>50</v>
      </c>
      <c r="F555" t="s">
        <v>51</v>
      </c>
      <c r="H555" t="str" cm="1">
        <f t="array" ref="H555">_xlfn.TEXTJOIN(", ", TRUE, IF(I555:M555&gt;0, I$1:M$1, ""))</f>
        <v>Tech Infrastructure, Tech Application</v>
      </c>
      <c r="I555">
        <v>1</v>
      </c>
      <c r="J555">
        <v>2</v>
      </c>
      <c r="K555">
        <v>0</v>
      </c>
      <c r="L555">
        <v>0</v>
      </c>
      <c r="M555">
        <v>0</v>
      </c>
      <c r="N555">
        <v>0</v>
      </c>
    </row>
    <row r="556" spans="1:14" x14ac:dyDescent="0.35">
      <c r="A556" t="s">
        <v>6</v>
      </c>
      <c r="B556" t="s">
        <v>1234</v>
      </c>
      <c r="D556" t="s">
        <v>1235</v>
      </c>
      <c r="E556" t="s">
        <v>66</v>
      </c>
      <c r="F556" t="s">
        <v>1236</v>
      </c>
      <c r="H556" t="str" cm="1">
        <f t="array" ref="H556">_xlfn.TEXTJOIN(", ", TRUE, IF(I556:M556&gt;0, I$1:M$1, ""))</f>
        <v>Legal View</v>
      </c>
      <c r="I556">
        <v>0</v>
      </c>
      <c r="J556">
        <v>0</v>
      </c>
      <c r="K556">
        <v>1</v>
      </c>
      <c r="L556">
        <v>0</v>
      </c>
      <c r="M556">
        <v>0</v>
      </c>
      <c r="N556">
        <v>0</v>
      </c>
    </row>
    <row r="557" spans="1:14" x14ac:dyDescent="0.35">
      <c r="A557" t="s">
        <v>6</v>
      </c>
      <c r="B557" t="s">
        <v>1237</v>
      </c>
      <c r="E557" t="s">
        <v>62</v>
      </c>
      <c r="F557" t="s">
        <v>92</v>
      </c>
      <c r="H557" t="str" cm="1">
        <f t="array" ref="H557">_xlfn.TEXTJOIN(", ", TRUE, IF(I557:M557&gt;0, I$1:M$1, ""))</f>
        <v/>
      </c>
      <c r="I557">
        <v>0</v>
      </c>
      <c r="J557">
        <v>0</v>
      </c>
      <c r="K557">
        <v>0</v>
      </c>
      <c r="L557">
        <v>0</v>
      </c>
      <c r="M557">
        <v>0</v>
      </c>
      <c r="N557">
        <v>0</v>
      </c>
    </row>
    <row r="558" spans="1:14" x14ac:dyDescent="0.35">
      <c r="A558" t="s">
        <v>6</v>
      </c>
      <c r="B558" t="s">
        <v>1238</v>
      </c>
      <c r="E558" t="s">
        <v>148</v>
      </c>
      <c r="F558" t="s">
        <v>1239</v>
      </c>
      <c r="H558" t="str" cm="1">
        <f t="array" ref="H558">_xlfn.TEXTJOIN(", ", TRUE, IF(I558:M558&gt;0, I$1:M$1, ""))</f>
        <v>Tech Infrastructure, Tech Application, Organisational View</v>
      </c>
      <c r="I558">
        <v>1</v>
      </c>
      <c r="J558">
        <v>5</v>
      </c>
      <c r="K558">
        <v>0</v>
      </c>
      <c r="L558">
        <v>1</v>
      </c>
      <c r="M558">
        <v>0</v>
      </c>
      <c r="N558">
        <v>0</v>
      </c>
    </row>
    <row r="559" spans="1:14" x14ac:dyDescent="0.35">
      <c r="A559" t="s">
        <v>6</v>
      </c>
      <c r="B559" t="s">
        <v>1240</v>
      </c>
      <c r="C559" t="s">
        <v>1241</v>
      </c>
      <c r="E559" t="s">
        <v>96</v>
      </c>
      <c r="F559" t="s">
        <v>1055</v>
      </c>
      <c r="H559" t="str" cm="1">
        <f t="array" ref="H559">_xlfn.TEXTJOIN(", ", TRUE, IF(I559:M559&gt;0, I$1:M$1, ""))</f>
        <v>Semantic View</v>
      </c>
      <c r="I559">
        <v>0</v>
      </c>
      <c r="J559">
        <v>0</v>
      </c>
      <c r="K559">
        <v>0</v>
      </c>
      <c r="L559">
        <v>0</v>
      </c>
      <c r="M559">
        <v>4</v>
      </c>
      <c r="N559">
        <v>1</v>
      </c>
    </row>
    <row r="560" spans="1:14" x14ac:dyDescent="0.35">
      <c r="A560" t="s">
        <v>6</v>
      </c>
      <c r="B560" t="s">
        <v>1242</v>
      </c>
      <c r="C560" t="s">
        <v>1241</v>
      </c>
      <c r="E560" t="s">
        <v>96</v>
      </c>
      <c r="F560" t="s">
        <v>1243</v>
      </c>
      <c r="H560" t="str" cm="1">
        <f t="array" ref="H560">_xlfn.TEXTJOIN(", ", TRUE, IF(I560:M560&gt;0, I$1:M$1, ""))</f>
        <v>Semantic View</v>
      </c>
      <c r="I560">
        <v>0</v>
      </c>
      <c r="J560">
        <v>0</v>
      </c>
      <c r="K560">
        <v>0</v>
      </c>
      <c r="L560">
        <v>0</v>
      </c>
      <c r="M560">
        <v>4</v>
      </c>
      <c r="N560">
        <v>0</v>
      </c>
    </row>
    <row r="561" spans="1:14" x14ac:dyDescent="0.35">
      <c r="A561" t="s">
        <v>6</v>
      </c>
      <c r="B561" t="s">
        <v>1244</v>
      </c>
      <c r="C561" t="s">
        <v>1245</v>
      </c>
      <c r="E561" t="s">
        <v>1246</v>
      </c>
      <c r="F561" t="s">
        <v>51</v>
      </c>
      <c r="H561" t="str" cm="1">
        <f t="array" ref="H561">_xlfn.TEXTJOIN(", ", TRUE, IF(I561:M561&gt;0, I$1:M$1, ""))</f>
        <v>Semantic View</v>
      </c>
      <c r="I561">
        <v>0</v>
      </c>
      <c r="J561">
        <v>0</v>
      </c>
      <c r="K561">
        <v>0</v>
      </c>
      <c r="L561">
        <v>0</v>
      </c>
      <c r="M561">
        <v>2</v>
      </c>
      <c r="N561">
        <v>0</v>
      </c>
    </row>
    <row r="562" spans="1:14" x14ac:dyDescent="0.35">
      <c r="A562" t="s">
        <v>6</v>
      </c>
      <c r="B562" t="s">
        <v>1247</v>
      </c>
      <c r="C562" t="s">
        <v>1248</v>
      </c>
      <c r="E562" t="s">
        <v>1249</v>
      </c>
      <c r="F562" t="s">
        <v>55</v>
      </c>
      <c r="H562" t="str" cm="1">
        <f t="array" ref="H562">_xlfn.TEXTJOIN(", ", TRUE, IF(I562:M562&gt;0, I$1:M$1, ""))</f>
        <v>Semantic View</v>
      </c>
      <c r="I562">
        <v>0</v>
      </c>
      <c r="J562">
        <v>0</v>
      </c>
      <c r="K562">
        <v>0</v>
      </c>
      <c r="L562">
        <v>0</v>
      </c>
      <c r="M562">
        <v>1</v>
      </c>
      <c r="N562">
        <v>0</v>
      </c>
    </row>
    <row r="563" spans="1:14" x14ac:dyDescent="0.35">
      <c r="A563" t="s">
        <v>6</v>
      </c>
      <c r="B563" t="s">
        <v>1250</v>
      </c>
      <c r="E563" t="s">
        <v>62</v>
      </c>
      <c r="F563" t="s">
        <v>55</v>
      </c>
      <c r="H563" t="str" cm="1">
        <f t="array" ref="H563">_xlfn.TEXTJOIN(", ", TRUE, IF(I563:M563&gt;0, I$1:M$1, ""))</f>
        <v>Tech Application</v>
      </c>
      <c r="I563">
        <v>0</v>
      </c>
      <c r="J563">
        <v>1</v>
      </c>
      <c r="K563">
        <v>0</v>
      </c>
      <c r="L563">
        <v>0</v>
      </c>
      <c r="M563">
        <v>0</v>
      </c>
      <c r="N563">
        <v>0</v>
      </c>
    </row>
    <row r="564" spans="1:14" x14ac:dyDescent="0.35">
      <c r="A564" t="s">
        <v>6</v>
      </c>
      <c r="B564" t="s">
        <v>1251</v>
      </c>
      <c r="E564" t="s">
        <v>96</v>
      </c>
      <c r="F564" t="s">
        <v>55</v>
      </c>
      <c r="H564" t="str" cm="1">
        <f t="array" ref="H564">_xlfn.TEXTJOIN(", ", TRUE, IF(I564:M564&gt;0, I$1:M$1, ""))</f>
        <v>Legal View</v>
      </c>
      <c r="I564">
        <v>0</v>
      </c>
      <c r="J564">
        <v>0</v>
      </c>
      <c r="K564">
        <v>5</v>
      </c>
      <c r="L564">
        <v>0</v>
      </c>
      <c r="M564">
        <v>0</v>
      </c>
      <c r="N564">
        <v>1</v>
      </c>
    </row>
    <row r="565" spans="1:14" x14ac:dyDescent="0.35">
      <c r="A565" t="s">
        <v>6</v>
      </c>
      <c r="B565" t="s">
        <v>1252</v>
      </c>
      <c r="C565" t="s">
        <v>1253</v>
      </c>
      <c r="E565" t="s">
        <v>50</v>
      </c>
      <c r="F565" t="s">
        <v>55</v>
      </c>
      <c r="H565" t="str" cm="1">
        <f t="array" ref="H565">_xlfn.TEXTJOIN(", ", TRUE, IF(I565:M565&gt;0, I$1:M$1, ""))</f>
        <v>Semantic View</v>
      </c>
      <c r="I565">
        <v>0</v>
      </c>
      <c r="J565">
        <v>0</v>
      </c>
      <c r="K565">
        <v>0</v>
      </c>
      <c r="L565">
        <v>0</v>
      </c>
      <c r="M565">
        <v>3</v>
      </c>
      <c r="N565">
        <v>0</v>
      </c>
    </row>
    <row r="566" spans="1:14" x14ac:dyDescent="0.35">
      <c r="A566" t="s">
        <v>6</v>
      </c>
      <c r="B566" t="s">
        <v>1254</v>
      </c>
      <c r="C566" t="s">
        <v>1255</v>
      </c>
      <c r="E566" t="s">
        <v>121</v>
      </c>
      <c r="F566" t="s">
        <v>55</v>
      </c>
      <c r="H566" t="str" cm="1">
        <f t="array" ref="H566">_xlfn.TEXTJOIN(", ", TRUE, IF(I566:M566&gt;0, I$1:M$1, ""))</f>
        <v>Semantic View</v>
      </c>
      <c r="I566">
        <v>0</v>
      </c>
      <c r="J566">
        <v>0</v>
      </c>
      <c r="K566">
        <v>0</v>
      </c>
      <c r="L566">
        <v>0</v>
      </c>
      <c r="M566">
        <v>3</v>
      </c>
      <c r="N566">
        <v>0</v>
      </c>
    </row>
    <row r="567" spans="1:14" x14ac:dyDescent="0.35">
      <c r="A567" t="s">
        <v>6</v>
      </c>
      <c r="B567" t="s">
        <v>1256</v>
      </c>
      <c r="C567" t="s">
        <v>1257</v>
      </c>
      <c r="E567" t="s">
        <v>50</v>
      </c>
      <c r="F567" t="s">
        <v>92</v>
      </c>
      <c r="H567" t="str" cm="1">
        <f t="array" ref="H567">_xlfn.TEXTJOIN(", ", TRUE, IF(I567:M567&gt;0, I$1:M$1, ""))</f>
        <v>Tech Infrastructure, Tech Application</v>
      </c>
      <c r="I567">
        <v>1</v>
      </c>
      <c r="J567">
        <v>4</v>
      </c>
      <c r="K567">
        <v>0</v>
      </c>
      <c r="L567">
        <v>0</v>
      </c>
      <c r="M567">
        <v>0</v>
      </c>
      <c r="N567">
        <v>3</v>
      </c>
    </row>
    <row r="568" spans="1:14" x14ac:dyDescent="0.35">
      <c r="A568" t="s">
        <v>6</v>
      </c>
      <c r="B568" t="s">
        <v>1258</v>
      </c>
      <c r="C568" t="s">
        <v>1259</v>
      </c>
      <c r="E568" t="s">
        <v>1260</v>
      </c>
      <c r="F568" t="s">
        <v>92</v>
      </c>
      <c r="H568" t="str" cm="1">
        <f t="array" ref="H568">_xlfn.TEXTJOIN(", ", TRUE, IF(I568:M568&gt;0, I$1:M$1, ""))</f>
        <v>Tech Application</v>
      </c>
      <c r="I568">
        <v>0</v>
      </c>
      <c r="J568">
        <v>1</v>
      </c>
      <c r="K568">
        <v>0</v>
      </c>
      <c r="L568">
        <v>0</v>
      </c>
      <c r="M568">
        <v>0</v>
      </c>
      <c r="N568">
        <v>0</v>
      </c>
    </row>
    <row r="569" spans="1:14" x14ac:dyDescent="0.35">
      <c r="A569" t="s">
        <v>6</v>
      </c>
      <c r="B569" t="s">
        <v>1261</v>
      </c>
      <c r="C569" t="s">
        <v>1262</v>
      </c>
      <c r="D569" t="s">
        <v>1263</v>
      </c>
      <c r="E569" t="s">
        <v>230</v>
      </c>
      <c r="F569" t="s">
        <v>51</v>
      </c>
      <c r="H569" t="str" cm="1">
        <f t="array" ref="H569">_xlfn.TEXTJOIN(", ", TRUE, IF(I569:M569&gt;0, I$1:M$1, ""))</f>
        <v>Tech Infrastructure, Tech Application</v>
      </c>
      <c r="I569">
        <v>1</v>
      </c>
      <c r="J569">
        <v>2</v>
      </c>
      <c r="K569">
        <v>0</v>
      </c>
      <c r="L569">
        <v>0</v>
      </c>
      <c r="M569">
        <v>0</v>
      </c>
      <c r="N569">
        <v>0</v>
      </c>
    </row>
    <row r="570" spans="1:14" x14ac:dyDescent="0.35">
      <c r="A570" t="s">
        <v>6</v>
      </c>
      <c r="B570" t="s">
        <v>1264</v>
      </c>
      <c r="D570" t="s">
        <v>1265</v>
      </c>
      <c r="E570" t="s">
        <v>336</v>
      </c>
      <c r="F570" t="s">
        <v>55</v>
      </c>
      <c r="H570" t="str" cm="1">
        <f t="array" ref="H570">_xlfn.TEXTJOIN(", ", TRUE, IF(I570:M570&gt;0, I$1:M$1, ""))</f>
        <v>Tech Infrastructure</v>
      </c>
      <c r="I570">
        <v>1</v>
      </c>
      <c r="J570">
        <v>0</v>
      </c>
      <c r="K570">
        <v>0</v>
      </c>
      <c r="L570">
        <v>0</v>
      </c>
      <c r="M570">
        <v>0</v>
      </c>
      <c r="N570">
        <v>0</v>
      </c>
    </row>
    <row r="571" spans="1:14" x14ac:dyDescent="0.35">
      <c r="A571" t="s">
        <v>6</v>
      </c>
      <c r="B571" t="s">
        <v>1266</v>
      </c>
      <c r="E571" t="s">
        <v>62</v>
      </c>
      <c r="F571" t="s">
        <v>444</v>
      </c>
      <c r="H571" t="str" cm="1">
        <f t="array" ref="H571">_xlfn.TEXTJOIN(", ", TRUE, IF(I571:M571&gt;0, I$1:M$1, ""))</f>
        <v>Tech Application</v>
      </c>
      <c r="I571">
        <v>0</v>
      </c>
      <c r="J571">
        <v>2</v>
      </c>
      <c r="K571">
        <v>0</v>
      </c>
      <c r="L571">
        <v>0</v>
      </c>
      <c r="M571">
        <v>0</v>
      </c>
      <c r="N571">
        <v>0</v>
      </c>
    </row>
    <row r="572" spans="1:14" x14ac:dyDescent="0.35">
      <c r="A572" t="s">
        <v>6</v>
      </c>
      <c r="B572" t="s">
        <v>1267</v>
      </c>
      <c r="C572" t="s">
        <v>1268</v>
      </c>
      <c r="E572" t="s">
        <v>489</v>
      </c>
      <c r="F572" t="s">
        <v>55</v>
      </c>
      <c r="H572" t="str" cm="1">
        <f t="array" ref="H572">_xlfn.TEXTJOIN(", ", TRUE, IF(I572:M572&gt;0, I$1:M$1, ""))</f>
        <v>Tech Infrastructure, Tech Application</v>
      </c>
      <c r="I572">
        <v>2</v>
      </c>
      <c r="J572">
        <v>2</v>
      </c>
      <c r="K572">
        <v>0</v>
      </c>
      <c r="L572">
        <v>0</v>
      </c>
      <c r="M572">
        <v>0</v>
      </c>
      <c r="N572">
        <v>1</v>
      </c>
    </row>
    <row r="573" spans="1:14" x14ac:dyDescent="0.35">
      <c r="A573" t="s">
        <v>6</v>
      </c>
      <c r="B573" t="s">
        <v>1269</v>
      </c>
      <c r="E573" t="s">
        <v>50</v>
      </c>
      <c r="F573" t="s">
        <v>55</v>
      </c>
      <c r="H573" t="str" cm="1">
        <f t="array" ref="H573">_xlfn.TEXTJOIN(", ", TRUE, IF(I573:M573&gt;0, I$1:M$1, ""))</f>
        <v/>
      </c>
      <c r="I573">
        <v>0</v>
      </c>
      <c r="J573">
        <v>0</v>
      </c>
      <c r="K573">
        <v>0</v>
      </c>
      <c r="L573">
        <v>0</v>
      </c>
      <c r="M573">
        <v>0</v>
      </c>
      <c r="N573">
        <v>1</v>
      </c>
    </row>
    <row r="574" spans="1:14" x14ac:dyDescent="0.35">
      <c r="A574" t="s">
        <v>6</v>
      </c>
      <c r="B574" t="s">
        <v>1270</v>
      </c>
      <c r="C574" t="s">
        <v>1271</v>
      </c>
      <c r="E574" t="s">
        <v>50</v>
      </c>
      <c r="F574" t="s">
        <v>267</v>
      </c>
      <c r="H574" t="str" cm="1">
        <f t="array" ref="H574">_xlfn.TEXTJOIN(", ", TRUE, IF(I574:M574&gt;0, I$1:M$1, ""))</f>
        <v>Tech Application</v>
      </c>
      <c r="I574">
        <v>0</v>
      </c>
      <c r="J574">
        <v>1</v>
      </c>
      <c r="K574">
        <v>0</v>
      </c>
      <c r="L574">
        <v>0</v>
      </c>
      <c r="M574">
        <v>0</v>
      </c>
      <c r="N574">
        <v>0</v>
      </c>
    </row>
    <row r="575" spans="1:14" x14ac:dyDescent="0.35">
      <c r="A575" t="s">
        <v>6</v>
      </c>
      <c r="B575" t="s">
        <v>1272</v>
      </c>
      <c r="E575" t="s">
        <v>121</v>
      </c>
      <c r="F575" t="s">
        <v>55</v>
      </c>
      <c r="H575" t="str" cm="1">
        <f t="array" ref="H575">_xlfn.TEXTJOIN(", ", TRUE, IF(I575:M575&gt;0, I$1:M$1, ""))</f>
        <v>Tech Application, Semantic View</v>
      </c>
      <c r="I575">
        <v>0</v>
      </c>
      <c r="J575">
        <v>2</v>
      </c>
      <c r="K575">
        <v>0</v>
      </c>
      <c r="L575">
        <v>0</v>
      </c>
      <c r="M575">
        <v>3</v>
      </c>
      <c r="N575">
        <v>0</v>
      </c>
    </row>
    <row r="576" spans="1:14" x14ac:dyDescent="0.35">
      <c r="A576" t="s">
        <v>6</v>
      </c>
      <c r="B576" t="s">
        <v>1273</v>
      </c>
      <c r="E576" t="s">
        <v>148</v>
      </c>
      <c r="F576" t="s">
        <v>838</v>
      </c>
      <c r="H576" t="str" cm="1">
        <f t="array" ref="H576">_xlfn.TEXTJOIN(", ", TRUE, IF(I576:M576&gt;0, I$1:M$1, ""))</f>
        <v>Tech Application, Organisational View</v>
      </c>
      <c r="I576">
        <v>0</v>
      </c>
      <c r="J576">
        <v>1</v>
      </c>
      <c r="K576">
        <v>0</v>
      </c>
      <c r="L576">
        <v>1</v>
      </c>
      <c r="M576">
        <v>0</v>
      </c>
      <c r="N576">
        <v>0</v>
      </c>
    </row>
    <row r="577" spans="1:14" x14ac:dyDescent="0.35">
      <c r="A577" t="s">
        <v>6</v>
      </c>
      <c r="B577" t="s">
        <v>1274</v>
      </c>
      <c r="C577" t="s">
        <v>1275</v>
      </c>
      <c r="E577" t="s">
        <v>360</v>
      </c>
      <c r="F577" t="s">
        <v>1276</v>
      </c>
      <c r="H577" t="str" cm="1">
        <f t="array" ref="H577">_xlfn.TEXTJOIN(", ", TRUE, IF(I577:M577&gt;0, I$1:M$1, ""))</f>
        <v>Tech Application, Organisational View, Semantic View</v>
      </c>
      <c r="I577">
        <v>0</v>
      </c>
      <c r="J577">
        <v>2</v>
      </c>
      <c r="K577">
        <v>0</v>
      </c>
      <c r="L577">
        <v>1</v>
      </c>
      <c r="M577">
        <v>2</v>
      </c>
      <c r="N577">
        <v>0</v>
      </c>
    </row>
    <row r="578" spans="1:14" x14ac:dyDescent="0.35">
      <c r="A578" t="s">
        <v>6</v>
      </c>
      <c r="B578" t="s">
        <v>1277</v>
      </c>
      <c r="D578" t="s">
        <v>1278</v>
      </c>
      <c r="E578" t="s">
        <v>124</v>
      </c>
      <c r="F578" t="s">
        <v>180</v>
      </c>
      <c r="H578" t="str" cm="1">
        <f t="array" ref="H578">_xlfn.TEXTJOIN(", ", TRUE, IF(I578:M578&gt;0, I$1:M$1, ""))</f>
        <v>Tech Infrastructure, Tech Application</v>
      </c>
      <c r="I578">
        <v>1</v>
      </c>
      <c r="J578">
        <v>4</v>
      </c>
      <c r="K578">
        <v>0</v>
      </c>
      <c r="L578">
        <v>0</v>
      </c>
      <c r="M578">
        <v>0</v>
      </c>
      <c r="N578">
        <v>0</v>
      </c>
    </row>
    <row r="579" spans="1:14" x14ac:dyDescent="0.35">
      <c r="A579" t="s">
        <v>6</v>
      </c>
      <c r="B579" t="s">
        <v>1279</v>
      </c>
      <c r="D579" t="s">
        <v>1280</v>
      </c>
      <c r="E579" t="s">
        <v>230</v>
      </c>
      <c r="F579" t="s">
        <v>55</v>
      </c>
      <c r="H579" t="str" cm="1">
        <f t="array" ref="H579">_xlfn.TEXTJOIN(", ", TRUE, IF(I579:M579&gt;0, I$1:M$1, ""))</f>
        <v>Tech Application</v>
      </c>
      <c r="I579">
        <v>0</v>
      </c>
      <c r="J579">
        <v>2</v>
      </c>
      <c r="K579">
        <v>0</v>
      </c>
      <c r="L579">
        <v>0</v>
      </c>
      <c r="M579">
        <v>0</v>
      </c>
      <c r="N579">
        <v>0</v>
      </c>
    </row>
    <row r="580" spans="1:14" x14ac:dyDescent="0.35">
      <c r="A580" t="s">
        <v>6</v>
      </c>
      <c r="B580" t="s">
        <v>1281</v>
      </c>
      <c r="C580" t="s">
        <v>1282</v>
      </c>
      <c r="E580" t="s">
        <v>1283</v>
      </c>
      <c r="F580" t="s">
        <v>276</v>
      </c>
      <c r="H580" t="str" cm="1">
        <f t="array" ref="H580">_xlfn.TEXTJOIN(", ", TRUE, IF(I580:M580&gt;0, I$1:M$1, ""))</f>
        <v>Tech Infrastructure</v>
      </c>
      <c r="I580">
        <v>1</v>
      </c>
      <c r="J580">
        <v>0</v>
      </c>
      <c r="K580">
        <v>0</v>
      </c>
      <c r="L580">
        <v>0</v>
      </c>
      <c r="M580">
        <v>0</v>
      </c>
      <c r="N580">
        <v>0</v>
      </c>
    </row>
    <row r="581" spans="1:14" x14ac:dyDescent="0.35">
      <c r="A581" t="s">
        <v>6</v>
      </c>
      <c r="B581" t="s">
        <v>1284</v>
      </c>
      <c r="E581" t="s">
        <v>62</v>
      </c>
      <c r="F581" t="s">
        <v>324</v>
      </c>
      <c r="H581" t="str" cm="1">
        <f t="array" ref="H581">_xlfn.TEXTJOIN(", ", TRUE, IF(I581:M581&gt;0, I$1:M$1, ""))</f>
        <v>Tech Application</v>
      </c>
      <c r="I581">
        <v>0</v>
      </c>
      <c r="J581">
        <v>2</v>
      </c>
      <c r="K581">
        <v>0</v>
      </c>
      <c r="L581">
        <v>0</v>
      </c>
      <c r="M581">
        <v>0</v>
      </c>
      <c r="N581">
        <v>0</v>
      </c>
    </row>
    <row r="582" spans="1:14" x14ac:dyDescent="0.35">
      <c r="A582" t="s">
        <v>6</v>
      </c>
      <c r="B582" t="s">
        <v>1285</v>
      </c>
      <c r="E582" t="s">
        <v>864</v>
      </c>
      <c r="F582" t="s">
        <v>276</v>
      </c>
      <c r="H582" t="str" cm="1">
        <f t="array" ref="H582">_xlfn.TEXTJOIN(", ", TRUE, IF(I582:M582&gt;0, I$1:M$1, ""))</f>
        <v>Tech Application, Semantic View</v>
      </c>
      <c r="I582">
        <v>0</v>
      </c>
      <c r="J582">
        <v>2</v>
      </c>
      <c r="K582">
        <v>0</v>
      </c>
      <c r="L582">
        <v>0</v>
      </c>
      <c r="M582">
        <v>2</v>
      </c>
      <c r="N582">
        <v>0</v>
      </c>
    </row>
    <row r="583" spans="1:14" x14ac:dyDescent="0.35">
      <c r="A583" t="s">
        <v>6</v>
      </c>
      <c r="B583" t="s">
        <v>1286</v>
      </c>
      <c r="E583" t="s">
        <v>50</v>
      </c>
      <c r="F583" t="s">
        <v>55</v>
      </c>
      <c r="H583" t="str" cm="1">
        <f t="array" ref="H583">_xlfn.TEXTJOIN(", ", TRUE, IF(I583:M583&gt;0, I$1:M$1, ""))</f>
        <v>Tech Infrastructure</v>
      </c>
      <c r="I583">
        <v>1</v>
      </c>
      <c r="J583">
        <v>0</v>
      </c>
      <c r="K583">
        <v>0</v>
      </c>
      <c r="L583">
        <v>0</v>
      </c>
      <c r="M583">
        <v>0</v>
      </c>
      <c r="N583">
        <v>0</v>
      </c>
    </row>
    <row r="584" spans="1:14" x14ac:dyDescent="0.35">
      <c r="A584" t="s">
        <v>6</v>
      </c>
      <c r="B584" t="s">
        <v>1287</v>
      </c>
      <c r="C584" t="s">
        <v>1288</v>
      </c>
      <c r="E584" t="s">
        <v>96</v>
      </c>
      <c r="F584" t="s">
        <v>74</v>
      </c>
      <c r="H584" t="str" cm="1">
        <f t="array" ref="H584">_xlfn.TEXTJOIN(", ", TRUE, IF(I584:M584&gt;0, I$1:M$1, ""))</f>
        <v>Semantic View</v>
      </c>
      <c r="I584">
        <v>0</v>
      </c>
      <c r="J584">
        <v>0</v>
      </c>
      <c r="K584">
        <v>0</v>
      </c>
      <c r="L584">
        <v>0</v>
      </c>
      <c r="M584">
        <v>5</v>
      </c>
      <c r="N584">
        <v>0</v>
      </c>
    </row>
    <row r="585" spans="1:14" x14ac:dyDescent="0.35">
      <c r="A585" t="s">
        <v>6</v>
      </c>
      <c r="B585" t="s">
        <v>1289</v>
      </c>
      <c r="E585" t="s">
        <v>62</v>
      </c>
      <c r="F585" t="s">
        <v>51</v>
      </c>
      <c r="H585" t="str" cm="1">
        <f t="array" ref="H585">_xlfn.TEXTJOIN(", ", TRUE, IF(I585:M585&gt;0, I$1:M$1, ""))</f>
        <v>Tech Application</v>
      </c>
      <c r="I585">
        <v>0</v>
      </c>
      <c r="J585">
        <v>3</v>
      </c>
      <c r="K585">
        <v>0</v>
      </c>
      <c r="L585">
        <v>0</v>
      </c>
      <c r="M585">
        <v>0</v>
      </c>
      <c r="N585">
        <v>0</v>
      </c>
    </row>
    <row r="586" spans="1:14" x14ac:dyDescent="0.35">
      <c r="A586" t="s">
        <v>6</v>
      </c>
      <c r="B586" t="s">
        <v>1290</v>
      </c>
      <c r="C586" t="s">
        <v>1291</v>
      </c>
      <c r="E586" t="s">
        <v>121</v>
      </c>
      <c r="F586" t="s">
        <v>51</v>
      </c>
      <c r="H586" t="str" cm="1">
        <f t="array" ref="H586">_xlfn.TEXTJOIN(", ", TRUE, IF(I586:M586&gt;0, I$1:M$1, ""))</f>
        <v/>
      </c>
      <c r="I586">
        <v>0</v>
      </c>
      <c r="J586">
        <v>0</v>
      </c>
      <c r="K586">
        <v>0</v>
      </c>
      <c r="L586">
        <v>0</v>
      </c>
      <c r="M586">
        <v>0</v>
      </c>
      <c r="N586">
        <v>0</v>
      </c>
    </row>
    <row r="587" spans="1:14" x14ac:dyDescent="0.35">
      <c r="A587" t="s">
        <v>6</v>
      </c>
      <c r="B587" t="s">
        <v>1292</v>
      </c>
      <c r="E587" t="s">
        <v>733</v>
      </c>
      <c r="F587" t="s">
        <v>92</v>
      </c>
      <c r="H587" t="str" cm="1">
        <f t="array" ref="H587">_xlfn.TEXTJOIN(", ", TRUE, IF(I587:M587&gt;0, I$1:M$1, ""))</f>
        <v>Semantic View</v>
      </c>
      <c r="I587">
        <v>0</v>
      </c>
      <c r="J587">
        <v>0</v>
      </c>
      <c r="K587">
        <v>0</v>
      </c>
      <c r="L587">
        <v>0</v>
      </c>
      <c r="M587">
        <v>2</v>
      </c>
      <c r="N587">
        <v>0</v>
      </c>
    </row>
    <row r="588" spans="1:14" x14ac:dyDescent="0.35">
      <c r="A588" t="s">
        <v>6</v>
      </c>
      <c r="B588" t="s">
        <v>1293</v>
      </c>
      <c r="E588" t="s">
        <v>1293</v>
      </c>
      <c r="F588" t="s">
        <v>461</v>
      </c>
      <c r="H588" t="str" cm="1">
        <f t="array" ref="H588">_xlfn.TEXTJOIN(", ", TRUE, IF(I588:M588&gt;0, I$1:M$1, ""))</f>
        <v>Tech Application</v>
      </c>
      <c r="I588">
        <v>0</v>
      </c>
      <c r="J588">
        <v>1</v>
      </c>
      <c r="K588">
        <v>0</v>
      </c>
      <c r="L588">
        <v>0</v>
      </c>
      <c r="M588">
        <v>0</v>
      </c>
      <c r="N588">
        <v>0</v>
      </c>
    </row>
    <row r="589" spans="1:14" x14ac:dyDescent="0.35">
      <c r="A589" t="s">
        <v>6</v>
      </c>
      <c r="B589" t="s">
        <v>1294</v>
      </c>
      <c r="C589" t="s">
        <v>912</v>
      </c>
      <c r="E589" t="s">
        <v>59</v>
      </c>
      <c r="F589" t="s">
        <v>206</v>
      </c>
      <c r="H589" t="str" cm="1">
        <f t="array" ref="H589">_xlfn.TEXTJOIN(", ", TRUE, IF(I589:M589&gt;0, I$1:M$1, ""))</f>
        <v>Tech Application</v>
      </c>
      <c r="I589">
        <v>0</v>
      </c>
      <c r="J589">
        <v>5</v>
      </c>
      <c r="K589">
        <v>0</v>
      </c>
      <c r="L589">
        <v>0</v>
      </c>
      <c r="M589">
        <v>0</v>
      </c>
      <c r="N589">
        <v>1</v>
      </c>
    </row>
    <row r="590" spans="1:14" x14ac:dyDescent="0.35">
      <c r="A590" t="s">
        <v>6</v>
      </c>
      <c r="B590" t="s">
        <v>1295</v>
      </c>
      <c r="C590" t="s">
        <v>469</v>
      </c>
      <c r="E590" t="s">
        <v>121</v>
      </c>
      <c r="F590" t="s">
        <v>97</v>
      </c>
      <c r="H590" t="str" cm="1">
        <f t="array" ref="H590">_xlfn.TEXTJOIN(", ", TRUE, IF(I590:M590&gt;0, I$1:M$1, ""))</f>
        <v>Semantic View</v>
      </c>
      <c r="I590">
        <v>0</v>
      </c>
      <c r="J590">
        <v>0</v>
      </c>
      <c r="K590">
        <v>0</v>
      </c>
      <c r="L590">
        <v>0</v>
      </c>
      <c r="M590">
        <v>3</v>
      </c>
      <c r="N590">
        <v>2</v>
      </c>
    </row>
    <row r="591" spans="1:14" x14ac:dyDescent="0.35">
      <c r="A591" t="s">
        <v>6</v>
      </c>
      <c r="B591" t="s">
        <v>1296</v>
      </c>
      <c r="C591" t="s">
        <v>1297</v>
      </c>
      <c r="E591" t="s">
        <v>121</v>
      </c>
      <c r="F591" t="s">
        <v>180</v>
      </c>
      <c r="H591" t="str" cm="1">
        <f t="array" ref="H591">_xlfn.TEXTJOIN(", ", TRUE, IF(I591:M591&gt;0, I$1:M$1, ""))</f>
        <v>Tech Application, Semantic View</v>
      </c>
      <c r="I591">
        <v>0</v>
      </c>
      <c r="J591">
        <v>4</v>
      </c>
      <c r="K591">
        <v>0</v>
      </c>
      <c r="L591">
        <v>0</v>
      </c>
      <c r="M591">
        <v>1</v>
      </c>
      <c r="N591">
        <v>1</v>
      </c>
    </row>
    <row r="592" spans="1:14" x14ac:dyDescent="0.35">
      <c r="A592" t="s">
        <v>6</v>
      </c>
      <c r="B592" t="s">
        <v>1298</v>
      </c>
      <c r="E592" t="s">
        <v>154</v>
      </c>
      <c r="F592" t="s">
        <v>152</v>
      </c>
      <c r="H592" t="str" cm="1">
        <f t="array" ref="H592">_xlfn.TEXTJOIN(", ", TRUE, IF(I592:M592&gt;0, I$1:M$1, ""))</f>
        <v>Tech Application</v>
      </c>
      <c r="I592">
        <v>0</v>
      </c>
      <c r="J592">
        <v>3</v>
      </c>
      <c r="K592">
        <v>0</v>
      </c>
      <c r="L592">
        <v>0</v>
      </c>
      <c r="M592">
        <v>0</v>
      </c>
      <c r="N592">
        <v>0</v>
      </c>
    </row>
    <row r="593" spans="1:14" x14ac:dyDescent="0.35">
      <c r="A593" t="s">
        <v>6</v>
      </c>
      <c r="B593" t="s">
        <v>1299</v>
      </c>
      <c r="C593" t="s">
        <v>1300</v>
      </c>
      <c r="E593" t="s">
        <v>96</v>
      </c>
      <c r="F593" t="s">
        <v>111</v>
      </c>
      <c r="H593" t="str" cm="1">
        <f t="array" ref="H593">_xlfn.TEXTJOIN(", ", TRUE, IF(I593:M593&gt;0, I$1:M$1, ""))</f>
        <v>Tech Infrastructure</v>
      </c>
      <c r="I593">
        <v>1</v>
      </c>
      <c r="J593">
        <v>0</v>
      </c>
      <c r="K593">
        <v>0</v>
      </c>
      <c r="L593">
        <v>0</v>
      </c>
      <c r="M593">
        <v>0</v>
      </c>
      <c r="N593">
        <v>0</v>
      </c>
    </row>
    <row r="594" spans="1:14" x14ac:dyDescent="0.35">
      <c r="A594" t="s">
        <v>6</v>
      </c>
      <c r="B594" t="s">
        <v>1301</v>
      </c>
      <c r="C594" t="s">
        <v>1302</v>
      </c>
      <c r="E594" t="s">
        <v>121</v>
      </c>
      <c r="F594" t="s">
        <v>111</v>
      </c>
      <c r="H594" t="str" cm="1">
        <f t="array" ref="H594">_xlfn.TEXTJOIN(", ", TRUE, IF(I594:M594&gt;0, I$1:M$1, ""))</f>
        <v>Semantic View</v>
      </c>
      <c r="I594">
        <v>0</v>
      </c>
      <c r="J594">
        <v>0</v>
      </c>
      <c r="K594">
        <v>0</v>
      </c>
      <c r="L594">
        <v>0</v>
      </c>
      <c r="M594">
        <v>1</v>
      </c>
      <c r="N594">
        <v>1</v>
      </c>
    </row>
    <row r="595" spans="1:14" x14ac:dyDescent="0.35">
      <c r="A595" t="s">
        <v>6</v>
      </c>
      <c r="B595" t="s">
        <v>1303</v>
      </c>
      <c r="C595" t="s">
        <v>1304</v>
      </c>
      <c r="E595" t="s">
        <v>864</v>
      </c>
      <c r="F595" t="s">
        <v>773</v>
      </c>
      <c r="H595" t="str" cm="1">
        <f t="array" ref="H595">_xlfn.TEXTJOIN(", ", TRUE, IF(I595:M595&gt;0, I$1:M$1, ""))</f>
        <v>Semantic View</v>
      </c>
      <c r="I595">
        <v>0</v>
      </c>
      <c r="J595">
        <v>0</v>
      </c>
      <c r="K595">
        <v>0</v>
      </c>
      <c r="L595">
        <v>0</v>
      </c>
      <c r="M595">
        <v>2</v>
      </c>
      <c r="N595">
        <v>0</v>
      </c>
    </row>
    <row r="596" spans="1:14" x14ac:dyDescent="0.35">
      <c r="A596" t="s">
        <v>6</v>
      </c>
      <c r="B596" t="s">
        <v>1305</v>
      </c>
      <c r="C596" t="s">
        <v>1306</v>
      </c>
      <c r="E596" t="s">
        <v>1307</v>
      </c>
      <c r="F596" t="s">
        <v>1308</v>
      </c>
      <c r="H596" t="str" cm="1">
        <f t="array" ref="H596">_xlfn.TEXTJOIN(", ", TRUE, IF(I596:M596&gt;0, I$1:M$1, ""))</f>
        <v>Tech Application</v>
      </c>
      <c r="I596">
        <v>0</v>
      </c>
      <c r="J596">
        <v>2</v>
      </c>
      <c r="K596">
        <v>0</v>
      </c>
      <c r="L596">
        <v>0</v>
      </c>
      <c r="M596">
        <v>0</v>
      </c>
      <c r="N596">
        <v>0</v>
      </c>
    </row>
    <row r="597" spans="1:14" x14ac:dyDescent="0.35">
      <c r="A597" t="s">
        <v>6</v>
      </c>
      <c r="B597" t="s">
        <v>1309</v>
      </c>
      <c r="C597" t="s">
        <v>1310</v>
      </c>
      <c r="E597" t="s">
        <v>489</v>
      </c>
      <c r="F597" t="s">
        <v>55</v>
      </c>
      <c r="H597" t="str" cm="1">
        <f t="array" ref="H597">_xlfn.TEXTJOIN(", ", TRUE, IF(I597:M597&gt;0, I$1:M$1, ""))</f>
        <v>Tech Application</v>
      </c>
      <c r="I597">
        <v>0</v>
      </c>
      <c r="J597">
        <v>3</v>
      </c>
      <c r="K597">
        <v>0</v>
      </c>
      <c r="L597">
        <v>0</v>
      </c>
      <c r="M597">
        <v>0</v>
      </c>
      <c r="N597">
        <v>0</v>
      </c>
    </row>
    <row r="598" spans="1:14" x14ac:dyDescent="0.35">
      <c r="A598" t="s">
        <v>6</v>
      </c>
      <c r="B598" t="s">
        <v>1311</v>
      </c>
      <c r="E598" t="s">
        <v>148</v>
      </c>
      <c r="F598" t="s">
        <v>149</v>
      </c>
      <c r="H598" t="str" cm="1">
        <f t="array" ref="H598">_xlfn.TEXTJOIN(", ", TRUE, IF(I598:M598&gt;0, I$1:M$1, ""))</f>
        <v>Tech Application, Organisational View</v>
      </c>
      <c r="I598">
        <v>0</v>
      </c>
      <c r="J598">
        <v>1</v>
      </c>
      <c r="K598">
        <v>0</v>
      </c>
      <c r="L598">
        <v>1</v>
      </c>
      <c r="M598">
        <v>0</v>
      </c>
      <c r="N598">
        <v>0</v>
      </c>
    </row>
    <row r="599" spans="1:14" x14ac:dyDescent="0.35">
      <c r="A599" t="s">
        <v>6</v>
      </c>
      <c r="B599" t="s">
        <v>1312</v>
      </c>
      <c r="C599" t="s">
        <v>1313</v>
      </c>
      <c r="D599" t="s">
        <v>1314</v>
      </c>
      <c r="E599" t="s">
        <v>1315</v>
      </c>
      <c r="F599" t="s">
        <v>183</v>
      </c>
      <c r="H599" t="str" cm="1">
        <f t="array" ref="H599">_xlfn.TEXTJOIN(", ", TRUE, IF(I599:M599&gt;0, I$1:M$1, ""))</f>
        <v>Semantic View</v>
      </c>
      <c r="I599">
        <v>0</v>
      </c>
      <c r="J599">
        <v>0</v>
      </c>
      <c r="K599">
        <v>0</v>
      </c>
      <c r="L599">
        <v>0</v>
      </c>
      <c r="M599">
        <v>1</v>
      </c>
      <c r="N599">
        <v>0</v>
      </c>
    </row>
    <row r="600" spans="1:14" x14ac:dyDescent="0.35">
      <c r="A600" t="s">
        <v>6</v>
      </c>
      <c r="B600" t="s">
        <v>1316</v>
      </c>
      <c r="E600" t="s">
        <v>96</v>
      </c>
      <c r="F600" t="s">
        <v>276</v>
      </c>
      <c r="H600" t="str" cm="1">
        <f t="array" ref="H600">_xlfn.TEXTJOIN(", ", TRUE, IF(I600:M600&gt;0, I$1:M$1, ""))</f>
        <v>Tech Application</v>
      </c>
      <c r="I600">
        <v>0</v>
      </c>
      <c r="J600">
        <v>1</v>
      </c>
      <c r="K600">
        <v>0</v>
      </c>
      <c r="L600">
        <v>0</v>
      </c>
      <c r="M600">
        <v>0</v>
      </c>
      <c r="N600">
        <v>2</v>
      </c>
    </row>
    <row r="601" spans="1:14" x14ac:dyDescent="0.35">
      <c r="A601" t="s">
        <v>6</v>
      </c>
      <c r="B601" t="s">
        <v>1317</v>
      </c>
      <c r="C601" t="s">
        <v>1318</v>
      </c>
      <c r="E601" t="s">
        <v>1319</v>
      </c>
      <c r="F601" t="s">
        <v>1320</v>
      </c>
      <c r="H601" t="str" cm="1">
        <f t="array" ref="H601">_xlfn.TEXTJOIN(", ", TRUE, IF(I601:M601&gt;0, I$1:M$1, ""))</f>
        <v>Tech Application, Semantic View</v>
      </c>
      <c r="I601">
        <v>0</v>
      </c>
      <c r="J601">
        <v>6</v>
      </c>
      <c r="K601">
        <v>0</v>
      </c>
      <c r="L601">
        <v>0</v>
      </c>
      <c r="M601">
        <v>1</v>
      </c>
      <c r="N601">
        <v>0</v>
      </c>
    </row>
    <row r="602" spans="1:14" x14ac:dyDescent="0.35">
      <c r="A602" t="s">
        <v>6</v>
      </c>
      <c r="B602" t="s">
        <v>1321</v>
      </c>
      <c r="E602" t="s">
        <v>1322</v>
      </c>
      <c r="F602" t="s">
        <v>55</v>
      </c>
      <c r="H602" t="str" cm="1">
        <f t="array" ref="H602">_xlfn.TEXTJOIN(", ", TRUE, IF(I602:M602&gt;0, I$1:M$1, ""))</f>
        <v>Tech Application</v>
      </c>
      <c r="I602">
        <v>0</v>
      </c>
      <c r="J602">
        <v>2</v>
      </c>
      <c r="K602">
        <v>0</v>
      </c>
      <c r="L602">
        <v>0</v>
      </c>
      <c r="M602">
        <v>0</v>
      </c>
      <c r="N602">
        <v>0</v>
      </c>
    </row>
    <row r="603" spans="1:14" x14ac:dyDescent="0.35">
      <c r="A603" t="s">
        <v>6</v>
      </c>
      <c r="B603" t="s">
        <v>1323</v>
      </c>
      <c r="C603" t="s">
        <v>237</v>
      </c>
      <c r="E603" t="s">
        <v>86</v>
      </c>
      <c r="F603" t="s">
        <v>51</v>
      </c>
      <c r="H603" t="str" cm="1">
        <f t="array" ref="H603">_xlfn.TEXTJOIN(", ", TRUE, IF(I603:M603&gt;0, I$1:M$1, ""))</f>
        <v>Tech Application</v>
      </c>
      <c r="I603">
        <v>0</v>
      </c>
      <c r="J603">
        <v>7</v>
      </c>
      <c r="K603">
        <v>0</v>
      </c>
      <c r="L603">
        <v>0</v>
      </c>
      <c r="M603">
        <v>0</v>
      </c>
      <c r="N603">
        <v>0</v>
      </c>
    </row>
    <row r="604" spans="1:14" x14ac:dyDescent="0.35">
      <c r="A604" t="s">
        <v>6</v>
      </c>
      <c r="B604" t="s">
        <v>1324</v>
      </c>
      <c r="C604" t="s">
        <v>1325</v>
      </c>
      <c r="E604" t="s">
        <v>161</v>
      </c>
      <c r="F604" t="s">
        <v>51</v>
      </c>
      <c r="H604" t="str" cm="1">
        <f t="array" ref="H604">_xlfn.TEXTJOIN(", ", TRUE, IF(I604:M604&gt;0, I$1:M$1, ""))</f>
        <v>Tech Application, Organisational View</v>
      </c>
      <c r="I604">
        <v>0</v>
      </c>
      <c r="J604">
        <v>1</v>
      </c>
      <c r="K604">
        <v>0</v>
      </c>
      <c r="L604">
        <v>2</v>
      </c>
      <c r="M604">
        <v>0</v>
      </c>
      <c r="N604">
        <v>1</v>
      </c>
    </row>
    <row r="605" spans="1:14" x14ac:dyDescent="0.35">
      <c r="A605" t="s">
        <v>6</v>
      </c>
      <c r="B605" t="s">
        <v>1326</v>
      </c>
      <c r="C605" t="s">
        <v>1327</v>
      </c>
      <c r="E605" t="s">
        <v>121</v>
      </c>
      <c r="F605" t="s">
        <v>51</v>
      </c>
      <c r="H605" t="str" cm="1">
        <f t="array" ref="H605">_xlfn.TEXTJOIN(", ", TRUE, IF(I605:M605&gt;0, I$1:M$1, ""))</f>
        <v>Tech Application, Semantic View</v>
      </c>
      <c r="I605">
        <v>0</v>
      </c>
      <c r="J605">
        <v>2</v>
      </c>
      <c r="K605">
        <v>0</v>
      </c>
      <c r="L605">
        <v>0</v>
      </c>
      <c r="M605">
        <v>1</v>
      </c>
      <c r="N605">
        <v>0</v>
      </c>
    </row>
    <row r="606" spans="1:14" x14ac:dyDescent="0.35">
      <c r="A606" t="s">
        <v>6</v>
      </c>
      <c r="B606" t="s">
        <v>1328</v>
      </c>
      <c r="C606" t="s">
        <v>1329</v>
      </c>
      <c r="E606" t="s">
        <v>345</v>
      </c>
      <c r="F606" t="s">
        <v>111</v>
      </c>
      <c r="H606" t="str" cm="1">
        <f t="array" ref="H606">_xlfn.TEXTJOIN(", ", TRUE, IF(I606:M606&gt;0, I$1:M$1, ""))</f>
        <v>Tech Infrastructure</v>
      </c>
      <c r="I606">
        <v>1</v>
      </c>
      <c r="J606">
        <v>0</v>
      </c>
      <c r="K606">
        <v>0</v>
      </c>
      <c r="L606">
        <v>0</v>
      </c>
      <c r="M606">
        <v>0</v>
      </c>
      <c r="N606">
        <v>0</v>
      </c>
    </row>
    <row r="607" spans="1:14" x14ac:dyDescent="0.35">
      <c r="A607" t="s">
        <v>6</v>
      </c>
      <c r="B607" t="s">
        <v>1330</v>
      </c>
      <c r="E607" t="s">
        <v>148</v>
      </c>
      <c r="F607" t="s">
        <v>1331</v>
      </c>
      <c r="H607" t="str" cm="1">
        <f t="array" ref="H607">_xlfn.TEXTJOIN(", ", TRUE, IF(I607:M607&gt;0, I$1:M$1, ""))</f>
        <v>Tech Application, Semantic View</v>
      </c>
      <c r="I607">
        <v>0</v>
      </c>
      <c r="J607">
        <v>4</v>
      </c>
      <c r="K607">
        <v>0</v>
      </c>
      <c r="L607">
        <v>0</v>
      </c>
      <c r="M607">
        <v>1</v>
      </c>
      <c r="N607">
        <v>0</v>
      </c>
    </row>
    <row r="608" spans="1:14" x14ac:dyDescent="0.35">
      <c r="A608" t="s">
        <v>6</v>
      </c>
      <c r="B608" t="s">
        <v>1332</v>
      </c>
      <c r="D608" t="s">
        <v>1333</v>
      </c>
      <c r="E608" t="s">
        <v>69</v>
      </c>
      <c r="F608" t="s">
        <v>55</v>
      </c>
      <c r="H608" t="str" cm="1">
        <f t="array" ref="H608">_xlfn.TEXTJOIN(", ", TRUE, IF(I608:M608&gt;0, I$1:M$1, ""))</f>
        <v>Tech Application, Semantic View</v>
      </c>
      <c r="I608">
        <v>0</v>
      </c>
      <c r="J608">
        <v>1</v>
      </c>
      <c r="K608">
        <v>0</v>
      </c>
      <c r="L608">
        <v>0</v>
      </c>
      <c r="M608">
        <v>2</v>
      </c>
      <c r="N608">
        <v>0</v>
      </c>
    </row>
    <row r="609" spans="1:14" x14ac:dyDescent="0.35">
      <c r="A609" t="s">
        <v>6</v>
      </c>
      <c r="B609" t="s">
        <v>1334</v>
      </c>
      <c r="D609" t="s">
        <v>1335</v>
      </c>
      <c r="E609" t="s">
        <v>59</v>
      </c>
      <c r="F609" t="s">
        <v>100</v>
      </c>
      <c r="H609" t="str" cm="1">
        <f t="array" ref="H609">_xlfn.TEXTJOIN(", ", TRUE, IF(I609:M609&gt;0, I$1:M$1, ""))</f>
        <v>Tech Infrastructure, Tech Application, Organisational View</v>
      </c>
      <c r="I609">
        <v>1</v>
      </c>
      <c r="J609">
        <v>2</v>
      </c>
      <c r="K609">
        <v>0</v>
      </c>
      <c r="L609">
        <v>2</v>
      </c>
      <c r="M609">
        <v>0</v>
      </c>
      <c r="N609">
        <v>0</v>
      </c>
    </row>
    <row r="610" spans="1:14" x14ac:dyDescent="0.35">
      <c r="A610" t="s">
        <v>6</v>
      </c>
      <c r="B610" t="s">
        <v>1336</v>
      </c>
      <c r="E610" t="s">
        <v>62</v>
      </c>
      <c r="F610" t="s">
        <v>55</v>
      </c>
      <c r="H610" t="str" cm="1">
        <f t="array" ref="H610">_xlfn.TEXTJOIN(", ", TRUE, IF(I610:M610&gt;0, I$1:M$1, ""))</f>
        <v>Semantic View</v>
      </c>
      <c r="I610">
        <v>0</v>
      </c>
      <c r="J610">
        <v>0</v>
      </c>
      <c r="K610">
        <v>0</v>
      </c>
      <c r="L610">
        <v>0</v>
      </c>
      <c r="M610">
        <v>2</v>
      </c>
      <c r="N610">
        <v>0</v>
      </c>
    </row>
    <row r="611" spans="1:14" x14ac:dyDescent="0.35">
      <c r="A611" t="s">
        <v>6</v>
      </c>
      <c r="B611" t="s">
        <v>1337</v>
      </c>
      <c r="D611" t="s">
        <v>1338</v>
      </c>
      <c r="E611" t="s">
        <v>230</v>
      </c>
      <c r="F611" t="s">
        <v>276</v>
      </c>
      <c r="H611" t="str" cm="1">
        <f t="array" ref="H611">_xlfn.TEXTJOIN(", ", TRUE, IF(I611:M611&gt;0, I$1:M$1, ""))</f>
        <v>Tech Application</v>
      </c>
      <c r="I611">
        <v>0</v>
      </c>
      <c r="J611">
        <v>1</v>
      </c>
      <c r="K611">
        <v>0</v>
      </c>
      <c r="L611">
        <v>0</v>
      </c>
      <c r="M611">
        <v>0</v>
      </c>
      <c r="N611">
        <v>0</v>
      </c>
    </row>
    <row r="612" spans="1:14" x14ac:dyDescent="0.35">
      <c r="A612" t="s">
        <v>6</v>
      </c>
      <c r="B612" t="s">
        <v>1339</v>
      </c>
      <c r="C612" t="s">
        <v>1340</v>
      </c>
      <c r="E612" t="s">
        <v>62</v>
      </c>
      <c r="F612" t="s">
        <v>324</v>
      </c>
      <c r="H612" t="str" cm="1">
        <f t="array" ref="H612">_xlfn.TEXTJOIN(", ", TRUE, IF(I612:M612&gt;0, I$1:M$1, ""))</f>
        <v>Tech Application</v>
      </c>
      <c r="I612">
        <v>0</v>
      </c>
      <c r="J612">
        <v>2</v>
      </c>
      <c r="K612">
        <v>0</v>
      </c>
      <c r="L612">
        <v>0</v>
      </c>
      <c r="M612">
        <v>0</v>
      </c>
      <c r="N612">
        <v>0</v>
      </c>
    </row>
    <row r="613" spans="1:14" x14ac:dyDescent="0.35">
      <c r="A613" t="s">
        <v>6</v>
      </c>
      <c r="B613" t="s">
        <v>1341</v>
      </c>
      <c r="C613" t="s">
        <v>1342</v>
      </c>
      <c r="E613" t="s">
        <v>66</v>
      </c>
      <c r="F613" t="s">
        <v>55</v>
      </c>
      <c r="H613" t="str" cm="1">
        <f t="array" ref="H613">_xlfn.TEXTJOIN(", ", TRUE, IF(I613:M613&gt;0, I$1:M$1, ""))</f>
        <v>Legal View</v>
      </c>
      <c r="I613">
        <v>0</v>
      </c>
      <c r="J613">
        <v>0</v>
      </c>
      <c r="K613">
        <v>1</v>
      </c>
      <c r="L613">
        <v>0</v>
      </c>
      <c r="M613">
        <v>0</v>
      </c>
      <c r="N613">
        <v>0</v>
      </c>
    </row>
    <row r="614" spans="1:14" x14ac:dyDescent="0.35">
      <c r="A614" t="s">
        <v>6</v>
      </c>
      <c r="B614" t="s">
        <v>1343</v>
      </c>
      <c r="D614" t="s">
        <v>1344</v>
      </c>
      <c r="E614" t="s">
        <v>69</v>
      </c>
      <c r="F614" t="s">
        <v>55</v>
      </c>
      <c r="H614" t="str" cm="1">
        <f t="array" ref="H614">_xlfn.TEXTJOIN(", ", TRUE, IF(I614:M614&gt;0, I$1:M$1, ""))</f>
        <v>Tech Infrastructure</v>
      </c>
      <c r="I614">
        <v>2</v>
      </c>
      <c r="J614">
        <v>0</v>
      </c>
      <c r="K614">
        <v>0</v>
      </c>
      <c r="L614">
        <v>0</v>
      </c>
      <c r="M614">
        <v>0</v>
      </c>
      <c r="N614">
        <v>0</v>
      </c>
    </row>
    <row r="615" spans="1:14" x14ac:dyDescent="0.35">
      <c r="A615" t="s">
        <v>6</v>
      </c>
      <c r="B615" t="s">
        <v>1345</v>
      </c>
      <c r="C615" t="s">
        <v>1346</v>
      </c>
      <c r="E615" t="s">
        <v>393</v>
      </c>
      <c r="F615" t="s">
        <v>1347</v>
      </c>
      <c r="H615" t="str" cm="1">
        <f t="array" ref="H615">_xlfn.TEXTJOIN(", ", TRUE, IF(I615:M615&gt;0, I$1:M$1, ""))</f>
        <v>Tech Application, Semantic View</v>
      </c>
      <c r="I615">
        <v>0</v>
      </c>
      <c r="J615">
        <v>2</v>
      </c>
      <c r="K615">
        <v>0</v>
      </c>
      <c r="L615">
        <v>0</v>
      </c>
      <c r="M615">
        <v>5</v>
      </c>
      <c r="N615">
        <v>0</v>
      </c>
    </row>
    <row r="616" spans="1:14" x14ac:dyDescent="0.35">
      <c r="A616" t="s">
        <v>6</v>
      </c>
      <c r="B616" t="s">
        <v>1348</v>
      </c>
      <c r="D616" t="s">
        <v>1349</v>
      </c>
      <c r="E616" t="s">
        <v>69</v>
      </c>
      <c r="F616" t="s">
        <v>55</v>
      </c>
      <c r="H616" t="str" cm="1">
        <f t="array" ref="H616">_xlfn.TEXTJOIN(", ", TRUE, IF(I616:M616&gt;0, I$1:M$1, ""))</f>
        <v>Organisational View, Semantic View</v>
      </c>
      <c r="I616">
        <v>0</v>
      </c>
      <c r="J616">
        <v>0</v>
      </c>
      <c r="K616">
        <v>0</v>
      </c>
      <c r="L616">
        <v>1</v>
      </c>
      <c r="M616">
        <v>1</v>
      </c>
      <c r="N616">
        <v>0</v>
      </c>
    </row>
    <row r="617" spans="1:14" x14ac:dyDescent="0.35">
      <c r="A617" t="s">
        <v>6</v>
      </c>
      <c r="B617" t="s">
        <v>1350</v>
      </c>
      <c r="D617" t="s">
        <v>1351</v>
      </c>
      <c r="E617" t="s">
        <v>1352</v>
      </c>
      <c r="F617" t="s">
        <v>97</v>
      </c>
      <c r="H617" t="str" cm="1">
        <f t="array" ref="H617">_xlfn.TEXTJOIN(", ", TRUE, IF(I617:M617&gt;0, I$1:M$1, ""))</f>
        <v>Tech Application</v>
      </c>
      <c r="I617">
        <v>0</v>
      </c>
      <c r="J617">
        <v>2</v>
      </c>
      <c r="K617">
        <v>0</v>
      </c>
      <c r="L617">
        <v>0</v>
      </c>
      <c r="M617">
        <v>0</v>
      </c>
      <c r="N617">
        <v>0</v>
      </c>
    </row>
    <row r="618" spans="1:14" x14ac:dyDescent="0.35">
      <c r="A618" t="s">
        <v>6</v>
      </c>
      <c r="B618" t="s">
        <v>1353</v>
      </c>
      <c r="E618" t="s">
        <v>1283</v>
      </c>
      <c r="F618" t="s">
        <v>1354</v>
      </c>
      <c r="H618" t="str" cm="1">
        <f t="array" ref="H618">_xlfn.TEXTJOIN(", ", TRUE, IF(I618:M618&gt;0, I$1:M$1, ""))</f>
        <v>Tech Application</v>
      </c>
      <c r="I618">
        <v>0</v>
      </c>
      <c r="J618">
        <v>2</v>
      </c>
      <c r="K618">
        <v>0</v>
      </c>
      <c r="L618">
        <v>0</v>
      </c>
      <c r="M618">
        <v>0</v>
      </c>
      <c r="N618">
        <v>0</v>
      </c>
    </row>
    <row r="619" spans="1:14" x14ac:dyDescent="0.35">
      <c r="A619" t="s">
        <v>6</v>
      </c>
      <c r="B619" t="s">
        <v>1355</v>
      </c>
      <c r="C619" t="s">
        <v>1356</v>
      </c>
      <c r="E619" t="s">
        <v>50</v>
      </c>
      <c r="F619" t="s">
        <v>570</v>
      </c>
      <c r="H619" t="str" cm="1">
        <f t="array" ref="H619">_xlfn.TEXTJOIN(", ", TRUE, IF(I619:M619&gt;0, I$1:M$1, ""))</f>
        <v>Tech Application, Semantic View</v>
      </c>
      <c r="I619">
        <v>0</v>
      </c>
      <c r="J619">
        <v>2</v>
      </c>
      <c r="K619">
        <v>0</v>
      </c>
      <c r="L619">
        <v>0</v>
      </c>
      <c r="M619">
        <v>3</v>
      </c>
      <c r="N619">
        <v>0</v>
      </c>
    </row>
    <row r="620" spans="1:14" x14ac:dyDescent="0.35">
      <c r="A620" t="s">
        <v>6</v>
      </c>
      <c r="B620" t="s">
        <v>1357</v>
      </c>
      <c r="D620" t="s">
        <v>1358</v>
      </c>
      <c r="E620" t="s">
        <v>230</v>
      </c>
      <c r="F620" t="s">
        <v>55</v>
      </c>
      <c r="H620" t="str" cm="1">
        <f t="array" ref="H620">_xlfn.TEXTJOIN(", ", TRUE, IF(I620:M620&gt;0, I$1:M$1, ""))</f>
        <v>Tech Application</v>
      </c>
      <c r="I620">
        <v>0</v>
      </c>
      <c r="J620">
        <v>2</v>
      </c>
      <c r="K620">
        <v>0</v>
      </c>
      <c r="L620">
        <v>0</v>
      </c>
      <c r="M620">
        <v>0</v>
      </c>
      <c r="N620">
        <v>0</v>
      </c>
    </row>
    <row r="621" spans="1:14" x14ac:dyDescent="0.35">
      <c r="A621" t="s">
        <v>6</v>
      </c>
      <c r="B621" t="s">
        <v>1359</v>
      </c>
      <c r="C621" t="s">
        <v>1360</v>
      </c>
      <c r="E621" t="s">
        <v>1361</v>
      </c>
      <c r="F621" t="s">
        <v>55</v>
      </c>
      <c r="H621" t="str" cm="1">
        <f t="array" ref="H621">_xlfn.TEXTJOIN(", ", TRUE, IF(I621:M621&gt;0, I$1:M$1, ""))</f>
        <v>Semantic View</v>
      </c>
      <c r="I621">
        <v>0</v>
      </c>
      <c r="J621">
        <v>0</v>
      </c>
      <c r="K621">
        <v>0</v>
      </c>
      <c r="L621">
        <v>0</v>
      </c>
      <c r="M621">
        <v>3</v>
      </c>
      <c r="N621">
        <v>0</v>
      </c>
    </row>
    <row r="622" spans="1:14" x14ac:dyDescent="0.35">
      <c r="A622" t="s">
        <v>6</v>
      </c>
      <c r="B622" t="s">
        <v>1362</v>
      </c>
      <c r="D622" t="s">
        <v>1363</v>
      </c>
      <c r="E622" t="s">
        <v>230</v>
      </c>
      <c r="F622" t="s">
        <v>51</v>
      </c>
      <c r="H622" t="str" cm="1">
        <f t="array" ref="H622">_xlfn.TEXTJOIN(", ", TRUE, IF(I622:M622&gt;0, I$1:M$1, ""))</f>
        <v>Tech Infrastructure, Tech Application</v>
      </c>
      <c r="I622">
        <v>1</v>
      </c>
      <c r="J622">
        <v>1</v>
      </c>
      <c r="K622">
        <v>0</v>
      </c>
      <c r="L622">
        <v>0</v>
      </c>
      <c r="M622">
        <v>0</v>
      </c>
      <c r="N622">
        <v>0</v>
      </c>
    </row>
    <row r="623" spans="1:14" x14ac:dyDescent="0.35">
      <c r="A623" t="s">
        <v>6</v>
      </c>
      <c r="B623" t="s">
        <v>1364</v>
      </c>
      <c r="E623" t="s">
        <v>154</v>
      </c>
      <c r="F623" t="s">
        <v>155</v>
      </c>
      <c r="H623" t="str" cm="1">
        <f t="array" ref="H623">_xlfn.TEXTJOIN(", ", TRUE, IF(I623:M623&gt;0, I$1:M$1, ""))</f>
        <v>Tech Application</v>
      </c>
      <c r="I623">
        <v>0</v>
      </c>
      <c r="J623">
        <v>2</v>
      </c>
      <c r="K623">
        <v>0</v>
      </c>
      <c r="L623">
        <v>0</v>
      </c>
      <c r="M623">
        <v>0</v>
      </c>
      <c r="N623">
        <v>0</v>
      </c>
    </row>
    <row r="624" spans="1:14" x14ac:dyDescent="0.35">
      <c r="A624" t="s">
        <v>6</v>
      </c>
      <c r="B624" t="s">
        <v>1365</v>
      </c>
      <c r="C624" t="s">
        <v>1366</v>
      </c>
      <c r="E624" t="s">
        <v>121</v>
      </c>
      <c r="F624" t="s">
        <v>51</v>
      </c>
      <c r="H624" t="str" cm="1">
        <f t="array" ref="H624">_xlfn.TEXTJOIN(", ", TRUE, IF(I624:M624&gt;0, I$1:M$1, ""))</f>
        <v>Organisational View</v>
      </c>
      <c r="I624">
        <v>0</v>
      </c>
      <c r="J624">
        <v>0</v>
      </c>
      <c r="K624">
        <v>0</v>
      </c>
      <c r="L624">
        <v>1</v>
      </c>
      <c r="M624">
        <v>0</v>
      </c>
      <c r="N624">
        <v>0</v>
      </c>
    </row>
    <row r="625" spans="1:14" x14ac:dyDescent="0.35">
      <c r="A625" t="s">
        <v>6</v>
      </c>
      <c r="B625" t="s">
        <v>1367</v>
      </c>
      <c r="D625" t="s">
        <v>1368</v>
      </c>
      <c r="E625" t="s">
        <v>69</v>
      </c>
      <c r="F625" t="s">
        <v>55</v>
      </c>
      <c r="H625" t="str" cm="1">
        <f t="array" ref="H625">_xlfn.TEXTJOIN(", ", TRUE, IF(I625:M625&gt;0, I$1:M$1, ""))</f>
        <v/>
      </c>
      <c r="I625">
        <v>0</v>
      </c>
      <c r="J625">
        <v>0</v>
      </c>
      <c r="K625">
        <v>0</v>
      </c>
      <c r="L625">
        <v>0</v>
      </c>
      <c r="M625">
        <v>0</v>
      </c>
      <c r="N625">
        <v>0</v>
      </c>
    </row>
    <row r="626" spans="1:14" x14ac:dyDescent="0.35">
      <c r="A626" t="s">
        <v>6</v>
      </c>
      <c r="B626" t="s">
        <v>1369</v>
      </c>
      <c r="E626" t="s">
        <v>62</v>
      </c>
      <c r="F626" t="s">
        <v>55</v>
      </c>
      <c r="H626" t="str" cm="1">
        <f t="array" ref="H626">_xlfn.TEXTJOIN(", ", TRUE, IF(I626:M626&gt;0, I$1:M$1, ""))</f>
        <v>Legal View</v>
      </c>
      <c r="I626">
        <v>0</v>
      </c>
      <c r="J626">
        <v>0</v>
      </c>
      <c r="K626">
        <v>1</v>
      </c>
      <c r="L626">
        <v>0</v>
      </c>
      <c r="M626">
        <v>0</v>
      </c>
      <c r="N626">
        <v>0</v>
      </c>
    </row>
    <row r="627" spans="1:14" x14ac:dyDescent="0.35">
      <c r="A627" t="s">
        <v>6</v>
      </c>
      <c r="B627" t="s">
        <v>1370</v>
      </c>
      <c r="E627" t="s">
        <v>121</v>
      </c>
      <c r="F627" t="s">
        <v>92</v>
      </c>
      <c r="H627" t="str" cm="1">
        <f t="array" ref="H627">_xlfn.TEXTJOIN(", ", TRUE, IF(I627:M627&gt;0, I$1:M$1, ""))</f>
        <v/>
      </c>
      <c r="I627">
        <v>0</v>
      </c>
      <c r="J627">
        <v>0</v>
      </c>
      <c r="K627">
        <v>0</v>
      </c>
      <c r="L627">
        <v>0</v>
      </c>
      <c r="M627">
        <v>0</v>
      </c>
      <c r="N627">
        <v>0</v>
      </c>
    </row>
    <row r="628" spans="1:14" x14ac:dyDescent="0.35">
      <c r="A628" t="s">
        <v>6</v>
      </c>
      <c r="B628" t="s">
        <v>1371</v>
      </c>
      <c r="E628" t="s">
        <v>489</v>
      </c>
      <c r="F628" t="s">
        <v>55</v>
      </c>
      <c r="H628" t="str" cm="1">
        <f t="array" ref="H628">_xlfn.TEXTJOIN(", ", TRUE, IF(I628:M628&gt;0, I$1:M$1, ""))</f>
        <v>Tech Application</v>
      </c>
      <c r="I628">
        <v>0</v>
      </c>
      <c r="J628">
        <v>4</v>
      </c>
      <c r="K628">
        <v>0</v>
      </c>
      <c r="L628">
        <v>0</v>
      </c>
      <c r="M628">
        <v>0</v>
      </c>
      <c r="N628">
        <v>0</v>
      </c>
    </row>
    <row r="629" spans="1:14" x14ac:dyDescent="0.35">
      <c r="A629" t="s">
        <v>6</v>
      </c>
      <c r="B629" t="s">
        <v>1372</v>
      </c>
      <c r="E629" t="s">
        <v>96</v>
      </c>
      <c r="F629" t="s">
        <v>55</v>
      </c>
      <c r="H629" t="str" cm="1">
        <f t="array" ref="H629">_xlfn.TEXTJOIN(", ", TRUE, IF(I629:M629&gt;0, I$1:M$1, ""))</f>
        <v>Organisational View</v>
      </c>
      <c r="I629">
        <v>0</v>
      </c>
      <c r="J629">
        <v>0</v>
      </c>
      <c r="K629">
        <v>0</v>
      </c>
      <c r="L629">
        <v>1</v>
      </c>
      <c r="M629">
        <v>0</v>
      </c>
      <c r="N629">
        <v>0</v>
      </c>
    </row>
    <row r="630" spans="1:14" x14ac:dyDescent="0.35">
      <c r="A630" t="s">
        <v>6</v>
      </c>
      <c r="B630" t="s">
        <v>1373</v>
      </c>
      <c r="C630" t="s">
        <v>1374</v>
      </c>
      <c r="E630" t="s">
        <v>489</v>
      </c>
      <c r="F630" t="s">
        <v>276</v>
      </c>
      <c r="H630" t="str" cm="1">
        <f t="array" ref="H630">_xlfn.TEXTJOIN(", ", TRUE, IF(I630:M630&gt;0, I$1:M$1, ""))</f>
        <v>Tech Application</v>
      </c>
      <c r="I630">
        <v>0</v>
      </c>
      <c r="J630">
        <v>1</v>
      </c>
      <c r="K630">
        <v>0</v>
      </c>
      <c r="L630">
        <v>0</v>
      </c>
      <c r="M630">
        <v>0</v>
      </c>
      <c r="N630">
        <v>0</v>
      </c>
    </row>
    <row r="631" spans="1:14" x14ac:dyDescent="0.35">
      <c r="A631" t="s">
        <v>6</v>
      </c>
      <c r="B631" t="s">
        <v>1375</v>
      </c>
      <c r="D631" t="s">
        <v>1376</v>
      </c>
      <c r="E631" t="s">
        <v>230</v>
      </c>
      <c r="F631" t="s">
        <v>55</v>
      </c>
      <c r="H631" t="str" cm="1">
        <f t="array" ref="H631">_xlfn.TEXTJOIN(", ", TRUE, IF(I631:M631&gt;0, I$1:M$1, ""))</f>
        <v>Tech Application, Organisational View</v>
      </c>
      <c r="I631">
        <v>0</v>
      </c>
      <c r="J631">
        <v>1</v>
      </c>
      <c r="K631">
        <v>0</v>
      </c>
      <c r="L631">
        <v>1</v>
      </c>
      <c r="M631">
        <v>0</v>
      </c>
      <c r="N631">
        <v>0</v>
      </c>
    </row>
    <row r="632" spans="1:14" x14ac:dyDescent="0.35">
      <c r="A632" t="s">
        <v>6</v>
      </c>
      <c r="B632" t="s">
        <v>1377</v>
      </c>
      <c r="E632" t="s">
        <v>622</v>
      </c>
      <c r="F632" t="s">
        <v>55</v>
      </c>
      <c r="H632" t="str" cm="1">
        <f t="array" ref="H632">_xlfn.TEXTJOIN(", ", TRUE, IF(I632:M632&gt;0, I$1:M$1, ""))</f>
        <v>Tech Application</v>
      </c>
      <c r="I632">
        <v>0</v>
      </c>
      <c r="J632">
        <v>1</v>
      </c>
      <c r="K632">
        <v>0</v>
      </c>
      <c r="L632">
        <v>0</v>
      </c>
      <c r="M632">
        <v>0</v>
      </c>
      <c r="N632">
        <v>0</v>
      </c>
    </row>
    <row r="633" spans="1:14" x14ac:dyDescent="0.35">
      <c r="A633" t="s">
        <v>6</v>
      </c>
      <c r="B633" t="s">
        <v>1378</v>
      </c>
      <c r="D633" t="s">
        <v>1379</v>
      </c>
      <c r="E633" t="s">
        <v>230</v>
      </c>
      <c r="F633" t="s">
        <v>55</v>
      </c>
      <c r="H633" t="str" cm="1">
        <f t="array" ref="H633">_xlfn.TEXTJOIN(", ", TRUE, IF(I633:M633&gt;0, I$1:M$1, ""))</f>
        <v>Organisational View</v>
      </c>
      <c r="I633">
        <v>0</v>
      </c>
      <c r="J633">
        <v>0</v>
      </c>
      <c r="K633">
        <v>0</v>
      </c>
      <c r="L633">
        <v>1</v>
      </c>
      <c r="M633">
        <v>0</v>
      </c>
      <c r="N633">
        <v>0</v>
      </c>
    </row>
    <row r="634" spans="1:14" x14ac:dyDescent="0.35">
      <c r="A634" t="s">
        <v>6</v>
      </c>
      <c r="B634" t="s">
        <v>1380</v>
      </c>
      <c r="D634" t="s">
        <v>1381</v>
      </c>
      <c r="E634" t="s">
        <v>69</v>
      </c>
      <c r="F634" t="s">
        <v>55</v>
      </c>
      <c r="H634" t="str" cm="1">
        <f t="array" ref="H634">_xlfn.TEXTJOIN(", ", TRUE, IF(I634:M634&gt;0, I$1:M$1, ""))</f>
        <v>Tech Infrastructure</v>
      </c>
      <c r="I634">
        <v>2</v>
      </c>
      <c r="J634">
        <v>0</v>
      </c>
      <c r="K634">
        <v>0</v>
      </c>
      <c r="L634">
        <v>0</v>
      </c>
      <c r="M634">
        <v>0</v>
      </c>
      <c r="N634">
        <v>0</v>
      </c>
    </row>
    <row r="635" spans="1:14" x14ac:dyDescent="0.35">
      <c r="A635" t="s">
        <v>6</v>
      </c>
      <c r="B635" t="s">
        <v>1382</v>
      </c>
      <c r="C635" t="s">
        <v>1383</v>
      </c>
      <c r="E635" t="s">
        <v>62</v>
      </c>
      <c r="F635" t="s">
        <v>907</v>
      </c>
      <c r="H635" t="str" cm="1">
        <f t="array" ref="H635">_xlfn.TEXTJOIN(", ", TRUE, IF(I635:M635&gt;0, I$1:M$1, ""))</f>
        <v>Tech Application</v>
      </c>
      <c r="I635">
        <v>0</v>
      </c>
      <c r="J635">
        <v>2</v>
      </c>
      <c r="K635">
        <v>0</v>
      </c>
      <c r="L635">
        <v>0</v>
      </c>
      <c r="M635">
        <v>0</v>
      </c>
      <c r="N635">
        <v>0</v>
      </c>
    </row>
    <row r="636" spans="1:14" x14ac:dyDescent="0.35">
      <c r="A636" t="s">
        <v>6</v>
      </c>
      <c r="B636" t="s">
        <v>1384</v>
      </c>
      <c r="E636" t="s">
        <v>69</v>
      </c>
      <c r="F636" t="s">
        <v>55</v>
      </c>
      <c r="H636" t="str" cm="1">
        <f t="array" ref="H636">_xlfn.TEXTJOIN(", ", TRUE, IF(I636:M636&gt;0, I$1:M$1, ""))</f>
        <v>Tech Infrastructure, Tech Application</v>
      </c>
      <c r="I636">
        <v>1</v>
      </c>
      <c r="J636">
        <v>2</v>
      </c>
      <c r="K636">
        <v>0</v>
      </c>
      <c r="L636">
        <v>0</v>
      </c>
      <c r="M636">
        <v>0</v>
      </c>
      <c r="N636">
        <v>1</v>
      </c>
    </row>
    <row r="637" spans="1:14" x14ac:dyDescent="0.35">
      <c r="A637" t="s">
        <v>6</v>
      </c>
      <c r="B637" t="s">
        <v>1385</v>
      </c>
      <c r="D637" t="s">
        <v>1386</v>
      </c>
      <c r="E637" t="s">
        <v>222</v>
      </c>
      <c r="F637" t="s">
        <v>55</v>
      </c>
      <c r="H637" t="str" cm="1">
        <f t="array" ref="H637">_xlfn.TEXTJOIN(", ", TRUE, IF(I637:M637&gt;0, I$1:M$1, ""))</f>
        <v>Tech Application</v>
      </c>
      <c r="I637">
        <v>0</v>
      </c>
      <c r="J637">
        <v>2</v>
      </c>
      <c r="K637">
        <v>0</v>
      </c>
      <c r="L637">
        <v>0</v>
      </c>
      <c r="M637">
        <v>0</v>
      </c>
      <c r="N637">
        <v>0</v>
      </c>
    </row>
    <row r="638" spans="1:14" x14ac:dyDescent="0.35">
      <c r="A638" t="s">
        <v>6</v>
      </c>
      <c r="B638" t="s">
        <v>1387</v>
      </c>
      <c r="D638" t="s">
        <v>1388</v>
      </c>
      <c r="E638" t="s">
        <v>230</v>
      </c>
      <c r="F638" t="s">
        <v>51</v>
      </c>
      <c r="H638" t="str" cm="1">
        <f t="array" ref="H638">_xlfn.TEXTJOIN(", ", TRUE, IF(I638:M638&gt;0, I$1:M$1, ""))</f>
        <v>Tech Infrastructure</v>
      </c>
      <c r="I638">
        <v>2</v>
      </c>
      <c r="J638">
        <v>0</v>
      </c>
      <c r="K638">
        <v>0</v>
      </c>
      <c r="L638">
        <v>0</v>
      </c>
      <c r="M638">
        <v>0</v>
      </c>
      <c r="N638">
        <v>0</v>
      </c>
    </row>
    <row r="639" spans="1:14" x14ac:dyDescent="0.35">
      <c r="A639" t="s">
        <v>6</v>
      </c>
      <c r="B639" t="s">
        <v>1389</v>
      </c>
      <c r="C639" t="s">
        <v>1390</v>
      </c>
      <c r="E639" t="s">
        <v>66</v>
      </c>
      <c r="F639" t="s">
        <v>1391</v>
      </c>
      <c r="H639" t="str" cm="1">
        <f t="array" ref="H639">_xlfn.TEXTJOIN(", ", TRUE, IF(I639:M639&gt;0, I$1:M$1, ""))</f>
        <v>Legal View, Organisational View</v>
      </c>
      <c r="I639">
        <v>0</v>
      </c>
      <c r="J639">
        <v>0</v>
      </c>
      <c r="K639">
        <v>5</v>
      </c>
      <c r="L639">
        <v>3</v>
      </c>
      <c r="M639">
        <v>0</v>
      </c>
      <c r="N639">
        <v>0</v>
      </c>
    </row>
    <row r="640" spans="1:14" x14ac:dyDescent="0.35">
      <c r="A640" t="s">
        <v>6</v>
      </c>
      <c r="B640" t="s">
        <v>1392</v>
      </c>
      <c r="E640" t="s">
        <v>1393</v>
      </c>
      <c r="F640" t="s">
        <v>1394</v>
      </c>
      <c r="H640" t="str" cm="1">
        <f t="array" ref="H640">_xlfn.TEXTJOIN(", ", TRUE, IF(I640:M640&gt;0, I$1:M$1, ""))</f>
        <v>Tech Application, Semantic View</v>
      </c>
      <c r="I640">
        <v>0</v>
      </c>
      <c r="J640">
        <v>2</v>
      </c>
      <c r="K640">
        <v>0</v>
      </c>
      <c r="L640">
        <v>0</v>
      </c>
      <c r="M640">
        <v>1</v>
      </c>
      <c r="N640">
        <v>0</v>
      </c>
    </row>
    <row r="641" spans="1:14" x14ac:dyDescent="0.35">
      <c r="A641" t="s">
        <v>6</v>
      </c>
      <c r="B641" t="s">
        <v>1395</v>
      </c>
      <c r="C641" t="s">
        <v>1396</v>
      </c>
      <c r="E641" t="s">
        <v>62</v>
      </c>
      <c r="F641" t="s">
        <v>1397</v>
      </c>
      <c r="H641" t="str" cm="1">
        <f t="array" ref="H641">_xlfn.TEXTJOIN(", ", TRUE, IF(I641:M641&gt;0, I$1:M$1, ""))</f>
        <v>Tech Application</v>
      </c>
      <c r="I641">
        <v>0</v>
      </c>
      <c r="J641">
        <v>5</v>
      </c>
      <c r="K641">
        <v>0</v>
      </c>
      <c r="L641">
        <v>0</v>
      </c>
      <c r="M641">
        <v>0</v>
      </c>
      <c r="N641">
        <v>0</v>
      </c>
    </row>
    <row r="642" spans="1:14" x14ac:dyDescent="0.35">
      <c r="A642" t="s">
        <v>6</v>
      </c>
      <c r="B642" t="s">
        <v>1398</v>
      </c>
      <c r="C642" t="s">
        <v>1399</v>
      </c>
      <c r="E642" t="s">
        <v>157</v>
      </c>
      <c r="F642" t="s">
        <v>582</v>
      </c>
      <c r="H642" t="str" cm="1">
        <f t="array" ref="H642">_xlfn.TEXTJOIN(", ", TRUE, IF(I642:M642&gt;0, I$1:M$1, ""))</f>
        <v>Semantic View</v>
      </c>
      <c r="I642">
        <v>0</v>
      </c>
      <c r="J642">
        <v>0</v>
      </c>
      <c r="K642">
        <v>0</v>
      </c>
      <c r="L642">
        <v>0</v>
      </c>
      <c r="M642">
        <v>3</v>
      </c>
      <c r="N642">
        <v>0</v>
      </c>
    </row>
    <row r="643" spans="1:14" x14ac:dyDescent="0.35">
      <c r="A643" t="s">
        <v>6</v>
      </c>
      <c r="B643" t="s">
        <v>1400</v>
      </c>
      <c r="C643" t="s">
        <v>1401</v>
      </c>
      <c r="E643" t="s">
        <v>50</v>
      </c>
      <c r="F643" t="s">
        <v>51</v>
      </c>
      <c r="H643" t="str" cm="1">
        <f t="array" ref="H643">_xlfn.TEXTJOIN(", ", TRUE, IF(I643:M643&gt;0, I$1:M$1, ""))</f>
        <v>Tech Infrastructure</v>
      </c>
      <c r="I643">
        <v>1</v>
      </c>
      <c r="J643">
        <v>0</v>
      </c>
      <c r="K643">
        <v>0</v>
      </c>
      <c r="L643">
        <v>0</v>
      </c>
      <c r="M643">
        <v>0</v>
      </c>
      <c r="N643">
        <v>0</v>
      </c>
    </row>
    <row r="644" spans="1:14" x14ac:dyDescent="0.35">
      <c r="A644" t="s">
        <v>6</v>
      </c>
      <c r="B644" t="s">
        <v>1402</v>
      </c>
      <c r="C644" t="s">
        <v>1403</v>
      </c>
      <c r="E644" t="s">
        <v>121</v>
      </c>
      <c r="F644" t="s">
        <v>431</v>
      </c>
      <c r="H644" t="str" cm="1">
        <f t="array" ref="H644">_xlfn.TEXTJOIN(", ", TRUE, IF(I644:M644&gt;0, I$1:M$1, ""))</f>
        <v>Tech Application, Semantic View</v>
      </c>
      <c r="I644">
        <v>0</v>
      </c>
      <c r="J644">
        <v>2</v>
      </c>
      <c r="K644">
        <v>0</v>
      </c>
      <c r="L644">
        <v>0</v>
      </c>
      <c r="M644">
        <v>1</v>
      </c>
      <c r="N644">
        <v>0</v>
      </c>
    </row>
    <row r="645" spans="1:14" x14ac:dyDescent="0.35">
      <c r="A645" t="s">
        <v>6</v>
      </c>
      <c r="B645" t="s">
        <v>1404</v>
      </c>
      <c r="C645" t="s">
        <v>1405</v>
      </c>
      <c r="E645" t="s">
        <v>121</v>
      </c>
      <c r="F645" t="s">
        <v>51</v>
      </c>
      <c r="H645" t="str" cm="1">
        <f t="array" ref="H645">_xlfn.TEXTJOIN(", ", TRUE, IF(I645:M645&gt;0, I$1:M$1, ""))</f>
        <v>Organisational View</v>
      </c>
      <c r="I645">
        <v>0</v>
      </c>
      <c r="J645">
        <v>0</v>
      </c>
      <c r="K645">
        <v>0</v>
      </c>
      <c r="L645">
        <v>1</v>
      </c>
      <c r="M645">
        <v>0</v>
      </c>
      <c r="N645">
        <v>0</v>
      </c>
    </row>
    <row r="646" spans="1:14" x14ac:dyDescent="0.35">
      <c r="A646" t="s">
        <v>6</v>
      </c>
      <c r="B646" t="s">
        <v>1406</v>
      </c>
      <c r="D646" t="s">
        <v>1407</v>
      </c>
      <c r="E646" t="s">
        <v>66</v>
      </c>
      <c r="F646" t="s">
        <v>1408</v>
      </c>
      <c r="H646" t="str" cm="1">
        <f t="array" ref="H646">_xlfn.TEXTJOIN(", ", TRUE, IF(I646:M646&gt;0, I$1:M$1, ""))</f>
        <v>Legal View</v>
      </c>
      <c r="I646">
        <v>0</v>
      </c>
      <c r="J646">
        <v>0</v>
      </c>
      <c r="K646">
        <v>1</v>
      </c>
      <c r="L646">
        <v>0</v>
      </c>
      <c r="M646">
        <v>0</v>
      </c>
      <c r="N646">
        <v>0</v>
      </c>
    </row>
    <row r="647" spans="1:14" x14ac:dyDescent="0.35">
      <c r="A647" t="s">
        <v>6</v>
      </c>
      <c r="B647" t="s">
        <v>1409</v>
      </c>
      <c r="C647" t="s">
        <v>1410</v>
      </c>
      <c r="E647" t="s">
        <v>62</v>
      </c>
      <c r="F647" t="s">
        <v>180</v>
      </c>
      <c r="H647" t="str" cm="1">
        <f t="array" ref="H647">_xlfn.TEXTJOIN(", ", TRUE, IF(I647:M647&gt;0, I$1:M$1, ""))</f>
        <v>Organisational View, Semantic View</v>
      </c>
      <c r="I647">
        <v>0</v>
      </c>
      <c r="J647">
        <v>0</v>
      </c>
      <c r="K647">
        <v>0</v>
      </c>
      <c r="L647">
        <v>2</v>
      </c>
      <c r="M647">
        <v>1</v>
      </c>
      <c r="N647">
        <v>0</v>
      </c>
    </row>
    <row r="648" spans="1:14" x14ac:dyDescent="0.35">
      <c r="A648" t="s">
        <v>6</v>
      </c>
      <c r="B648" t="s">
        <v>1411</v>
      </c>
      <c r="D648" t="s">
        <v>1412</v>
      </c>
      <c r="E648" t="s">
        <v>50</v>
      </c>
      <c r="F648" t="s">
        <v>55</v>
      </c>
      <c r="H648" t="str" cm="1">
        <f t="array" ref="H648">_xlfn.TEXTJOIN(", ", TRUE, IF(I648:M648&gt;0, I$1:M$1, ""))</f>
        <v>Semantic View</v>
      </c>
      <c r="I648">
        <v>0</v>
      </c>
      <c r="J648">
        <v>0</v>
      </c>
      <c r="K648">
        <v>0</v>
      </c>
      <c r="L648">
        <v>0</v>
      </c>
      <c r="M648">
        <v>1</v>
      </c>
      <c r="N648">
        <v>0</v>
      </c>
    </row>
    <row r="649" spans="1:14" x14ac:dyDescent="0.35">
      <c r="A649" t="s">
        <v>6</v>
      </c>
      <c r="B649" t="s">
        <v>1413</v>
      </c>
      <c r="C649" t="s">
        <v>1414</v>
      </c>
      <c r="E649" t="s">
        <v>96</v>
      </c>
      <c r="F649" t="s">
        <v>74</v>
      </c>
      <c r="H649" t="str" cm="1">
        <f t="array" ref="H649">_xlfn.TEXTJOIN(", ", TRUE, IF(I649:M649&gt;0, I$1:M$1, ""))</f>
        <v/>
      </c>
      <c r="I649">
        <v>0</v>
      </c>
      <c r="J649">
        <v>0</v>
      </c>
      <c r="K649">
        <v>0</v>
      </c>
      <c r="L649">
        <v>0</v>
      </c>
      <c r="M649">
        <v>0</v>
      </c>
      <c r="N649">
        <v>0</v>
      </c>
    </row>
    <row r="650" spans="1:14" x14ac:dyDescent="0.35">
      <c r="A650" t="s">
        <v>6</v>
      </c>
      <c r="B650" t="s">
        <v>1415</v>
      </c>
      <c r="C650" t="s">
        <v>1416</v>
      </c>
      <c r="E650" t="s">
        <v>438</v>
      </c>
      <c r="F650" t="s">
        <v>51</v>
      </c>
      <c r="H650" t="str" cm="1">
        <f t="array" ref="H650">_xlfn.TEXTJOIN(", ", TRUE, IF(I650:M650&gt;0, I$1:M$1, ""))</f>
        <v>Tech Application</v>
      </c>
      <c r="I650">
        <v>0</v>
      </c>
      <c r="J650">
        <v>2</v>
      </c>
      <c r="K650">
        <v>0</v>
      </c>
      <c r="L650">
        <v>0</v>
      </c>
      <c r="M650">
        <v>0</v>
      </c>
      <c r="N650">
        <v>0</v>
      </c>
    </row>
    <row r="651" spans="1:14" x14ac:dyDescent="0.35">
      <c r="A651" t="s">
        <v>6</v>
      </c>
      <c r="B651" t="s">
        <v>1417</v>
      </c>
      <c r="E651" t="s">
        <v>62</v>
      </c>
      <c r="F651" t="s">
        <v>206</v>
      </c>
      <c r="H651" t="str" cm="1">
        <f t="array" ref="H651">_xlfn.TEXTJOIN(", ", TRUE, IF(I651:M651&gt;0, I$1:M$1, ""))</f>
        <v>Tech Application</v>
      </c>
      <c r="I651">
        <v>0</v>
      </c>
      <c r="J651">
        <v>1</v>
      </c>
      <c r="K651">
        <v>0</v>
      </c>
      <c r="L651">
        <v>0</v>
      </c>
      <c r="M651">
        <v>0</v>
      </c>
      <c r="N651">
        <v>0</v>
      </c>
    </row>
    <row r="652" spans="1:14" x14ac:dyDescent="0.35">
      <c r="A652" t="s">
        <v>6</v>
      </c>
      <c r="B652" t="s">
        <v>1418</v>
      </c>
      <c r="D652" t="s">
        <v>1419</v>
      </c>
      <c r="E652" t="s">
        <v>50</v>
      </c>
      <c r="F652" t="s">
        <v>55</v>
      </c>
      <c r="H652" t="str" cm="1">
        <f t="array" ref="H652">_xlfn.TEXTJOIN(", ", TRUE, IF(I652:M652&gt;0, I$1:M$1, ""))</f>
        <v>Tech Infrastructure, Tech Application</v>
      </c>
      <c r="I652">
        <v>1</v>
      </c>
      <c r="J652">
        <v>3</v>
      </c>
      <c r="K652">
        <v>0</v>
      </c>
      <c r="L652">
        <v>0</v>
      </c>
      <c r="M652">
        <v>0</v>
      </c>
      <c r="N652">
        <v>0</v>
      </c>
    </row>
    <row r="653" spans="1:14" x14ac:dyDescent="0.35">
      <c r="A653" t="s">
        <v>6</v>
      </c>
      <c r="B653" t="s">
        <v>1420</v>
      </c>
      <c r="D653" t="s">
        <v>1421</v>
      </c>
      <c r="E653" t="s">
        <v>124</v>
      </c>
      <c r="F653" t="s">
        <v>180</v>
      </c>
      <c r="H653" t="str" cm="1">
        <f t="array" ref="H653">_xlfn.TEXTJOIN(", ", TRUE, IF(I653:M653&gt;0, I$1:M$1, ""))</f>
        <v>Semantic View</v>
      </c>
      <c r="I653">
        <v>0</v>
      </c>
      <c r="J653">
        <v>0</v>
      </c>
      <c r="K653">
        <v>0</v>
      </c>
      <c r="L653">
        <v>0</v>
      </c>
      <c r="M653">
        <v>3</v>
      </c>
      <c r="N653">
        <v>0</v>
      </c>
    </row>
    <row r="654" spans="1:14" x14ac:dyDescent="0.35">
      <c r="A654" t="s">
        <v>6</v>
      </c>
      <c r="B654" t="s">
        <v>1422</v>
      </c>
      <c r="D654" t="s">
        <v>1423</v>
      </c>
      <c r="E654" t="s">
        <v>69</v>
      </c>
      <c r="F654" t="s">
        <v>55</v>
      </c>
      <c r="H654" t="str" cm="1">
        <f t="array" ref="H654">_xlfn.TEXTJOIN(", ", TRUE, IF(I654:M654&gt;0, I$1:M$1, ""))</f>
        <v/>
      </c>
      <c r="I654">
        <v>0</v>
      </c>
      <c r="J654">
        <v>0</v>
      </c>
      <c r="K654">
        <v>0</v>
      </c>
      <c r="L654">
        <v>0</v>
      </c>
      <c r="M654">
        <v>0</v>
      </c>
      <c r="N654">
        <v>0</v>
      </c>
    </row>
    <row r="655" spans="1:14" x14ac:dyDescent="0.35">
      <c r="A655" t="s">
        <v>6</v>
      </c>
      <c r="B655" t="s">
        <v>1424</v>
      </c>
      <c r="D655" t="s">
        <v>1425</v>
      </c>
      <c r="E655" t="s">
        <v>733</v>
      </c>
      <c r="F655" t="s">
        <v>55</v>
      </c>
      <c r="H655" t="str" cm="1">
        <f t="array" ref="H655">_xlfn.TEXTJOIN(", ", TRUE, IF(I655:M655&gt;0, I$1:M$1, ""))</f>
        <v>Tech Application, Semantic View</v>
      </c>
      <c r="I655">
        <v>0</v>
      </c>
      <c r="J655">
        <v>2</v>
      </c>
      <c r="K655">
        <v>0</v>
      </c>
      <c r="L655">
        <v>0</v>
      </c>
      <c r="M655">
        <v>2</v>
      </c>
      <c r="N655">
        <v>0</v>
      </c>
    </row>
    <row r="656" spans="1:14" x14ac:dyDescent="0.35">
      <c r="A656" t="s">
        <v>6</v>
      </c>
      <c r="B656" t="s">
        <v>1426</v>
      </c>
      <c r="D656" t="s">
        <v>1427</v>
      </c>
      <c r="E656" t="s">
        <v>59</v>
      </c>
      <c r="F656" t="s">
        <v>100</v>
      </c>
      <c r="H656" t="str" cm="1">
        <f t="array" ref="H656">_xlfn.TEXTJOIN(", ", TRUE, IF(I656:M656&gt;0, I$1:M$1, ""))</f>
        <v>Tech Infrastructure, Organisational View</v>
      </c>
      <c r="I656">
        <v>1</v>
      </c>
      <c r="J656">
        <v>0</v>
      </c>
      <c r="K656">
        <v>0</v>
      </c>
      <c r="L656">
        <v>2</v>
      </c>
      <c r="M656">
        <v>0</v>
      </c>
      <c r="N656">
        <v>0</v>
      </c>
    </row>
    <row r="657" spans="1:14" x14ac:dyDescent="0.35">
      <c r="A657" t="s">
        <v>6</v>
      </c>
      <c r="B657" t="s">
        <v>1428</v>
      </c>
      <c r="D657" t="s">
        <v>1429</v>
      </c>
      <c r="E657" t="s">
        <v>66</v>
      </c>
      <c r="F657" t="s">
        <v>1430</v>
      </c>
      <c r="H657" t="str" cm="1">
        <f t="array" ref="H657">_xlfn.TEXTJOIN(", ", TRUE, IF(I657:M657&gt;0, I$1:M$1, ""))</f>
        <v>Legal View</v>
      </c>
      <c r="I657">
        <v>0</v>
      </c>
      <c r="J657">
        <v>0</v>
      </c>
      <c r="K657">
        <v>1</v>
      </c>
      <c r="L657">
        <v>0</v>
      </c>
      <c r="M657">
        <v>0</v>
      </c>
      <c r="N657">
        <v>0</v>
      </c>
    </row>
    <row r="658" spans="1:14" x14ac:dyDescent="0.35">
      <c r="A658" t="s">
        <v>6</v>
      </c>
      <c r="B658" t="s">
        <v>1431</v>
      </c>
      <c r="D658" t="s">
        <v>1432</v>
      </c>
      <c r="E658" t="s">
        <v>59</v>
      </c>
      <c r="F658" t="s">
        <v>100</v>
      </c>
      <c r="H658" t="str" cm="1">
        <f t="array" ref="H658">_xlfn.TEXTJOIN(", ", TRUE, IF(I658:M658&gt;0, I$1:M$1, ""))</f>
        <v>Organisational View, Semantic View</v>
      </c>
      <c r="I658">
        <v>0</v>
      </c>
      <c r="J658">
        <v>0</v>
      </c>
      <c r="K658">
        <v>0</v>
      </c>
      <c r="L658">
        <v>1</v>
      </c>
      <c r="M658">
        <v>2</v>
      </c>
      <c r="N658">
        <v>0</v>
      </c>
    </row>
    <row r="659" spans="1:14" x14ac:dyDescent="0.35">
      <c r="A659" t="s">
        <v>6</v>
      </c>
      <c r="B659" t="s">
        <v>1433</v>
      </c>
      <c r="E659" t="s">
        <v>96</v>
      </c>
      <c r="F659" t="s">
        <v>55</v>
      </c>
      <c r="H659" t="str" cm="1">
        <f t="array" ref="H659">_xlfn.TEXTJOIN(", ", TRUE, IF(I659:M659&gt;0, I$1:M$1, ""))</f>
        <v>Tech Application</v>
      </c>
      <c r="I659">
        <v>0</v>
      </c>
      <c r="J659">
        <v>3</v>
      </c>
      <c r="K659">
        <v>0</v>
      </c>
      <c r="L659">
        <v>0</v>
      </c>
      <c r="M659">
        <v>0</v>
      </c>
      <c r="N659">
        <v>0</v>
      </c>
    </row>
    <row r="660" spans="1:14" x14ac:dyDescent="0.35">
      <c r="A660" t="s">
        <v>6</v>
      </c>
      <c r="B660" t="s">
        <v>1434</v>
      </c>
      <c r="C660" t="s">
        <v>1435</v>
      </c>
      <c r="E660" t="s">
        <v>62</v>
      </c>
      <c r="F660" t="s">
        <v>51</v>
      </c>
      <c r="H660" t="str" cm="1">
        <f t="array" ref="H660">_xlfn.TEXTJOIN(", ", TRUE, IF(I660:M660&gt;0, I$1:M$1, ""))</f>
        <v>Tech Application</v>
      </c>
      <c r="I660">
        <v>0</v>
      </c>
      <c r="J660">
        <v>2</v>
      </c>
      <c r="K660">
        <v>0</v>
      </c>
      <c r="L660">
        <v>0</v>
      </c>
      <c r="M660">
        <v>0</v>
      </c>
      <c r="N660">
        <v>0</v>
      </c>
    </row>
    <row r="661" spans="1:14" x14ac:dyDescent="0.35">
      <c r="A661" t="s">
        <v>6</v>
      </c>
      <c r="B661" t="s">
        <v>1436</v>
      </c>
      <c r="C661" t="s">
        <v>1436</v>
      </c>
      <c r="E661" t="s">
        <v>50</v>
      </c>
      <c r="F661" t="s">
        <v>55</v>
      </c>
      <c r="H661" t="str" cm="1">
        <f t="array" ref="H661">_xlfn.TEXTJOIN(", ", TRUE, IF(I661:M661&gt;0, I$1:M$1, ""))</f>
        <v>Tech Application</v>
      </c>
      <c r="I661">
        <v>0</v>
      </c>
      <c r="J661">
        <v>2</v>
      </c>
      <c r="K661">
        <v>0</v>
      </c>
      <c r="L661">
        <v>0</v>
      </c>
      <c r="M661">
        <v>0</v>
      </c>
      <c r="N661">
        <v>0</v>
      </c>
    </row>
    <row r="662" spans="1:14" x14ac:dyDescent="0.35">
      <c r="A662" t="s">
        <v>6</v>
      </c>
      <c r="B662" t="s">
        <v>1437</v>
      </c>
      <c r="C662" t="s">
        <v>925</v>
      </c>
      <c r="E662" t="s">
        <v>345</v>
      </c>
      <c r="F662" t="s">
        <v>55</v>
      </c>
      <c r="H662" t="str" cm="1">
        <f t="array" ref="H662">_xlfn.TEXTJOIN(", ", TRUE, IF(I662:M662&gt;0, I$1:M$1, ""))</f>
        <v>Tech Application, Semantic View</v>
      </c>
      <c r="I662">
        <v>0</v>
      </c>
      <c r="J662">
        <v>2</v>
      </c>
      <c r="K662">
        <v>0</v>
      </c>
      <c r="L662">
        <v>0</v>
      </c>
      <c r="M662">
        <v>1</v>
      </c>
      <c r="N662">
        <v>0</v>
      </c>
    </row>
    <row r="663" spans="1:14" x14ac:dyDescent="0.35">
      <c r="A663" t="s">
        <v>6</v>
      </c>
      <c r="B663" t="s">
        <v>1438</v>
      </c>
      <c r="D663" t="s">
        <v>1439</v>
      </c>
      <c r="E663" t="s">
        <v>230</v>
      </c>
      <c r="F663" t="s">
        <v>55</v>
      </c>
      <c r="H663" t="str" cm="1">
        <f t="array" ref="H663">_xlfn.TEXTJOIN(", ", TRUE, IF(I663:M663&gt;0, I$1:M$1, ""))</f>
        <v>Tech Application, Semantic View</v>
      </c>
      <c r="I663">
        <v>0</v>
      </c>
      <c r="J663">
        <v>3</v>
      </c>
      <c r="K663">
        <v>0</v>
      </c>
      <c r="L663">
        <v>0</v>
      </c>
      <c r="M663">
        <v>2</v>
      </c>
      <c r="N663">
        <v>0</v>
      </c>
    </row>
    <row r="664" spans="1:14" x14ac:dyDescent="0.35">
      <c r="A664" t="s">
        <v>6</v>
      </c>
      <c r="B664" t="s">
        <v>1440</v>
      </c>
      <c r="C664" t="s">
        <v>1440</v>
      </c>
      <c r="E664" t="s">
        <v>121</v>
      </c>
      <c r="F664" t="s">
        <v>97</v>
      </c>
      <c r="H664" t="str" cm="1">
        <f t="array" ref="H664">_xlfn.TEXTJOIN(", ", TRUE, IF(I664:M664&gt;0, I$1:M$1, ""))</f>
        <v>Tech Application</v>
      </c>
      <c r="I664">
        <v>0</v>
      </c>
      <c r="J664">
        <v>2</v>
      </c>
      <c r="K664">
        <v>0</v>
      </c>
      <c r="L664">
        <v>0</v>
      </c>
      <c r="M664">
        <v>0</v>
      </c>
      <c r="N664">
        <v>2</v>
      </c>
    </row>
    <row r="665" spans="1:14" x14ac:dyDescent="0.35">
      <c r="A665" t="s">
        <v>6</v>
      </c>
      <c r="B665" t="s">
        <v>1441</v>
      </c>
      <c r="D665" t="s">
        <v>1442</v>
      </c>
      <c r="E665" t="s">
        <v>230</v>
      </c>
      <c r="F665" t="s">
        <v>447</v>
      </c>
      <c r="H665" t="str" cm="1">
        <f t="array" ref="H665">_xlfn.TEXTJOIN(", ", TRUE, IF(I665:M665&gt;0, I$1:M$1, ""))</f>
        <v>Tech Infrastructure, Tech Application</v>
      </c>
      <c r="I665">
        <v>1</v>
      </c>
      <c r="J665">
        <v>2</v>
      </c>
      <c r="K665">
        <v>0</v>
      </c>
      <c r="L665">
        <v>0</v>
      </c>
      <c r="M665">
        <v>0</v>
      </c>
      <c r="N665">
        <v>0</v>
      </c>
    </row>
    <row r="666" spans="1:14" x14ac:dyDescent="0.35">
      <c r="A666" t="s">
        <v>6</v>
      </c>
      <c r="B666" t="s">
        <v>1443</v>
      </c>
      <c r="C666" t="s">
        <v>1444</v>
      </c>
      <c r="E666" t="s">
        <v>1445</v>
      </c>
      <c r="F666" t="s">
        <v>51</v>
      </c>
      <c r="H666" t="str" cm="1">
        <f t="array" ref="H666">_xlfn.TEXTJOIN(", ", TRUE, IF(I666:M666&gt;0, I$1:M$1, ""))</f>
        <v>Tech Infrastructure</v>
      </c>
      <c r="I666">
        <v>2</v>
      </c>
      <c r="J666">
        <v>0</v>
      </c>
      <c r="K666">
        <v>0</v>
      </c>
      <c r="L666">
        <v>0</v>
      </c>
      <c r="M666">
        <v>0</v>
      </c>
      <c r="N666">
        <v>0</v>
      </c>
    </row>
    <row r="667" spans="1:14" x14ac:dyDescent="0.35">
      <c r="A667" t="s">
        <v>6</v>
      </c>
      <c r="B667" t="s">
        <v>1446</v>
      </c>
      <c r="C667" t="s">
        <v>1447</v>
      </c>
      <c r="E667" t="s">
        <v>1448</v>
      </c>
      <c r="F667" t="s">
        <v>55</v>
      </c>
      <c r="H667" t="str" cm="1">
        <f t="array" ref="H667">_xlfn.TEXTJOIN(", ", TRUE, IF(I667:M667&gt;0, I$1:M$1, ""))</f>
        <v>Semantic View</v>
      </c>
      <c r="I667">
        <v>0</v>
      </c>
      <c r="J667">
        <v>0</v>
      </c>
      <c r="K667">
        <v>0</v>
      </c>
      <c r="L667">
        <v>0</v>
      </c>
      <c r="M667">
        <v>2</v>
      </c>
      <c r="N667">
        <v>0</v>
      </c>
    </row>
    <row r="668" spans="1:14" x14ac:dyDescent="0.35">
      <c r="A668" t="s">
        <v>6</v>
      </c>
      <c r="B668" t="s">
        <v>1449</v>
      </c>
      <c r="D668" t="s">
        <v>1450</v>
      </c>
      <c r="E668" t="s">
        <v>96</v>
      </c>
      <c r="F668" t="s">
        <v>51</v>
      </c>
      <c r="H668" t="str" cm="1">
        <f t="array" ref="H668">_xlfn.TEXTJOIN(", ", TRUE, IF(I668:M668&gt;0, I$1:M$1, ""))</f>
        <v>Semantic View</v>
      </c>
      <c r="I668">
        <v>0</v>
      </c>
      <c r="J668">
        <v>0</v>
      </c>
      <c r="K668">
        <v>0</v>
      </c>
      <c r="L668">
        <v>0</v>
      </c>
      <c r="M668">
        <v>2</v>
      </c>
      <c r="N668">
        <v>0</v>
      </c>
    </row>
    <row r="669" spans="1:14" x14ac:dyDescent="0.35">
      <c r="A669" t="s">
        <v>6</v>
      </c>
      <c r="B669" t="s">
        <v>1451</v>
      </c>
      <c r="D669" t="s">
        <v>1452</v>
      </c>
      <c r="E669" t="s">
        <v>230</v>
      </c>
      <c r="F669" t="s">
        <v>92</v>
      </c>
      <c r="H669" t="str" cm="1">
        <f t="array" ref="H669">_xlfn.TEXTJOIN(", ", TRUE, IF(I669:M669&gt;0, I$1:M$1, ""))</f>
        <v>Tech Application</v>
      </c>
      <c r="I669">
        <v>0</v>
      </c>
      <c r="J669">
        <v>1</v>
      </c>
      <c r="K669">
        <v>0</v>
      </c>
      <c r="L669">
        <v>0</v>
      </c>
      <c r="M669">
        <v>0</v>
      </c>
      <c r="N669">
        <v>0</v>
      </c>
    </row>
    <row r="670" spans="1:14" x14ac:dyDescent="0.35">
      <c r="A670" t="s">
        <v>6</v>
      </c>
      <c r="B670" t="s">
        <v>1453</v>
      </c>
      <c r="C670" t="s">
        <v>1454</v>
      </c>
      <c r="E670" t="s">
        <v>121</v>
      </c>
      <c r="F670" t="s">
        <v>1455</v>
      </c>
      <c r="H670" t="str" cm="1">
        <f t="array" ref="H670">_xlfn.TEXTJOIN(", ", TRUE, IF(I670:M670&gt;0, I$1:M$1, ""))</f>
        <v/>
      </c>
      <c r="I670">
        <v>0</v>
      </c>
      <c r="J670">
        <v>0</v>
      </c>
      <c r="K670">
        <v>0</v>
      </c>
      <c r="L670">
        <v>0</v>
      </c>
      <c r="M670">
        <v>0</v>
      </c>
      <c r="N670">
        <v>0</v>
      </c>
    </row>
    <row r="671" spans="1:14" x14ac:dyDescent="0.35">
      <c r="A671" t="s">
        <v>6</v>
      </c>
      <c r="B671" t="s">
        <v>1456</v>
      </c>
      <c r="E671" t="s">
        <v>886</v>
      </c>
      <c r="F671" t="s">
        <v>1457</v>
      </c>
      <c r="H671" t="str" cm="1">
        <f t="array" ref="H671">_xlfn.TEXTJOIN(", ", TRUE, IF(I671:M671&gt;0, I$1:M$1, ""))</f>
        <v>Semantic View</v>
      </c>
      <c r="I671">
        <v>0</v>
      </c>
      <c r="J671">
        <v>0</v>
      </c>
      <c r="K671">
        <v>0</v>
      </c>
      <c r="L671">
        <v>0</v>
      </c>
      <c r="M671">
        <v>1</v>
      </c>
      <c r="N671">
        <v>0</v>
      </c>
    </row>
    <row r="672" spans="1:14" x14ac:dyDescent="0.35">
      <c r="A672" t="s">
        <v>6</v>
      </c>
      <c r="B672" t="s">
        <v>1458</v>
      </c>
      <c r="D672" t="s">
        <v>1459</v>
      </c>
      <c r="E672" t="s">
        <v>230</v>
      </c>
      <c r="F672" t="s">
        <v>55</v>
      </c>
      <c r="H672" t="str" cm="1">
        <f t="array" ref="H672">_xlfn.TEXTJOIN(", ", TRUE, IF(I672:M672&gt;0, I$1:M$1, ""))</f>
        <v>Tech Infrastructure, Tech Application, Semantic View</v>
      </c>
      <c r="I672">
        <v>4</v>
      </c>
      <c r="J672">
        <v>1</v>
      </c>
      <c r="K672">
        <v>0</v>
      </c>
      <c r="L672">
        <v>0</v>
      </c>
      <c r="M672">
        <v>2</v>
      </c>
      <c r="N672">
        <v>1</v>
      </c>
    </row>
    <row r="673" spans="1:14" x14ac:dyDescent="0.35">
      <c r="A673" t="s">
        <v>6</v>
      </c>
      <c r="B673" t="s">
        <v>1460</v>
      </c>
      <c r="C673" t="s">
        <v>266</v>
      </c>
      <c r="D673" t="s">
        <v>1461</v>
      </c>
      <c r="E673" t="s">
        <v>230</v>
      </c>
      <c r="F673" t="s">
        <v>111</v>
      </c>
      <c r="H673" t="str" cm="1">
        <f t="array" ref="H673">_xlfn.TEXTJOIN(", ", TRUE, IF(I673:M673&gt;0, I$1:M$1, ""))</f>
        <v>Semantic View</v>
      </c>
      <c r="I673">
        <v>0</v>
      </c>
      <c r="J673">
        <v>0</v>
      </c>
      <c r="K673">
        <v>0</v>
      </c>
      <c r="L673">
        <v>0</v>
      </c>
      <c r="M673">
        <v>2</v>
      </c>
      <c r="N673">
        <v>0</v>
      </c>
    </row>
    <row r="674" spans="1:14" x14ac:dyDescent="0.35">
      <c r="A674" t="s">
        <v>6</v>
      </c>
      <c r="B674" t="s">
        <v>1462</v>
      </c>
      <c r="E674" t="s">
        <v>50</v>
      </c>
      <c r="F674" t="s">
        <v>55</v>
      </c>
      <c r="H674" t="str" cm="1">
        <f t="array" ref="H674">_xlfn.TEXTJOIN(", ", TRUE, IF(I674:M674&gt;0, I$1:M$1, ""))</f>
        <v>Tech Application</v>
      </c>
      <c r="I674">
        <v>0</v>
      </c>
      <c r="J674">
        <v>5</v>
      </c>
      <c r="K674">
        <v>0</v>
      </c>
      <c r="L674">
        <v>0</v>
      </c>
      <c r="M674">
        <v>0</v>
      </c>
      <c r="N674">
        <v>0</v>
      </c>
    </row>
    <row r="675" spans="1:14" x14ac:dyDescent="0.35">
      <c r="A675" t="s">
        <v>6</v>
      </c>
      <c r="B675" t="s">
        <v>1463</v>
      </c>
      <c r="D675" t="s">
        <v>1464</v>
      </c>
      <c r="E675" t="s">
        <v>50</v>
      </c>
      <c r="F675" t="s">
        <v>55</v>
      </c>
      <c r="H675" t="str" cm="1">
        <f t="array" ref="H675">_xlfn.TEXTJOIN(", ", TRUE, IF(I675:M675&gt;0, I$1:M$1, ""))</f>
        <v>Semantic View</v>
      </c>
      <c r="I675">
        <v>0</v>
      </c>
      <c r="J675">
        <v>0</v>
      </c>
      <c r="K675">
        <v>0</v>
      </c>
      <c r="L675">
        <v>0</v>
      </c>
      <c r="M675">
        <v>1</v>
      </c>
      <c r="N675">
        <v>0</v>
      </c>
    </row>
    <row r="676" spans="1:14" x14ac:dyDescent="0.35">
      <c r="A676" t="s">
        <v>6</v>
      </c>
      <c r="B676" t="s">
        <v>1465</v>
      </c>
      <c r="C676" t="s">
        <v>1466</v>
      </c>
      <c r="E676" t="s">
        <v>62</v>
      </c>
      <c r="F676" t="s">
        <v>55</v>
      </c>
      <c r="H676" t="str" cm="1">
        <f t="array" ref="H676">_xlfn.TEXTJOIN(", ", TRUE, IF(I676:M676&gt;0, I$1:M$1, ""))</f>
        <v>Semantic View</v>
      </c>
      <c r="I676">
        <v>0</v>
      </c>
      <c r="J676">
        <v>0</v>
      </c>
      <c r="K676">
        <v>0</v>
      </c>
      <c r="L676">
        <v>0</v>
      </c>
      <c r="M676">
        <v>7</v>
      </c>
      <c r="N676">
        <v>2</v>
      </c>
    </row>
    <row r="677" spans="1:14" x14ac:dyDescent="0.35">
      <c r="A677" t="s">
        <v>6</v>
      </c>
      <c r="B677" t="s">
        <v>1467</v>
      </c>
      <c r="E677" t="s">
        <v>592</v>
      </c>
      <c r="F677" t="s">
        <v>1457</v>
      </c>
      <c r="H677" t="str" cm="1">
        <f t="array" ref="H677">_xlfn.TEXTJOIN(", ", TRUE, IF(I677:M677&gt;0, I$1:M$1, ""))</f>
        <v>Tech Application</v>
      </c>
      <c r="I677">
        <v>0</v>
      </c>
      <c r="J677">
        <v>2</v>
      </c>
      <c r="K677">
        <v>0</v>
      </c>
      <c r="L677">
        <v>0</v>
      </c>
      <c r="M677">
        <v>0</v>
      </c>
      <c r="N677">
        <v>0</v>
      </c>
    </row>
    <row r="678" spans="1:14" x14ac:dyDescent="0.35">
      <c r="A678" t="s">
        <v>6</v>
      </c>
      <c r="B678" t="s">
        <v>1468</v>
      </c>
      <c r="C678" t="s">
        <v>1469</v>
      </c>
      <c r="E678" t="s">
        <v>59</v>
      </c>
      <c r="F678" t="s">
        <v>206</v>
      </c>
      <c r="H678" t="str" cm="1">
        <f t="array" ref="H678">_xlfn.TEXTJOIN(", ", TRUE, IF(I678:M678&gt;0, I$1:M$1, ""))</f>
        <v>Tech Application</v>
      </c>
      <c r="I678">
        <v>0</v>
      </c>
      <c r="J678">
        <v>7</v>
      </c>
      <c r="K678">
        <v>0</v>
      </c>
      <c r="L678">
        <v>0</v>
      </c>
      <c r="M678">
        <v>0</v>
      </c>
      <c r="N678">
        <v>1</v>
      </c>
    </row>
    <row r="679" spans="1:14" x14ac:dyDescent="0.35">
      <c r="A679" t="s">
        <v>6</v>
      </c>
      <c r="B679" t="s">
        <v>1470</v>
      </c>
      <c r="E679" t="s">
        <v>62</v>
      </c>
      <c r="F679" t="s">
        <v>51</v>
      </c>
      <c r="H679" t="str" cm="1">
        <f t="array" ref="H679">_xlfn.TEXTJOIN(", ", TRUE, IF(I679:M679&gt;0, I$1:M$1, ""))</f>
        <v>Tech Application</v>
      </c>
      <c r="I679">
        <v>0</v>
      </c>
      <c r="J679">
        <v>2</v>
      </c>
      <c r="K679">
        <v>0</v>
      </c>
      <c r="L679">
        <v>0</v>
      </c>
      <c r="M679">
        <v>0</v>
      </c>
      <c r="N679">
        <v>0</v>
      </c>
    </row>
    <row r="680" spans="1:14" x14ac:dyDescent="0.35">
      <c r="A680" t="s">
        <v>6</v>
      </c>
      <c r="B680" t="s">
        <v>1471</v>
      </c>
      <c r="C680" t="s">
        <v>662</v>
      </c>
      <c r="D680" t="s">
        <v>1472</v>
      </c>
      <c r="E680" t="s">
        <v>230</v>
      </c>
      <c r="F680" t="s">
        <v>55</v>
      </c>
      <c r="H680" t="str" cm="1">
        <f t="array" ref="H680">_xlfn.TEXTJOIN(", ", TRUE, IF(I680:M680&gt;0, I$1:M$1, ""))</f>
        <v/>
      </c>
      <c r="I680">
        <v>0</v>
      </c>
      <c r="J680">
        <v>0</v>
      </c>
      <c r="K680">
        <v>0</v>
      </c>
      <c r="L680">
        <v>0</v>
      </c>
      <c r="M680">
        <v>0</v>
      </c>
      <c r="N680">
        <v>0</v>
      </c>
    </row>
    <row r="681" spans="1:14" x14ac:dyDescent="0.35">
      <c r="A681" t="s">
        <v>6</v>
      </c>
      <c r="B681" t="s">
        <v>1473</v>
      </c>
      <c r="C681" t="s">
        <v>732</v>
      </c>
      <c r="D681" t="s">
        <v>1474</v>
      </c>
      <c r="E681" t="s">
        <v>230</v>
      </c>
      <c r="F681" t="s">
        <v>447</v>
      </c>
      <c r="H681" t="str" cm="1">
        <f t="array" ref="H681">_xlfn.TEXTJOIN(", ", TRUE, IF(I681:M681&gt;0, I$1:M$1, ""))</f>
        <v>Tech Application</v>
      </c>
      <c r="I681">
        <v>0</v>
      </c>
      <c r="J681">
        <v>2</v>
      </c>
      <c r="K681">
        <v>0</v>
      </c>
      <c r="L681">
        <v>0</v>
      </c>
      <c r="M681">
        <v>0</v>
      </c>
      <c r="N681">
        <v>0</v>
      </c>
    </row>
    <row r="682" spans="1:14" x14ac:dyDescent="0.35">
      <c r="A682" t="s">
        <v>6</v>
      </c>
      <c r="B682" t="s">
        <v>1475</v>
      </c>
      <c r="E682" t="s">
        <v>121</v>
      </c>
      <c r="F682" t="s">
        <v>55</v>
      </c>
      <c r="H682" t="str" cm="1">
        <f t="array" ref="H682">_xlfn.TEXTJOIN(", ", TRUE, IF(I682:M682&gt;0, I$1:M$1, ""))</f>
        <v>Tech Application</v>
      </c>
      <c r="I682">
        <v>0</v>
      </c>
      <c r="J682">
        <v>3</v>
      </c>
      <c r="K682">
        <v>0</v>
      </c>
      <c r="L682">
        <v>0</v>
      </c>
      <c r="M682">
        <v>0</v>
      </c>
      <c r="N682">
        <v>0</v>
      </c>
    </row>
    <row r="683" spans="1:14" x14ac:dyDescent="0.35">
      <c r="A683" t="s">
        <v>6</v>
      </c>
      <c r="B683" t="s">
        <v>1476</v>
      </c>
      <c r="C683" t="s">
        <v>1469</v>
      </c>
      <c r="D683" t="s">
        <v>1477</v>
      </c>
      <c r="E683" t="s">
        <v>59</v>
      </c>
      <c r="F683" t="s">
        <v>100</v>
      </c>
      <c r="H683" t="str" cm="1">
        <f t="array" ref="H683">_xlfn.TEXTJOIN(", ", TRUE, IF(I683:M683&gt;0, I$1:M$1, ""))</f>
        <v>Tech Application</v>
      </c>
      <c r="I683">
        <v>0</v>
      </c>
      <c r="J683">
        <v>6</v>
      </c>
      <c r="K683">
        <v>0</v>
      </c>
      <c r="L683">
        <v>0</v>
      </c>
      <c r="M683">
        <v>0</v>
      </c>
      <c r="N683">
        <v>0</v>
      </c>
    </row>
    <row r="684" spans="1:14" x14ac:dyDescent="0.35">
      <c r="A684" t="s">
        <v>6</v>
      </c>
      <c r="B684" t="s">
        <v>1478</v>
      </c>
      <c r="C684" t="s">
        <v>1479</v>
      </c>
      <c r="E684" t="s">
        <v>121</v>
      </c>
      <c r="F684" t="s">
        <v>55</v>
      </c>
      <c r="H684" t="str" cm="1">
        <f t="array" ref="H684">_xlfn.TEXTJOIN(", ", TRUE, IF(I684:M684&gt;0, I$1:M$1, ""))</f>
        <v>Semantic View</v>
      </c>
      <c r="I684">
        <v>0</v>
      </c>
      <c r="J684">
        <v>0</v>
      </c>
      <c r="K684">
        <v>0</v>
      </c>
      <c r="L684">
        <v>0</v>
      </c>
      <c r="M684">
        <v>3</v>
      </c>
      <c r="N684">
        <v>0</v>
      </c>
    </row>
    <row r="685" spans="1:14" x14ac:dyDescent="0.35">
      <c r="A685" t="s">
        <v>6</v>
      </c>
      <c r="B685" t="s">
        <v>1480</v>
      </c>
      <c r="D685" t="s">
        <v>1481</v>
      </c>
      <c r="E685" t="s">
        <v>69</v>
      </c>
      <c r="F685" t="s">
        <v>55</v>
      </c>
      <c r="H685" t="str" cm="1">
        <f t="array" ref="H685">_xlfn.TEXTJOIN(", ", TRUE, IF(I685:M685&gt;0, I$1:M$1, ""))</f>
        <v>Semantic View</v>
      </c>
      <c r="I685">
        <v>0</v>
      </c>
      <c r="J685">
        <v>0</v>
      </c>
      <c r="K685">
        <v>0</v>
      </c>
      <c r="L685">
        <v>0</v>
      </c>
      <c r="M685">
        <v>1</v>
      </c>
      <c r="N685">
        <v>0</v>
      </c>
    </row>
    <row r="686" spans="1:14" x14ac:dyDescent="0.35">
      <c r="A686" t="s">
        <v>6</v>
      </c>
      <c r="B686" t="s">
        <v>1482</v>
      </c>
      <c r="D686" t="s">
        <v>1483</v>
      </c>
      <c r="E686" t="s">
        <v>69</v>
      </c>
      <c r="F686" t="s">
        <v>55</v>
      </c>
      <c r="H686" t="str" cm="1">
        <f t="array" ref="H686">_xlfn.TEXTJOIN(", ", TRUE, IF(I686:M686&gt;0, I$1:M$1, ""))</f>
        <v/>
      </c>
      <c r="I686">
        <v>0</v>
      </c>
      <c r="J686">
        <v>0</v>
      </c>
      <c r="K686">
        <v>0</v>
      </c>
      <c r="L686">
        <v>0</v>
      </c>
      <c r="M686">
        <v>0</v>
      </c>
      <c r="N686">
        <v>0</v>
      </c>
    </row>
    <row r="687" spans="1:14" x14ac:dyDescent="0.35">
      <c r="A687" t="s">
        <v>6</v>
      </c>
      <c r="B687" t="s">
        <v>1484</v>
      </c>
      <c r="E687" t="s">
        <v>1485</v>
      </c>
      <c r="F687" t="s">
        <v>1457</v>
      </c>
      <c r="H687" t="str" cm="1">
        <f t="array" ref="H687">_xlfn.TEXTJOIN(", ", TRUE, IF(I687:M687&gt;0, I$1:M$1, ""))</f>
        <v>Tech Infrastructure</v>
      </c>
      <c r="I687">
        <v>1</v>
      </c>
      <c r="J687">
        <v>0</v>
      </c>
      <c r="K687">
        <v>0</v>
      </c>
      <c r="L687">
        <v>0</v>
      </c>
      <c r="M687">
        <v>0</v>
      </c>
      <c r="N687">
        <v>0</v>
      </c>
    </row>
    <row r="688" spans="1:14" x14ac:dyDescent="0.35">
      <c r="A688" t="s">
        <v>6</v>
      </c>
      <c r="B688" t="s">
        <v>1486</v>
      </c>
      <c r="D688" t="s">
        <v>1487</v>
      </c>
      <c r="E688" t="s">
        <v>66</v>
      </c>
      <c r="F688" t="s">
        <v>1488</v>
      </c>
      <c r="H688" t="str" cm="1">
        <f t="array" ref="H688">_xlfn.TEXTJOIN(", ", TRUE, IF(I688:M688&gt;0, I$1:M$1, ""))</f>
        <v>Legal View</v>
      </c>
      <c r="I688">
        <v>0</v>
      </c>
      <c r="J688">
        <v>0</v>
      </c>
      <c r="K688">
        <v>1</v>
      </c>
      <c r="L688">
        <v>0</v>
      </c>
      <c r="M688">
        <v>0</v>
      </c>
      <c r="N688">
        <v>0</v>
      </c>
    </row>
    <row r="689" spans="1:14" x14ac:dyDescent="0.35">
      <c r="A689" t="s">
        <v>6</v>
      </c>
      <c r="B689" t="s">
        <v>1489</v>
      </c>
      <c r="D689" t="s">
        <v>1490</v>
      </c>
      <c r="E689" t="s">
        <v>59</v>
      </c>
      <c r="F689" t="s">
        <v>249</v>
      </c>
      <c r="H689" t="str" cm="1">
        <f t="array" ref="H689">_xlfn.TEXTJOIN(", ", TRUE, IF(I689:M689&gt;0, I$1:M$1, ""))</f>
        <v>Tech Application</v>
      </c>
      <c r="I689">
        <v>0</v>
      </c>
      <c r="J689">
        <v>5</v>
      </c>
      <c r="K689">
        <v>0</v>
      </c>
      <c r="L689">
        <v>0</v>
      </c>
      <c r="M689">
        <v>0</v>
      </c>
      <c r="N689">
        <v>0</v>
      </c>
    </row>
    <row r="690" spans="1:14" x14ac:dyDescent="0.35">
      <c r="A690" t="s">
        <v>6</v>
      </c>
      <c r="B690" t="s">
        <v>1491</v>
      </c>
      <c r="C690" t="s">
        <v>1492</v>
      </c>
      <c r="D690" t="s">
        <v>1493</v>
      </c>
      <c r="E690" t="s">
        <v>230</v>
      </c>
      <c r="F690" t="s">
        <v>51</v>
      </c>
      <c r="H690" t="str" cm="1">
        <f t="array" ref="H690">_xlfn.TEXTJOIN(", ", TRUE, IF(I690:M690&gt;0, I$1:M$1, ""))</f>
        <v>Tech Application</v>
      </c>
      <c r="I690">
        <v>0</v>
      </c>
      <c r="J690">
        <v>1</v>
      </c>
      <c r="K690">
        <v>0</v>
      </c>
      <c r="L690">
        <v>0</v>
      </c>
      <c r="M690">
        <v>0</v>
      </c>
      <c r="N690">
        <v>0</v>
      </c>
    </row>
    <row r="691" spans="1:14" x14ac:dyDescent="0.35">
      <c r="A691" t="s">
        <v>6</v>
      </c>
      <c r="B691" t="s">
        <v>1494</v>
      </c>
      <c r="C691" t="s">
        <v>1495</v>
      </c>
      <c r="E691" t="s">
        <v>66</v>
      </c>
      <c r="F691" t="s">
        <v>1496</v>
      </c>
      <c r="H691" t="str" cm="1">
        <f t="array" ref="H691">_xlfn.TEXTJOIN(", ", TRUE, IF(I691:M691&gt;0, I$1:M$1, ""))</f>
        <v>Semantic View</v>
      </c>
      <c r="I691">
        <v>0</v>
      </c>
      <c r="J691">
        <v>0</v>
      </c>
      <c r="K691">
        <v>0</v>
      </c>
      <c r="L691">
        <v>0</v>
      </c>
      <c r="M691">
        <v>1</v>
      </c>
      <c r="N691">
        <v>2</v>
      </c>
    </row>
    <row r="692" spans="1:14" x14ac:dyDescent="0.35">
      <c r="A692" t="s">
        <v>6</v>
      </c>
      <c r="B692" t="s">
        <v>1497</v>
      </c>
      <c r="D692" t="s">
        <v>1498</v>
      </c>
      <c r="E692" t="s">
        <v>62</v>
      </c>
      <c r="F692" t="s">
        <v>1499</v>
      </c>
      <c r="H692" t="str" cm="1">
        <f t="array" ref="H692">_xlfn.TEXTJOIN(", ", TRUE, IF(I692:M692&gt;0, I$1:M$1, ""))</f>
        <v>Legal View</v>
      </c>
      <c r="I692">
        <v>0</v>
      </c>
      <c r="J692">
        <v>0</v>
      </c>
      <c r="K692">
        <v>5</v>
      </c>
      <c r="L692">
        <v>0</v>
      </c>
      <c r="M692">
        <v>0</v>
      </c>
      <c r="N692">
        <v>0</v>
      </c>
    </row>
    <row r="693" spans="1:14" x14ac:dyDescent="0.35">
      <c r="A693" t="s">
        <v>6</v>
      </c>
      <c r="B693" t="s">
        <v>1500</v>
      </c>
      <c r="E693" t="s">
        <v>91</v>
      </c>
      <c r="F693" t="s">
        <v>55</v>
      </c>
      <c r="H693" t="str" cm="1">
        <f t="array" ref="H693">_xlfn.TEXTJOIN(", ", TRUE, IF(I693:M693&gt;0, I$1:M$1, ""))</f>
        <v>Tech Application</v>
      </c>
      <c r="I693">
        <v>0</v>
      </c>
      <c r="J693">
        <v>2</v>
      </c>
      <c r="K693">
        <v>0</v>
      </c>
      <c r="L693">
        <v>0</v>
      </c>
      <c r="M693">
        <v>0</v>
      </c>
      <c r="N693">
        <v>0</v>
      </c>
    </row>
    <row r="694" spans="1:14" x14ac:dyDescent="0.35">
      <c r="A694" t="s">
        <v>6</v>
      </c>
      <c r="B694" t="s">
        <v>1501</v>
      </c>
      <c r="C694" t="s">
        <v>1502</v>
      </c>
      <c r="E694" t="s">
        <v>121</v>
      </c>
      <c r="F694" t="s">
        <v>51</v>
      </c>
      <c r="H694" t="str" cm="1">
        <f t="array" ref="H694">_xlfn.TEXTJOIN(", ", TRUE, IF(I694:M694&gt;0, I$1:M$1, ""))</f>
        <v>Tech Application</v>
      </c>
      <c r="I694">
        <v>0</v>
      </c>
      <c r="J694">
        <v>2</v>
      </c>
      <c r="K694">
        <v>0</v>
      </c>
      <c r="L694">
        <v>0</v>
      </c>
      <c r="M694">
        <v>0</v>
      </c>
      <c r="N694">
        <v>2</v>
      </c>
    </row>
    <row r="695" spans="1:14" x14ac:dyDescent="0.35">
      <c r="A695" t="s">
        <v>6</v>
      </c>
      <c r="B695" t="s">
        <v>1503</v>
      </c>
      <c r="C695" t="s">
        <v>1503</v>
      </c>
      <c r="E695" t="s">
        <v>50</v>
      </c>
      <c r="F695" t="s">
        <v>473</v>
      </c>
      <c r="H695" t="str" cm="1">
        <f t="array" ref="H695">_xlfn.TEXTJOIN(", ", TRUE, IF(I695:M695&gt;0, I$1:M$1, ""))</f>
        <v>Tech Application</v>
      </c>
      <c r="I695">
        <v>0</v>
      </c>
      <c r="J695">
        <v>2</v>
      </c>
      <c r="K695">
        <v>0</v>
      </c>
      <c r="L695">
        <v>0</v>
      </c>
      <c r="M695">
        <v>0</v>
      </c>
      <c r="N695">
        <v>0</v>
      </c>
    </row>
    <row r="696" spans="1:14" x14ac:dyDescent="0.35">
      <c r="A696" t="s">
        <v>6</v>
      </c>
      <c r="B696" t="s">
        <v>1504</v>
      </c>
      <c r="C696" t="s">
        <v>1505</v>
      </c>
      <c r="E696" t="s">
        <v>62</v>
      </c>
      <c r="F696" t="s">
        <v>382</v>
      </c>
      <c r="H696" t="str" cm="1">
        <f t="array" ref="H696">_xlfn.TEXTJOIN(", ", TRUE, IF(I696:M696&gt;0, I$1:M$1, ""))</f>
        <v>Semantic View</v>
      </c>
      <c r="I696">
        <v>0</v>
      </c>
      <c r="J696">
        <v>0</v>
      </c>
      <c r="K696">
        <v>0</v>
      </c>
      <c r="L696">
        <v>0</v>
      </c>
      <c r="M696">
        <v>3</v>
      </c>
      <c r="N696">
        <v>0</v>
      </c>
    </row>
    <row r="697" spans="1:14" x14ac:dyDescent="0.35">
      <c r="A697" t="s">
        <v>6</v>
      </c>
      <c r="B697" t="s">
        <v>1506</v>
      </c>
      <c r="C697" t="s">
        <v>1507</v>
      </c>
      <c r="E697" t="s">
        <v>96</v>
      </c>
      <c r="F697" t="s">
        <v>97</v>
      </c>
      <c r="H697" t="str" cm="1">
        <f t="array" ref="H697">_xlfn.TEXTJOIN(", ", TRUE, IF(I697:M697&gt;0, I$1:M$1, ""))</f>
        <v>Tech Application</v>
      </c>
      <c r="I697">
        <v>0</v>
      </c>
      <c r="J697">
        <v>1</v>
      </c>
      <c r="K697">
        <v>0</v>
      </c>
      <c r="L697">
        <v>0</v>
      </c>
      <c r="M697">
        <v>0</v>
      </c>
      <c r="N697">
        <v>0</v>
      </c>
    </row>
    <row r="698" spans="1:14" x14ac:dyDescent="0.35">
      <c r="A698" t="s">
        <v>6</v>
      </c>
      <c r="B698" t="s">
        <v>1508</v>
      </c>
      <c r="C698" t="s">
        <v>1509</v>
      </c>
      <c r="E698" t="s">
        <v>62</v>
      </c>
      <c r="F698" t="s">
        <v>55</v>
      </c>
      <c r="H698" t="str" cm="1">
        <f t="array" ref="H698">_xlfn.TEXTJOIN(", ", TRUE, IF(I698:M698&gt;0, I$1:M$1, ""))</f>
        <v>Legal View</v>
      </c>
      <c r="I698">
        <v>0</v>
      </c>
      <c r="J698">
        <v>0</v>
      </c>
      <c r="K698">
        <v>1</v>
      </c>
      <c r="L698">
        <v>0</v>
      </c>
      <c r="M698">
        <v>0</v>
      </c>
      <c r="N698">
        <v>0</v>
      </c>
    </row>
    <row r="699" spans="1:14" x14ac:dyDescent="0.35">
      <c r="A699" t="s">
        <v>6</v>
      </c>
      <c r="B699" t="s">
        <v>1510</v>
      </c>
      <c r="C699" t="s">
        <v>1177</v>
      </c>
      <c r="E699" t="s">
        <v>62</v>
      </c>
      <c r="F699" t="s">
        <v>180</v>
      </c>
      <c r="H699" t="str" cm="1">
        <f t="array" ref="H699">_xlfn.TEXTJOIN(", ", TRUE, IF(I699:M699&gt;0, I$1:M$1, ""))</f>
        <v>Tech Application, Semantic View</v>
      </c>
      <c r="I699">
        <v>0</v>
      </c>
      <c r="J699">
        <v>2</v>
      </c>
      <c r="K699">
        <v>0</v>
      </c>
      <c r="L699">
        <v>0</v>
      </c>
      <c r="M699">
        <v>7</v>
      </c>
      <c r="N699">
        <v>0</v>
      </c>
    </row>
    <row r="700" spans="1:14" x14ac:dyDescent="0.35">
      <c r="A700" t="s">
        <v>6</v>
      </c>
      <c r="B700" t="s">
        <v>1511</v>
      </c>
      <c r="C700" t="s">
        <v>1512</v>
      </c>
      <c r="E700" t="s">
        <v>1512</v>
      </c>
      <c r="F700" t="s">
        <v>535</v>
      </c>
      <c r="H700" t="str" cm="1">
        <f t="array" ref="H700">_xlfn.TEXTJOIN(", ", TRUE, IF(I700:M700&gt;0, I$1:M$1, ""))</f>
        <v/>
      </c>
      <c r="I700">
        <v>0</v>
      </c>
      <c r="J700">
        <v>0</v>
      </c>
      <c r="K700">
        <v>0</v>
      </c>
      <c r="L700">
        <v>0</v>
      </c>
      <c r="M700">
        <v>0</v>
      </c>
      <c r="N700">
        <v>0</v>
      </c>
    </row>
    <row r="701" spans="1:14" x14ac:dyDescent="0.35">
      <c r="A701" t="s">
        <v>6</v>
      </c>
      <c r="B701" t="s">
        <v>1513</v>
      </c>
      <c r="E701" t="s">
        <v>62</v>
      </c>
      <c r="F701" t="s">
        <v>55</v>
      </c>
      <c r="H701" t="str" cm="1">
        <f t="array" ref="H701">_xlfn.TEXTJOIN(", ", TRUE, IF(I701:M701&gt;0, I$1:M$1, ""))</f>
        <v>Semantic View</v>
      </c>
      <c r="I701">
        <v>0</v>
      </c>
      <c r="J701">
        <v>0</v>
      </c>
      <c r="K701">
        <v>0</v>
      </c>
      <c r="L701">
        <v>0</v>
      </c>
      <c r="M701">
        <v>1</v>
      </c>
      <c r="N701">
        <v>0</v>
      </c>
    </row>
    <row r="702" spans="1:14" x14ac:dyDescent="0.35">
      <c r="A702" t="s">
        <v>6</v>
      </c>
      <c r="B702" t="s">
        <v>1514</v>
      </c>
      <c r="D702" t="s">
        <v>1515</v>
      </c>
      <c r="E702" t="s">
        <v>99</v>
      </c>
      <c r="F702" t="s">
        <v>1516</v>
      </c>
      <c r="H702" t="str" cm="1">
        <f t="array" ref="H702">_xlfn.TEXTJOIN(", ", TRUE, IF(I702:M702&gt;0, I$1:M$1, ""))</f>
        <v>Semantic View</v>
      </c>
      <c r="I702">
        <v>0</v>
      </c>
      <c r="J702">
        <v>0</v>
      </c>
      <c r="K702">
        <v>0</v>
      </c>
      <c r="L702">
        <v>0</v>
      </c>
      <c r="M702">
        <v>2</v>
      </c>
      <c r="N702">
        <v>0</v>
      </c>
    </row>
    <row r="703" spans="1:14" x14ac:dyDescent="0.35">
      <c r="A703" t="s">
        <v>6</v>
      </c>
      <c r="B703" t="s">
        <v>1517</v>
      </c>
      <c r="D703" t="s">
        <v>1518</v>
      </c>
      <c r="E703" t="s">
        <v>230</v>
      </c>
      <c r="F703" t="s">
        <v>92</v>
      </c>
      <c r="H703" t="str" cm="1">
        <f t="array" ref="H703">_xlfn.TEXTJOIN(", ", TRUE, IF(I703:M703&gt;0, I$1:M$1, ""))</f>
        <v>Tech Application</v>
      </c>
      <c r="I703">
        <v>0</v>
      </c>
      <c r="J703">
        <v>2</v>
      </c>
      <c r="K703">
        <v>0</v>
      </c>
      <c r="L703">
        <v>0</v>
      </c>
      <c r="M703">
        <v>0</v>
      </c>
      <c r="N703">
        <v>0</v>
      </c>
    </row>
    <row r="704" spans="1:14" x14ac:dyDescent="0.35">
      <c r="A704" t="s">
        <v>6</v>
      </c>
      <c r="B704" t="s">
        <v>1519</v>
      </c>
      <c r="C704" t="s">
        <v>167</v>
      </c>
      <c r="E704" t="s">
        <v>62</v>
      </c>
      <c r="F704" t="s">
        <v>1520</v>
      </c>
      <c r="H704" t="str" cm="1">
        <f t="array" ref="H704">_xlfn.TEXTJOIN(", ", TRUE, IF(I704:M704&gt;0, I$1:M$1, ""))</f>
        <v>Tech Application</v>
      </c>
      <c r="I704">
        <v>0</v>
      </c>
      <c r="J704">
        <v>2</v>
      </c>
      <c r="K704">
        <v>0</v>
      </c>
      <c r="L704">
        <v>0</v>
      </c>
      <c r="M704">
        <v>0</v>
      </c>
      <c r="N704">
        <v>0</v>
      </c>
    </row>
    <row r="705" spans="1:14" x14ac:dyDescent="0.35">
      <c r="A705" t="s">
        <v>6</v>
      </c>
      <c r="B705" t="s">
        <v>1521</v>
      </c>
      <c r="D705" t="s">
        <v>1522</v>
      </c>
      <c r="E705" t="s">
        <v>148</v>
      </c>
      <c r="F705" t="s">
        <v>838</v>
      </c>
      <c r="H705" t="str" cm="1">
        <f t="array" ref="H705">_xlfn.TEXTJOIN(", ", TRUE, IF(I705:M705&gt;0, I$1:M$1, ""))</f>
        <v>Tech Application</v>
      </c>
      <c r="I705">
        <v>0</v>
      </c>
      <c r="J705">
        <v>6</v>
      </c>
      <c r="K705">
        <v>0</v>
      </c>
      <c r="L705">
        <v>0</v>
      </c>
      <c r="M705">
        <v>0</v>
      </c>
      <c r="N705">
        <v>0</v>
      </c>
    </row>
    <row r="706" spans="1:14" x14ac:dyDescent="0.35">
      <c r="A706" t="s">
        <v>6</v>
      </c>
      <c r="B706" t="s">
        <v>1523</v>
      </c>
      <c r="D706" t="s">
        <v>1524</v>
      </c>
      <c r="E706" t="s">
        <v>230</v>
      </c>
      <c r="F706" t="s">
        <v>55</v>
      </c>
      <c r="H706" t="str" cm="1">
        <f t="array" ref="H706">_xlfn.TEXTJOIN(", ", TRUE, IF(I706:M706&gt;0, I$1:M$1, ""))</f>
        <v>Organisational View</v>
      </c>
      <c r="I706">
        <v>0</v>
      </c>
      <c r="J706">
        <v>0</v>
      </c>
      <c r="K706">
        <v>0</v>
      </c>
      <c r="L706">
        <v>2</v>
      </c>
      <c r="M706">
        <v>0</v>
      </c>
      <c r="N706">
        <v>0</v>
      </c>
    </row>
    <row r="707" spans="1:14" x14ac:dyDescent="0.35">
      <c r="A707" t="s">
        <v>6</v>
      </c>
      <c r="B707" t="s">
        <v>1525</v>
      </c>
      <c r="C707" t="s">
        <v>1526</v>
      </c>
      <c r="E707" t="s">
        <v>50</v>
      </c>
      <c r="F707" t="s">
        <v>276</v>
      </c>
      <c r="H707" t="str" cm="1">
        <f t="array" ref="H707">_xlfn.TEXTJOIN(", ", TRUE, IF(I707:M707&gt;0, I$1:M$1, ""))</f>
        <v>Tech Application</v>
      </c>
      <c r="I707">
        <v>0</v>
      </c>
      <c r="J707">
        <v>2</v>
      </c>
      <c r="K707">
        <v>0</v>
      </c>
      <c r="L707">
        <v>0</v>
      </c>
      <c r="M707">
        <v>0</v>
      </c>
      <c r="N707">
        <v>2</v>
      </c>
    </row>
    <row r="708" spans="1:14" x14ac:dyDescent="0.35">
      <c r="A708" t="s">
        <v>6</v>
      </c>
      <c r="B708" t="s">
        <v>1527</v>
      </c>
      <c r="C708" t="s">
        <v>1469</v>
      </c>
      <c r="D708" t="s">
        <v>1528</v>
      </c>
      <c r="E708" t="s">
        <v>59</v>
      </c>
      <c r="F708" t="s">
        <v>100</v>
      </c>
      <c r="H708" t="str" cm="1">
        <f t="array" ref="H708">_xlfn.TEXTJOIN(", ", TRUE, IF(I708:M708&gt;0, I$1:M$1, ""))</f>
        <v>Tech Application</v>
      </c>
      <c r="I708">
        <v>0</v>
      </c>
      <c r="J708">
        <v>6</v>
      </c>
      <c r="K708">
        <v>0</v>
      </c>
      <c r="L708">
        <v>0</v>
      </c>
      <c r="M708">
        <v>0</v>
      </c>
      <c r="N708">
        <v>0</v>
      </c>
    </row>
    <row r="709" spans="1:14" x14ac:dyDescent="0.35">
      <c r="A709" t="s">
        <v>6</v>
      </c>
      <c r="B709" t="s">
        <v>1529</v>
      </c>
      <c r="C709" t="s">
        <v>1530</v>
      </c>
      <c r="E709" t="s">
        <v>1530</v>
      </c>
      <c r="F709" t="s">
        <v>1085</v>
      </c>
      <c r="H709" t="str" cm="1">
        <f t="array" ref="H709">_xlfn.TEXTJOIN(", ", TRUE, IF(I709:M709&gt;0, I$1:M$1, ""))</f>
        <v>Semantic View</v>
      </c>
      <c r="I709">
        <v>0</v>
      </c>
      <c r="J709">
        <v>0</v>
      </c>
      <c r="K709">
        <v>0</v>
      </c>
      <c r="L709">
        <v>0</v>
      </c>
      <c r="M709">
        <v>1</v>
      </c>
      <c r="N709">
        <v>1</v>
      </c>
    </row>
    <row r="710" spans="1:14" x14ac:dyDescent="0.35">
      <c r="A710" t="s">
        <v>6</v>
      </c>
      <c r="B710" t="s">
        <v>1531</v>
      </c>
      <c r="E710" t="s">
        <v>66</v>
      </c>
      <c r="F710" t="s">
        <v>55</v>
      </c>
      <c r="H710" t="str" cm="1">
        <f t="array" ref="H710">_xlfn.TEXTJOIN(", ", TRUE, IF(I710:M710&gt;0, I$1:M$1, ""))</f>
        <v>Semantic View</v>
      </c>
      <c r="I710">
        <v>0</v>
      </c>
      <c r="J710">
        <v>0</v>
      </c>
      <c r="K710">
        <v>0</v>
      </c>
      <c r="L710">
        <v>0</v>
      </c>
      <c r="M710">
        <v>6</v>
      </c>
      <c r="N710">
        <v>0</v>
      </c>
    </row>
    <row r="711" spans="1:14" x14ac:dyDescent="0.35">
      <c r="A711" t="s">
        <v>6</v>
      </c>
      <c r="B711" t="s">
        <v>1532</v>
      </c>
      <c r="E711" t="s">
        <v>1532</v>
      </c>
      <c r="F711" t="s">
        <v>55</v>
      </c>
      <c r="H711" t="str" cm="1">
        <f t="array" ref="H711">_xlfn.TEXTJOIN(", ", TRUE, IF(I711:M711&gt;0, I$1:M$1, ""))</f>
        <v>Semantic View</v>
      </c>
      <c r="I711">
        <v>0</v>
      </c>
      <c r="J711">
        <v>0</v>
      </c>
      <c r="K711">
        <v>0</v>
      </c>
      <c r="L711">
        <v>0</v>
      </c>
      <c r="M711">
        <v>3</v>
      </c>
      <c r="N711">
        <v>0</v>
      </c>
    </row>
    <row r="712" spans="1:14" x14ac:dyDescent="0.35">
      <c r="A712" t="s">
        <v>6</v>
      </c>
      <c r="B712" t="s">
        <v>1533</v>
      </c>
      <c r="E712" t="s">
        <v>1534</v>
      </c>
      <c r="F712" t="s">
        <v>51</v>
      </c>
      <c r="H712" t="str" cm="1">
        <f t="array" ref="H712">_xlfn.TEXTJOIN(", ", TRUE, IF(I712:M712&gt;0, I$1:M$1, ""))</f>
        <v>Semantic View</v>
      </c>
      <c r="I712">
        <v>0</v>
      </c>
      <c r="J712">
        <v>0</v>
      </c>
      <c r="K712">
        <v>0</v>
      </c>
      <c r="L712">
        <v>0</v>
      </c>
      <c r="M712">
        <v>1</v>
      </c>
      <c r="N712">
        <v>0</v>
      </c>
    </row>
    <row r="713" spans="1:14" x14ac:dyDescent="0.35">
      <c r="A713" t="s">
        <v>6</v>
      </c>
      <c r="B713" t="s">
        <v>1535</v>
      </c>
      <c r="C713" t="s">
        <v>1536</v>
      </c>
      <c r="E713" t="s">
        <v>50</v>
      </c>
      <c r="F713" t="s">
        <v>92</v>
      </c>
      <c r="H713" t="str" cm="1">
        <f t="array" ref="H713">_xlfn.TEXTJOIN(", ", TRUE, IF(I713:M713&gt;0, I$1:M$1, ""))</f>
        <v>Tech Infrastructure</v>
      </c>
      <c r="I713">
        <v>1</v>
      </c>
      <c r="J713">
        <v>0</v>
      </c>
      <c r="K713">
        <v>0</v>
      </c>
      <c r="L713">
        <v>0</v>
      </c>
      <c r="M713">
        <v>0</v>
      </c>
      <c r="N713">
        <v>0</v>
      </c>
    </row>
    <row r="714" spans="1:14" x14ac:dyDescent="0.35">
      <c r="A714" t="s">
        <v>6</v>
      </c>
      <c r="B714" t="s">
        <v>1537</v>
      </c>
      <c r="D714" t="s">
        <v>1538</v>
      </c>
      <c r="E714" t="s">
        <v>733</v>
      </c>
      <c r="F714" t="s">
        <v>55</v>
      </c>
      <c r="H714" t="str" cm="1">
        <f t="array" ref="H714">_xlfn.TEXTJOIN(", ", TRUE, IF(I714:M714&gt;0, I$1:M$1, ""))</f>
        <v>Tech Application, Semantic View</v>
      </c>
      <c r="I714">
        <v>0</v>
      </c>
      <c r="J714">
        <v>2</v>
      </c>
      <c r="K714">
        <v>0</v>
      </c>
      <c r="L714">
        <v>0</v>
      </c>
      <c r="M714">
        <v>2</v>
      </c>
      <c r="N714">
        <v>0</v>
      </c>
    </row>
    <row r="715" spans="1:14" x14ac:dyDescent="0.35">
      <c r="A715" t="s">
        <v>6</v>
      </c>
      <c r="B715" t="s">
        <v>1539</v>
      </c>
      <c r="C715" t="s">
        <v>1540</v>
      </c>
      <c r="E715" t="s">
        <v>148</v>
      </c>
      <c r="F715" t="s">
        <v>149</v>
      </c>
      <c r="H715" t="str" cm="1">
        <f t="array" ref="H715">_xlfn.TEXTJOIN(", ", TRUE, IF(I715:M715&gt;0, I$1:M$1, ""))</f>
        <v>Tech Infrastructure, Tech Application</v>
      </c>
      <c r="I715">
        <v>1</v>
      </c>
      <c r="J715">
        <v>4</v>
      </c>
      <c r="K715">
        <v>0</v>
      </c>
      <c r="L715">
        <v>0</v>
      </c>
      <c r="M715">
        <v>0</v>
      </c>
      <c r="N715">
        <v>0</v>
      </c>
    </row>
    <row r="716" spans="1:14" x14ac:dyDescent="0.35">
      <c r="A716" t="s">
        <v>6</v>
      </c>
      <c r="B716" t="s">
        <v>1541</v>
      </c>
      <c r="C716" t="s">
        <v>1542</v>
      </c>
      <c r="E716" t="s">
        <v>50</v>
      </c>
      <c r="F716" t="s">
        <v>535</v>
      </c>
      <c r="H716" t="str" cm="1">
        <f t="array" ref="H716">_xlfn.TEXTJOIN(", ", TRUE, IF(I716:M716&gt;0, I$1:M$1, ""))</f>
        <v/>
      </c>
      <c r="I716">
        <v>0</v>
      </c>
      <c r="J716">
        <v>0</v>
      </c>
      <c r="K716">
        <v>0</v>
      </c>
      <c r="L716">
        <v>0</v>
      </c>
      <c r="M716">
        <v>0</v>
      </c>
      <c r="N716">
        <v>0</v>
      </c>
    </row>
    <row r="717" spans="1:14" x14ac:dyDescent="0.35">
      <c r="A717" t="s">
        <v>6</v>
      </c>
      <c r="B717" t="s">
        <v>1543</v>
      </c>
      <c r="C717" t="s">
        <v>1544</v>
      </c>
      <c r="E717" t="s">
        <v>121</v>
      </c>
      <c r="F717" t="s">
        <v>55</v>
      </c>
      <c r="H717" t="str" cm="1">
        <f t="array" ref="H717">_xlfn.TEXTJOIN(", ", TRUE, IF(I717:M717&gt;0, I$1:M$1, ""))</f>
        <v>Semantic View</v>
      </c>
      <c r="I717">
        <v>0</v>
      </c>
      <c r="J717">
        <v>0</v>
      </c>
      <c r="K717">
        <v>0</v>
      </c>
      <c r="L717">
        <v>0</v>
      </c>
      <c r="M717">
        <v>2</v>
      </c>
      <c r="N717">
        <v>0</v>
      </c>
    </row>
    <row r="718" spans="1:14" x14ac:dyDescent="0.35">
      <c r="A718" t="s">
        <v>6</v>
      </c>
      <c r="B718" t="s">
        <v>1543</v>
      </c>
      <c r="C718" t="s">
        <v>1544</v>
      </c>
      <c r="E718" t="s">
        <v>121</v>
      </c>
      <c r="F718" t="s">
        <v>97</v>
      </c>
      <c r="H718" t="str" cm="1">
        <f t="array" ref="H718">_xlfn.TEXTJOIN(", ", TRUE, IF(I718:M718&gt;0, I$1:M$1, ""))</f>
        <v>Semantic View</v>
      </c>
      <c r="I718">
        <v>0</v>
      </c>
      <c r="J718">
        <v>0</v>
      </c>
      <c r="K718">
        <v>0</v>
      </c>
      <c r="L718">
        <v>0</v>
      </c>
      <c r="M718">
        <v>2</v>
      </c>
      <c r="N718">
        <v>3</v>
      </c>
    </row>
    <row r="719" spans="1:14" x14ac:dyDescent="0.35">
      <c r="A719" t="s">
        <v>6</v>
      </c>
      <c r="B719" t="s">
        <v>1545</v>
      </c>
      <c r="E719" t="s">
        <v>62</v>
      </c>
      <c r="F719" t="s">
        <v>55</v>
      </c>
      <c r="H719" t="str" cm="1">
        <f t="array" ref="H719">_xlfn.TEXTJOIN(", ", TRUE, IF(I719:M719&gt;0, I$1:M$1, ""))</f>
        <v>Legal View</v>
      </c>
      <c r="I719">
        <v>0</v>
      </c>
      <c r="J719">
        <v>0</v>
      </c>
      <c r="K719">
        <v>1</v>
      </c>
      <c r="L719">
        <v>0</v>
      </c>
      <c r="M719">
        <v>0</v>
      </c>
      <c r="N719">
        <v>0</v>
      </c>
    </row>
    <row r="720" spans="1:14" x14ac:dyDescent="0.35">
      <c r="A720" t="s">
        <v>6</v>
      </c>
      <c r="B720" t="s">
        <v>1546</v>
      </c>
      <c r="C720" t="s">
        <v>1546</v>
      </c>
      <c r="E720" t="s">
        <v>66</v>
      </c>
      <c r="F720" t="s">
        <v>276</v>
      </c>
      <c r="H720" t="str" cm="1">
        <f t="array" ref="H720">_xlfn.TEXTJOIN(", ", TRUE, IF(I720:M720&gt;0, I$1:M$1, ""))</f>
        <v>Legal View, Semantic View</v>
      </c>
      <c r="I720">
        <v>0</v>
      </c>
      <c r="J720">
        <v>0</v>
      </c>
      <c r="K720">
        <v>6</v>
      </c>
      <c r="L720">
        <v>0</v>
      </c>
      <c r="M720">
        <v>2</v>
      </c>
      <c r="N720">
        <v>1</v>
      </c>
    </row>
    <row r="721" spans="1:14" x14ac:dyDescent="0.35">
      <c r="A721" t="s">
        <v>6</v>
      </c>
      <c r="B721" t="s">
        <v>1547</v>
      </c>
      <c r="C721" t="s">
        <v>1548</v>
      </c>
      <c r="E721" t="s">
        <v>121</v>
      </c>
      <c r="F721" t="s">
        <v>55</v>
      </c>
      <c r="H721" t="str" cm="1">
        <f t="array" ref="H721">_xlfn.TEXTJOIN(", ", TRUE, IF(I721:M721&gt;0, I$1:M$1, ""))</f>
        <v>Tech Application, Semantic View</v>
      </c>
      <c r="I721">
        <v>0</v>
      </c>
      <c r="J721">
        <v>6</v>
      </c>
      <c r="K721">
        <v>0</v>
      </c>
      <c r="L721">
        <v>0</v>
      </c>
      <c r="M721">
        <v>9</v>
      </c>
      <c r="N721">
        <v>2</v>
      </c>
    </row>
    <row r="722" spans="1:14" x14ac:dyDescent="0.35">
      <c r="A722" t="s">
        <v>6</v>
      </c>
      <c r="B722" t="s">
        <v>1549</v>
      </c>
      <c r="D722" t="s">
        <v>1550</v>
      </c>
      <c r="E722" t="s">
        <v>230</v>
      </c>
      <c r="F722" t="s">
        <v>51</v>
      </c>
      <c r="H722" t="str" cm="1">
        <f t="array" ref="H722">_xlfn.TEXTJOIN(", ", TRUE, IF(I722:M722&gt;0, I$1:M$1, ""))</f>
        <v>Tech Infrastructure</v>
      </c>
      <c r="I722">
        <v>2</v>
      </c>
      <c r="J722">
        <v>0</v>
      </c>
      <c r="K722">
        <v>0</v>
      </c>
      <c r="L722">
        <v>0</v>
      </c>
      <c r="M722">
        <v>0</v>
      </c>
      <c r="N722">
        <v>0</v>
      </c>
    </row>
    <row r="723" spans="1:14" x14ac:dyDescent="0.35">
      <c r="A723" t="s">
        <v>6</v>
      </c>
      <c r="B723" t="s">
        <v>1551</v>
      </c>
      <c r="D723" t="s">
        <v>1552</v>
      </c>
      <c r="E723" t="s">
        <v>69</v>
      </c>
      <c r="F723" t="s">
        <v>55</v>
      </c>
      <c r="H723" t="str" cm="1">
        <f t="array" ref="H723">_xlfn.TEXTJOIN(", ", TRUE, IF(I723:M723&gt;0, I$1:M$1, ""))</f>
        <v>Tech Infrastructure, Semantic View</v>
      </c>
      <c r="I723">
        <v>2</v>
      </c>
      <c r="J723">
        <v>0</v>
      </c>
      <c r="K723">
        <v>0</v>
      </c>
      <c r="L723">
        <v>0</v>
      </c>
      <c r="M723">
        <v>2</v>
      </c>
      <c r="N723">
        <v>0</v>
      </c>
    </row>
    <row r="724" spans="1:14" x14ac:dyDescent="0.35">
      <c r="A724" t="s">
        <v>6</v>
      </c>
      <c r="B724" t="s">
        <v>1553</v>
      </c>
      <c r="D724" t="s">
        <v>1554</v>
      </c>
      <c r="E724" t="s">
        <v>59</v>
      </c>
      <c r="F724" t="s">
        <v>100</v>
      </c>
      <c r="H724" t="str" cm="1">
        <f t="array" ref="H724">_xlfn.TEXTJOIN(", ", TRUE, IF(I724:M724&gt;0, I$1:M$1, ""))</f>
        <v>Tech Infrastructure, Tech Application, Semantic View</v>
      </c>
      <c r="I724">
        <v>2</v>
      </c>
      <c r="J724">
        <v>4</v>
      </c>
      <c r="K724">
        <v>0</v>
      </c>
      <c r="L724">
        <v>0</v>
      </c>
      <c r="M724">
        <v>1</v>
      </c>
      <c r="N724">
        <v>0</v>
      </c>
    </row>
    <row r="725" spans="1:14" x14ac:dyDescent="0.35">
      <c r="A725" t="s">
        <v>6</v>
      </c>
      <c r="B725" t="s">
        <v>1555</v>
      </c>
      <c r="E725" t="s">
        <v>62</v>
      </c>
      <c r="F725" t="s">
        <v>55</v>
      </c>
      <c r="H725" t="str" cm="1">
        <f t="array" ref="H725">_xlfn.TEXTJOIN(", ", TRUE, IF(I725:M725&gt;0, I$1:M$1, ""))</f>
        <v>Legal View</v>
      </c>
      <c r="I725">
        <v>0</v>
      </c>
      <c r="J725">
        <v>0</v>
      </c>
      <c r="K725">
        <v>1</v>
      </c>
      <c r="L725">
        <v>0</v>
      </c>
      <c r="M725">
        <v>0</v>
      </c>
      <c r="N725">
        <v>0</v>
      </c>
    </row>
    <row r="726" spans="1:14" x14ac:dyDescent="0.35">
      <c r="A726" t="s">
        <v>6</v>
      </c>
      <c r="B726" t="s">
        <v>1556</v>
      </c>
      <c r="C726" t="s">
        <v>1557</v>
      </c>
      <c r="E726" t="s">
        <v>230</v>
      </c>
      <c r="F726" t="s">
        <v>55</v>
      </c>
      <c r="H726" t="str" cm="1">
        <f t="array" ref="H726">_xlfn.TEXTJOIN(", ", TRUE, IF(I726:M726&gt;0, I$1:M$1, ""))</f>
        <v/>
      </c>
      <c r="I726">
        <v>0</v>
      </c>
      <c r="J726">
        <v>0</v>
      </c>
      <c r="K726">
        <v>0</v>
      </c>
      <c r="L726">
        <v>0</v>
      </c>
      <c r="M726">
        <v>0</v>
      </c>
      <c r="N726">
        <v>0</v>
      </c>
    </row>
    <row r="727" spans="1:14" x14ac:dyDescent="0.35">
      <c r="A727" t="s">
        <v>6</v>
      </c>
      <c r="B727" t="s">
        <v>1558</v>
      </c>
      <c r="D727" t="s">
        <v>928</v>
      </c>
      <c r="E727" t="s">
        <v>59</v>
      </c>
      <c r="F727" t="s">
        <v>1559</v>
      </c>
      <c r="H727" t="str" cm="1">
        <f t="array" ref="H727">_xlfn.TEXTJOIN(", ", TRUE, IF(I727:M727&gt;0, I$1:M$1, ""))</f>
        <v>Tech Application</v>
      </c>
      <c r="I727">
        <v>0</v>
      </c>
      <c r="J727">
        <v>2</v>
      </c>
      <c r="K727">
        <v>0</v>
      </c>
      <c r="L727">
        <v>0</v>
      </c>
      <c r="M727">
        <v>0</v>
      </c>
      <c r="N727">
        <v>2</v>
      </c>
    </row>
    <row r="728" spans="1:14" x14ac:dyDescent="0.35">
      <c r="A728" t="s">
        <v>6</v>
      </c>
      <c r="B728" t="s">
        <v>1560</v>
      </c>
      <c r="C728" t="s">
        <v>142</v>
      </c>
      <c r="D728" t="s">
        <v>1561</v>
      </c>
      <c r="E728" t="s">
        <v>59</v>
      </c>
      <c r="F728" t="s">
        <v>1213</v>
      </c>
      <c r="H728" t="str" cm="1">
        <f t="array" ref="H728">_xlfn.TEXTJOIN(", ", TRUE, IF(I728:M728&gt;0, I$1:M$1, ""))</f>
        <v>Tech Application</v>
      </c>
      <c r="I728">
        <v>0</v>
      </c>
      <c r="J728">
        <v>5</v>
      </c>
      <c r="K728">
        <v>0</v>
      </c>
      <c r="L728">
        <v>0</v>
      </c>
      <c r="M728">
        <v>0</v>
      </c>
      <c r="N728">
        <v>1</v>
      </c>
    </row>
    <row r="729" spans="1:14" x14ac:dyDescent="0.35">
      <c r="A729" t="s">
        <v>6</v>
      </c>
      <c r="B729" t="s">
        <v>1562</v>
      </c>
      <c r="E729" t="s">
        <v>66</v>
      </c>
      <c r="F729" t="s">
        <v>55</v>
      </c>
      <c r="H729" t="str" cm="1">
        <f t="array" ref="H729">_xlfn.TEXTJOIN(", ", TRUE, IF(I729:M729&gt;0, I$1:M$1, ""))</f>
        <v>Organisational View</v>
      </c>
      <c r="I729">
        <v>0</v>
      </c>
      <c r="J729">
        <v>0</v>
      </c>
      <c r="K729">
        <v>0</v>
      </c>
      <c r="L729">
        <v>1</v>
      </c>
      <c r="M729">
        <v>0</v>
      </c>
      <c r="N729">
        <v>0</v>
      </c>
    </row>
    <row r="730" spans="1:14" x14ac:dyDescent="0.35">
      <c r="A730" t="s">
        <v>6</v>
      </c>
      <c r="B730" t="s">
        <v>1563</v>
      </c>
      <c r="D730" t="s">
        <v>1564</v>
      </c>
      <c r="E730" t="s">
        <v>66</v>
      </c>
      <c r="F730" t="s">
        <v>1565</v>
      </c>
      <c r="H730" t="str" cm="1">
        <f t="array" ref="H730">_xlfn.TEXTJOIN(", ", TRUE, IF(I730:M730&gt;0, I$1:M$1, ""))</f>
        <v>Legal View</v>
      </c>
      <c r="I730">
        <v>0</v>
      </c>
      <c r="J730">
        <v>0</v>
      </c>
      <c r="K730">
        <v>1</v>
      </c>
      <c r="L730">
        <v>0</v>
      </c>
      <c r="M730">
        <v>0</v>
      </c>
      <c r="N730">
        <v>0</v>
      </c>
    </row>
    <row r="731" spans="1:14" x14ac:dyDescent="0.35">
      <c r="A731" t="s">
        <v>6</v>
      </c>
      <c r="B731" t="s">
        <v>1566</v>
      </c>
      <c r="C731" t="s">
        <v>1567</v>
      </c>
      <c r="E731" t="s">
        <v>96</v>
      </c>
      <c r="F731" t="s">
        <v>51</v>
      </c>
      <c r="H731" t="str" cm="1">
        <f t="array" ref="H731">_xlfn.TEXTJOIN(", ", TRUE, IF(I731:M731&gt;0, I$1:M$1, ""))</f>
        <v>Tech Application</v>
      </c>
      <c r="I731">
        <v>0</v>
      </c>
      <c r="J731">
        <v>1</v>
      </c>
      <c r="K731">
        <v>0</v>
      </c>
      <c r="L731">
        <v>0</v>
      </c>
      <c r="M731">
        <v>0</v>
      </c>
      <c r="N731">
        <v>0</v>
      </c>
    </row>
    <row r="732" spans="1:14" x14ac:dyDescent="0.35">
      <c r="A732" t="s">
        <v>6</v>
      </c>
      <c r="B732" t="s">
        <v>1568</v>
      </c>
      <c r="C732" t="s">
        <v>1569</v>
      </c>
      <c r="E732" t="s">
        <v>1570</v>
      </c>
      <c r="F732" t="s">
        <v>55</v>
      </c>
      <c r="H732" t="str" cm="1">
        <f t="array" ref="H732">_xlfn.TEXTJOIN(", ", TRUE, IF(I732:M732&gt;0, I$1:M$1, ""))</f>
        <v>Semantic View</v>
      </c>
      <c r="I732">
        <v>0</v>
      </c>
      <c r="J732">
        <v>0</v>
      </c>
      <c r="K732">
        <v>0</v>
      </c>
      <c r="L732">
        <v>0</v>
      </c>
      <c r="M732">
        <v>2</v>
      </c>
      <c r="N732">
        <v>0</v>
      </c>
    </row>
    <row r="733" spans="1:14" x14ac:dyDescent="0.35">
      <c r="A733" t="s">
        <v>6</v>
      </c>
      <c r="B733" t="s">
        <v>1571</v>
      </c>
      <c r="C733" t="s">
        <v>1572</v>
      </c>
      <c r="E733" t="s">
        <v>50</v>
      </c>
      <c r="F733" t="s">
        <v>92</v>
      </c>
      <c r="H733" t="str" cm="1">
        <f t="array" ref="H733">_xlfn.TEXTJOIN(", ", TRUE, IF(I733:M733&gt;0, I$1:M$1, ""))</f>
        <v>Tech Application</v>
      </c>
      <c r="I733">
        <v>0</v>
      </c>
      <c r="J733">
        <v>2</v>
      </c>
      <c r="K733">
        <v>0</v>
      </c>
      <c r="L733">
        <v>0</v>
      </c>
      <c r="M733">
        <v>0</v>
      </c>
      <c r="N733">
        <v>0</v>
      </c>
    </row>
    <row r="734" spans="1:14" x14ac:dyDescent="0.35">
      <c r="A734" t="s">
        <v>6</v>
      </c>
      <c r="B734" t="s">
        <v>1573</v>
      </c>
      <c r="E734" t="s">
        <v>1574</v>
      </c>
      <c r="F734" t="s">
        <v>1575</v>
      </c>
      <c r="H734" t="str" cm="1">
        <f t="array" ref="H734">_xlfn.TEXTJOIN(", ", TRUE, IF(I734:M734&gt;0, I$1:M$1, ""))</f>
        <v>Tech Infrastructure</v>
      </c>
      <c r="I734">
        <v>2</v>
      </c>
      <c r="J734">
        <v>0</v>
      </c>
      <c r="K734">
        <v>0</v>
      </c>
      <c r="L734">
        <v>0</v>
      </c>
      <c r="M734">
        <v>0</v>
      </c>
      <c r="N734">
        <v>0</v>
      </c>
    </row>
    <row r="735" spans="1:14" x14ac:dyDescent="0.35">
      <c r="A735" t="s">
        <v>6</v>
      </c>
      <c r="B735" t="s">
        <v>1576</v>
      </c>
      <c r="E735" t="s">
        <v>1577</v>
      </c>
      <c r="F735" t="s">
        <v>55</v>
      </c>
      <c r="H735" t="str" cm="1">
        <f t="array" ref="H735">_xlfn.TEXTJOIN(", ", TRUE, IF(I735:M735&gt;0, I$1:M$1, ""))</f>
        <v>Tech Application</v>
      </c>
      <c r="I735">
        <v>0</v>
      </c>
      <c r="J735">
        <v>2</v>
      </c>
      <c r="K735">
        <v>0</v>
      </c>
      <c r="L735">
        <v>0</v>
      </c>
      <c r="M735">
        <v>0</v>
      </c>
      <c r="N735">
        <v>0</v>
      </c>
    </row>
    <row r="736" spans="1:14" x14ac:dyDescent="0.35">
      <c r="A736" t="s">
        <v>6</v>
      </c>
      <c r="B736" t="s">
        <v>1578</v>
      </c>
      <c r="E736" t="s">
        <v>148</v>
      </c>
      <c r="F736" t="s">
        <v>55</v>
      </c>
      <c r="H736" t="str" cm="1">
        <f t="array" ref="H736">_xlfn.TEXTJOIN(", ", TRUE, IF(I736:M736&gt;0, I$1:M$1, ""))</f>
        <v>Tech Infrastructure, Semantic View</v>
      </c>
      <c r="I736">
        <v>2</v>
      </c>
      <c r="J736">
        <v>0</v>
      </c>
      <c r="K736">
        <v>0</v>
      </c>
      <c r="L736">
        <v>0</v>
      </c>
      <c r="M736">
        <v>1</v>
      </c>
      <c r="N736">
        <v>0</v>
      </c>
    </row>
    <row r="737" spans="1:14" x14ac:dyDescent="0.35">
      <c r="A737" t="s">
        <v>6</v>
      </c>
      <c r="B737" t="s">
        <v>1579</v>
      </c>
      <c r="C737" t="s">
        <v>1580</v>
      </c>
      <c r="E737" t="s">
        <v>50</v>
      </c>
      <c r="F737" t="s">
        <v>554</v>
      </c>
      <c r="H737" t="str" cm="1">
        <f t="array" ref="H737">_xlfn.TEXTJOIN(", ", TRUE, IF(I737:M737&gt;0, I$1:M$1, ""))</f>
        <v>Tech Infrastructure, Tech Application</v>
      </c>
      <c r="I737">
        <v>1</v>
      </c>
      <c r="J737">
        <v>2</v>
      </c>
      <c r="K737">
        <v>0</v>
      </c>
      <c r="L737">
        <v>0</v>
      </c>
      <c r="M737">
        <v>0</v>
      </c>
      <c r="N737">
        <v>0</v>
      </c>
    </row>
    <row r="738" spans="1:14" x14ac:dyDescent="0.35">
      <c r="A738" t="s">
        <v>6</v>
      </c>
      <c r="B738" t="s">
        <v>1581</v>
      </c>
      <c r="C738" t="s">
        <v>1582</v>
      </c>
      <c r="E738" t="s">
        <v>50</v>
      </c>
      <c r="F738" t="s">
        <v>1203</v>
      </c>
      <c r="H738" t="str" cm="1">
        <f t="array" ref="H738">_xlfn.TEXTJOIN(", ", TRUE, IF(I738:M738&gt;0, I$1:M$1, ""))</f>
        <v>Tech Infrastructure, Tech Application</v>
      </c>
      <c r="I738">
        <v>1</v>
      </c>
      <c r="J738">
        <v>1</v>
      </c>
      <c r="K738">
        <v>0</v>
      </c>
      <c r="L738">
        <v>0</v>
      </c>
      <c r="M738">
        <v>0</v>
      </c>
      <c r="N738">
        <v>0</v>
      </c>
    </row>
    <row r="739" spans="1:14" x14ac:dyDescent="0.35">
      <c r="A739" t="s">
        <v>6</v>
      </c>
      <c r="B739" t="s">
        <v>1583</v>
      </c>
      <c r="D739" t="s">
        <v>1584</v>
      </c>
      <c r="E739" t="s">
        <v>230</v>
      </c>
      <c r="F739" t="s">
        <v>276</v>
      </c>
      <c r="H739" t="str" cm="1">
        <f t="array" ref="H739">_xlfn.TEXTJOIN(", ", TRUE, IF(I739:M739&gt;0, I$1:M$1, ""))</f>
        <v>Tech Application</v>
      </c>
      <c r="I739">
        <v>0</v>
      </c>
      <c r="J739">
        <v>4</v>
      </c>
      <c r="K739">
        <v>0</v>
      </c>
      <c r="L739">
        <v>0</v>
      </c>
      <c r="M739">
        <v>0</v>
      </c>
      <c r="N739">
        <v>0</v>
      </c>
    </row>
    <row r="740" spans="1:14" x14ac:dyDescent="0.35">
      <c r="A740" t="s">
        <v>6</v>
      </c>
      <c r="B740" t="s">
        <v>1585</v>
      </c>
      <c r="C740" t="s">
        <v>200</v>
      </c>
      <c r="E740" t="s">
        <v>62</v>
      </c>
      <c r="F740" t="s">
        <v>51</v>
      </c>
      <c r="H740" t="str" cm="1">
        <f t="array" ref="H740">_xlfn.TEXTJOIN(", ", TRUE, IF(I740:M740&gt;0, I$1:M$1, ""))</f>
        <v>Semantic View</v>
      </c>
      <c r="I740">
        <v>0</v>
      </c>
      <c r="J740">
        <v>0</v>
      </c>
      <c r="K740">
        <v>0</v>
      </c>
      <c r="L740">
        <v>0</v>
      </c>
      <c r="M740">
        <v>8</v>
      </c>
      <c r="N740">
        <v>0</v>
      </c>
    </row>
    <row r="741" spans="1:14" x14ac:dyDescent="0.35">
      <c r="A741" t="s">
        <v>6</v>
      </c>
      <c r="B741" t="s">
        <v>1586</v>
      </c>
      <c r="E741" t="s">
        <v>50</v>
      </c>
      <c r="F741" t="s">
        <v>92</v>
      </c>
      <c r="H741" t="str" cm="1">
        <f t="array" ref="H741">_xlfn.TEXTJOIN(", ", TRUE, IF(I741:M741&gt;0, I$1:M$1, ""))</f>
        <v>Tech Application</v>
      </c>
      <c r="I741">
        <v>0</v>
      </c>
      <c r="J741">
        <v>2</v>
      </c>
      <c r="K741">
        <v>0</v>
      </c>
      <c r="L741">
        <v>0</v>
      </c>
      <c r="M741">
        <v>0</v>
      </c>
      <c r="N741">
        <v>0</v>
      </c>
    </row>
    <row r="742" spans="1:14" x14ac:dyDescent="0.35">
      <c r="A742" t="s">
        <v>6</v>
      </c>
      <c r="B742" t="s">
        <v>1587</v>
      </c>
      <c r="D742" t="s">
        <v>1588</v>
      </c>
      <c r="E742" t="s">
        <v>393</v>
      </c>
      <c r="F742" t="s">
        <v>51</v>
      </c>
      <c r="H742" t="str" cm="1">
        <f t="array" ref="H742">_xlfn.TEXTJOIN(", ", TRUE, IF(I742:M742&gt;0, I$1:M$1, ""))</f>
        <v>Semantic View</v>
      </c>
      <c r="I742">
        <v>0</v>
      </c>
      <c r="J742">
        <v>0</v>
      </c>
      <c r="K742">
        <v>0</v>
      </c>
      <c r="L742">
        <v>0</v>
      </c>
      <c r="M742">
        <v>2</v>
      </c>
      <c r="N742">
        <v>1</v>
      </c>
    </row>
    <row r="743" spans="1:14" x14ac:dyDescent="0.35">
      <c r="A743" t="s">
        <v>6</v>
      </c>
      <c r="B743" t="s">
        <v>1589</v>
      </c>
      <c r="C743" t="s">
        <v>1589</v>
      </c>
      <c r="D743" t="s">
        <v>1590</v>
      </c>
      <c r="E743" t="s">
        <v>62</v>
      </c>
      <c r="F743" t="s">
        <v>1591</v>
      </c>
      <c r="H743" t="str" cm="1">
        <f t="array" ref="H743">_xlfn.TEXTJOIN(", ", TRUE, IF(I743:M743&gt;0, I$1:M$1, ""))</f>
        <v>Semantic View</v>
      </c>
      <c r="I743">
        <v>0</v>
      </c>
      <c r="J743">
        <v>0</v>
      </c>
      <c r="K743">
        <v>0</v>
      </c>
      <c r="L743">
        <v>0</v>
      </c>
      <c r="M743">
        <v>5</v>
      </c>
      <c r="N743">
        <v>0</v>
      </c>
    </row>
    <row r="744" spans="1:14" x14ac:dyDescent="0.35">
      <c r="A744" t="s">
        <v>6</v>
      </c>
      <c r="B744" t="s">
        <v>1592</v>
      </c>
      <c r="C744" t="s">
        <v>1593</v>
      </c>
      <c r="E744" t="s">
        <v>121</v>
      </c>
      <c r="F744" t="s">
        <v>55</v>
      </c>
      <c r="H744" t="str" cm="1">
        <f t="array" ref="H744">_xlfn.TEXTJOIN(", ", TRUE, IF(I744:M744&gt;0, I$1:M$1, ""))</f>
        <v>Semantic View</v>
      </c>
      <c r="I744">
        <v>0</v>
      </c>
      <c r="J744">
        <v>0</v>
      </c>
      <c r="K744">
        <v>0</v>
      </c>
      <c r="L744">
        <v>0</v>
      </c>
      <c r="M744">
        <v>1</v>
      </c>
      <c r="N744">
        <v>2</v>
      </c>
    </row>
    <row r="745" spans="1:14" x14ac:dyDescent="0.35">
      <c r="A745" t="s">
        <v>6</v>
      </c>
      <c r="B745" t="s">
        <v>1594</v>
      </c>
      <c r="E745" t="s">
        <v>62</v>
      </c>
      <c r="F745" t="s">
        <v>55</v>
      </c>
      <c r="H745" t="str" cm="1">
        <f t="array" ref="H745">_xlfn.TEXTJOIN(", ", TRUE, IF(I745:M745&gt;0, I$1:M$1, ""))</f>
        <v>Semantic View</v>
      </c>
      <c r="I745">
        <v>0</v>
      </c>
      <c r="J745">
        <v>0</v>
      </c>
      <c r="K745">
        <v>0</v>
      </c>
      <c r="L745">
        <v>0</v>
      </c>
      <c r="M745">
        <v>1</v>
      </c>
      <c r="N745">
        <v>0</v>
      </c>
    </row>
    <row r="746" spans="1:14" x14ac:dyDescent="0.35">
      <c r="A746" t="s">
        <v>6</v>
      </c>
      <c r="B746" t="s">
        <v>1595</v>
      </c>
      <c r="E746" t="s">
        <v>50</v>
      </c>
      <c r="F746" t="s">
        <v>267</v>
      </c>
      <c r="H746" t="str" cm="1">
        <f t="array" ref="H746">_xlfn.TEXTJOIN(", ", TRUE, IF(I746:M746&gt;0, I$1:M$1, ""))</f>
        <v>Tech Infrastructure, Tech Application</v>
      </c>
      <c r="I746">
        <v>1</v>
      </c>
      <c r="J746">
        <v>2</v>
      </c>
      <c r="K746">
        <v>0</v>
      </c>
      <c r="L746">
        <v>0</v>
      </c>
      <c r="M746">
        <v>0</v>
      </c>
      <c r="N746">
        <v>0</v>
      </c>
    </row>
    <row r="747" spans="1:14" x14ac:dyDescent="0.35">
      <c r="A747" t="s">
        <v>6</v>
      </c>
      <c r="B747" t="s">
        <v>1596</v>
      </c>
      <c r="E747" t="s">
        <v>336</v>
      </c>
      <c r="F747" t="s">
        <v>55</v>
      </c>
      <c r="H747" t="str" cm="1">
        <f t="array" ref="H747">_xlfn.TEXTJOIN(", ", TRUE, IF(I747:M747&gt;0, I$1:M$1, ""))</f>
        <v>Tech Infrastructure</v>
      </c>
      <c r="I747">
        <v>5</v>
      </c>
      <c r="J747">
        <v>0</v>
      </c>
      <c r="K747">
        <v>0</v>
      </c>
      <c r="L747">
        <v>0</v>
      </c>
      <c r="M747">
        <v>0</v>
      </c>
      <c r="N747">
        <v>1</v>
      </c>
    </row>
    <row r="748" spans="1:14" x14ac:dyDescent="0.35">
      <c r="A748" t="s">
        <v>6</v>
      </c>
      <c r="B748" t="s">
        <v>1597</v>
      </c>
      <c r="E748" t="s">
        <v>46</v>
      </c>
      <c r="F748" t="s">
        <v>1598</v>
      </c>
      <c r="H748" t="str" cm="1">
        <f t="array" ref="H748">_xlfn.TEXTJOIN(", ", TRUE, IF(I748:M748&gt;0, I$1:M$1, ""))</f>
        <v>Tech Application, Semantic View</v>
      </c>
      <c r="I748">
        <v>0</v>
      </c>
      <c r="J748">
        <v>2</v>
      </c>
      <c r="K748">
        <v>0</v>
      </c>
      <c r="L748">
        <v>0</v>
      </c>
      <c r="M748">
        <v>3</v>
      </c>
      <c r="N748">
        <v>0</v>
      </c>
    </row>
    <row r="749" spans="1:14" x14ac:dyDescent="0.35">
      <c r="A749" t="s">
        <v>6</v>
      </c>
      <c r="B749" t="s">
        <v>1599</v>
      </c>
      <c r="D749" t="s">
        <v>1069</v>
      </c>
      <c r="E749" t="s">
        <v>230</v>
      </c>
      <c r="F749" t="s">
        <v>447</v>
      </c>
      <c r="H749" t="str" cm="1">
        <f t="array" ref="H749">_xlfn.TEXTJOIN(", ", TRUE, IF(I749:M749&gt;0, I$1:M$1, ""))</f>
        <v>Tech Application</v>
      </c>
      <c r="I749">
        <v>0</v>
      </c>
      <c r="J749">
        <v>3</v>
      </c>
      <c r="K749">
        <v>0</v>
      </c>
      <c r="L749">
        <v>0</v>
      </c>
      <c r="M749">
        <v>0</v>
      </c>
      <c r="N749">
        <v>0</v>
      </c>
    </row>
    <row r="750" spans="1:14" x14ac:dyDescent="0.35">
      <c r="A750" t="s">
        <v>6</v>
      </c>
      <c r="B750" t="s">
        <v>1600</v>
      </c>
      <c r="E750" t="s">
        <v>66</v>
      </c>
      <c r="F750" t="s">
        <v>1601</v>
      </c>
      <c r="H750" t="str" cm="1">
        <f t="array" ref="H750">_xlfn.TEXTJOIN(", ", TRUE, IF(I750:M750&gt;0, I$1:M$1, ""))</f>
        <v>Semantic View</v>
      </c>
      <c r="I750">
        <v>0</v>
      </c>
      <c r="J750">
        <v>0</v>
      </c>
      <c r="K750">
        <v>0</v>
      </c>
      <c r="L750">
        <v>0</v>
      </c>
      <c r="M750">
        <v>6</v>
      </c>
      <c r="N750">
        <v>0</v>
      </c>
    </row>
    <row r="751" spans="1:14" x14ac:dyDescent="0.35">
      <c r="A751" t="s">
        <v>6</v>
      </c>
      <c r="B751" t="s">
        <v>1602</v>
      </c>
      <c r="C751" t="s">
        <v>1603</v>
      </c>
      <c r="E751" t="s">
        <v>62</v>
      </c>
      <c r="F751" t="s">
        <v>55</v>
      </c>
      <c r="H751" t="str" cm="1">
        <f t="array" ref="H751">_xlfn.TEXTJOIN(", ", TRUE, IF(I751:M751&gt;0, I$1:M$1, ""))</f>
        <v>Tech Infrastructure</v>
      </c>
      <c r="I751">
        <v>1</v>
      </c>
      <c r="J751">
        <v>0</v>
      </c>
      <c r="K751">
        <v>0</v>
      </c>
      <c r="L751">
        <v>0</v>
      </c>
      <c r="M751">
        <v>0</v>
      </c>
      <c r="N751">
        <v>0</v>
      </c>
    </row>
    <row r="752" spans="1:14" x14ac:dyDescent="0.35">
      <c r="A752" t="s">
        <v>6</v>
      </c>
      <c r="B752" t="s">
        <v>1604</v>
      </c>
      <c r="C752" t="s">
        <v>1605</v>
      </c>
      <c r="E752" t="s">
        <v>66</v>
      </c>
      <c r="F752" t="s">
        <v>1606</v>
      </c>
      <c r="H752" t="str" cm="1">
        <f t="array" ref="H752">_xlfn.TEXTJOIN(", ", TRUE, IF(I752:M752&gt;0, I$1:M$1, ""))</f>
        <v>Tech Application, Legal View, Organisational View, Semantic View</v>
      </c>
      <c r="I752">
        <v>0</v>
      </c>
      <c r="J752">
        <v>2</v>
      </c>
      <c r="K752">
        <v>7</v>
      </c>
      <c r="L752">
        <v>6</v>
      </c>
      <c r="M752">
        <v>6</v>
      </c>
      <c r="N752">
        <v>0</v>
      </c>
    </row>
    <row r="753" spans="1:14" x14ac:dyDescent="0.35">
      <c r="A753" t="s">
        <v>6</v>
      </c>
      <c r="B753" t="s">
        <v>1607</v>
      </c>
      <c r="C753" t="s">
        <v>662</v>
      </c>
      <c r="E753" t="s">
        <v>59</v>
      </c>
      <c r="F753" t="s">
        <v>206</v>
      </c>
      <c r="H753" t="str" cm="1">
        <f t="array" ref="H753">_xlfn.TEXTJOIN(", ", TRUE, IF(I753:M753&gt;0, I$1:M$1, ""))</f>
        <v>Tech Application</v>
      </c>
      <c r="I753">
        <v>0</v>
      </c>
      <c r="J753">
        <v>5</v>
      </c>
      <c r="K753">
        <v>0</v>
      </c>
      <c r="L753">
        <v>0</v>
      </c>
      <c r="M753">
        <v>0</v>
      </c>
      <c r="N753">
        <v>1</v>
      </c>
    </row>
    <row r="754" spans="1:14" x14ac:dyDescent="0.35">
      <c r="A754" t="s">
        <v>6</v>
      </c>
      <c r="B754" t="s">
        <v>1608</v>
      </c>
      <c r="D754" t="s">
        <v>1609</v>
      </c>
      <c r="E754" t="s">
        <v>59</v>
      </c>
      <c r="F754" t="s">
        <v>100</v>
      </c>
      <c r="H754" t="str" cm="1">
        <f t="array" ref="H754">_xlfn.TEXTJOIN(", ", TRUE, IF(I754:M754&gt;0, I$1:M$1, ""))</f>
        <v>Tech Infrastructure</v>
      </c>
      <c r="I754">
        <v>2</v>
      </c>
      <c r="J754">
        <v>0</v>
      </c>
      <c r="K754">
        <v>0</v>
      </c>
      <c r="L754">
        <v>0</v>
      </c>
      <c r="M754">
        <v>0</v>
      </c>
      <c r="N754">
        <v>0</v>
      </c>
    </row>
    <row r="755" spans="1:14" x14ac:dyDescent="0.35">
      <c r="A755" t="s">
        <v>6</v>
      </c>
      <c r="B755" t="s">
        <v>1610</v>
      </c>
      <c r="E755" t="s">
        <v>1611</v>
      </c>
      <c r="F755" t="s">
        <v>92</v>
      </c>
      <c r="H755" t="str" cm="1">
        <f t="array" ref="H755">_xlfn.TEXTJOIN(", ", TRUE, IF(I755:M755&gt;0, I$1:M$1, ""))</f>
        <v>Tech Infrastructure, Tech Application, Semantic View</v>
      </c>
      <c r="I755">
        <v>2</v>
      </c>
      <c r="J755">
        <v>11</v>
      </c>
      <c r="K755">
        <v>0</v>
      </c>
      <c r="L755">
        <v>0</v>
      </c>
      <c r="M755">
        <v>1</v>
      </c>
      <c r="N755">
        <v>1</v>
      </c>
    </row>
    <row r="756" spans="1:14" x14ac:dyDescent="0.35">
      <c r="A756" t="s">
        <v>6</v>
      </c>
      <c r="B756" t="s">
        <v>1612</v>
      </c>
      <c r="E756" t="s">
        <v>62</v>
      </c>
      <c r="F756" t="s">
        <v>55</v>
      </c>
      <c r="H756" t="str" cm="1">
        <f t="array" ref="H756">_xlfn.TEXTJOIN(", ", TRUE, IF(I756:M756&gt;0, I$1:M$1, ""))</f>
        <v>Organisational View</v>
      </c>
      <c r="I756">
        <v>0</v>
      </c>
      <c r="J756">
        <v>0</v>
      </c>
      <c r="K756">
        <v>0</v>
      </c>
      <c r="L756">
        <v>1</v>
      </c>
      <c r="M756">
        <v>0</v>
      </c>
      <c r="N756">
        <v>0</v>
      </c>
    </row>
    <row r="757" spans="1:14" x14ac:dyDescent="0.35">
      <c r="A757" t="s">
        <v>6</v>
      </c>
      <c r="B757" t="s">
        <v>1613</v>
      </c>
      <c r="D757" t="s">
        <v>1614</v>
      </c>
      <c r="E757" t="s">
        <v>66</v>
      </c>
      <c r="F757" t="s">
        <v>1615</v>
      </c>
      <c r="H757" t="str" cm="1">
        <f t="array" ref="H757">_xlfn.TEXTJOIN(", ", TRUE, IF(I757:M757&gt;0, I$1:M$1, ""))</f>
        <v>Legal View</v>
      </c>
      <c r="I757">
        <v>0</v>
      </c>
      <c r="J757">
        <v>0</v>
      </c>
      <c r="K757">
        <v>5</v>
      </c>
      <c r="L757">
        <v>0</v>
      </c>
      <c r="M757">
        <v>0</v>
      </c>
      <c r="N757">
        <v>0</v>
      </c>
    </row>
    <row r="758" spans="1:14" x14ac:dyDescent="0.35">
      <c r="A758" t="s">
        <v>6</v>
      </c>
      <c r="B758" t="s">
        <v>1616</v>
      </c>
      <c r="E758" t="s">
        <v>96</v>
      </c>
      <c r="F758" t="s">
        <v>55</v>
      </c>
      <c r="H758" t="str" cm="1">
        <f t="array" ref="H758">_xlfn.TEXTJOIN(", ", TRUE, IF(I758:M758&gt;0, I$1:M$1, ""))</f>
        <v>Legal View</v>
      </c>
      <c r="I758">
        <v>0</v>
      </c>
      <c r="J758">
        <v>0</v>
      </c>
      <c r="K758">
        <v>5</v>
      </c>
      <c r="L758">
        <v>0</v>
      </c>
      <c r="M758">
        <v>0</v>
      </c>
      <c r="N758">
        <v>1</v>
      </c>
    </row>
    <row r="759" spans="1:14" x14ac:dyDescent="0.35">
      <c r="A759" t="s">
        <v>6</v>
      </c>
      <c r="B759" t="s">
        <v>1617</v>
      </c>
      <c r="E759" t="s">
        <v>50</v>
      </c>
      <c r="F759" t="s">
        <v>55</v>
      </c>
      <c r="H759" t="str" cm="1">
        <f t="array" ref="H759">_xlfn.TEXTJOIN(", ", TRUE, IF(I759:M759&gt;0, I$1:M$1, ""))</f>
        <v>Tech Application</v>
      </c>
      <c r="I759">
        <v>0</v>
      </c>
      <c r="J759">
        <v>3</v>
      </c>
      <c r="K759">
        <v>0</v>
      </c>
      <c r="L759">
        <v>0</v>
      </c>
      <c r="M759">
        <v>0</v>
      </c>
      <c r="N759">
        <v>0</v>
      </c>
    </row>
    <row r="760" spans="1:14" x14ac:dyDescent="0.35">
      <c r="A760" t="s">
        <v>6</v>
      </c>
      <c r="B760" t="s">
        <v>1618</v>
      </c>
      <c r="D760" t="s">
        <v>1619</v>
      </c>
      <c r="E760" t="s">
        <v>230</v>
      </c>
      <c r="F760" t="s">
        <v>55</v>
      </c>
      <c r="H760" t="str" cm="1">
        <f t="array" ref="H760">_xlfn.TEXTJOIN(", ", TRUE, IF(I760:M760&gt;0, I$1:M$1, ""))</f>
        <v>Tech Application</v>
      </c>
      <c r="I760">
        <v>0</v>
      </c>
      <c r="J760">
        <v>2</v>
      </c>
      <c r="K760">
        <v>0</v>
      </c>
      <c r="L760">
        <v>0</v>
      </c>
      <c r="M760">
        <v>0</v>
      </c>
      <c r="N760">
        <v>0</v>
      </c>
    </row>
    <row r="761" spans="1:14" x14ac:dyDescent="0.35">
      <c r="A761" t="s">
        <v>6</v>
      </c>
      <c r="B761" t="s">
        <v>1620</v>
      </c>
      <c r="C761" t="s">
        <v>1621</v>
      </c>
      <c r="E761" t="s">
        <v>1622</v>
      </c>
      <c r="F761" t="s">
        <v>582</v>
      </c>
      <c r="H761" t="str" cm="1">
        <f t="array" ref="H761">_xlfn.TEXTJOIN(", ", TRUE, IF(I761:M761&gt;0, I$1:M$1, ""))</f>
        <v>Tech Infrastructure, Tech Application</v>
      </c>
      <c r="I761">
        <v>1</v>
      </c>
      <c r="J761">
        <v>2</v>
      </c>
      <c r="K761">
        <v>0</v>
      </c>
      <c r="L761">
        <v>0</v>
      </c>
      <c r="M761">
        <v>0</v>
      </c>
      <c r="N761">
        <v>1</v>
      </c>
    </row>
    <row r="762" spans="1:14" x14ac:dyDescent="0.35">
      <c r="A762" t="s">
        <v>6</v>
      </c>
      <c r="B762" t="s">
        <v>1623</v>
      </c>
      <c r="E762" t="s">
        <v>91</v>
      </c>
      <c r="F762" t="s">
        <v>342</v>
      </c>
      <c r="H762" t="str" cm="1">
        <f t="array" ref="H762">_xlfn.TEXTJOIN(", ", TRUE, IF(I762:M762&gt;0, I$1:M$1, ""))</f>
        <v>Tech Application</v>
      </c>
      <c r="I762">
        <v>0</v>
      </c>
      <c r="J762">
        <v>2</v>
      </c>
      <c r="K762">
        <v>0</v>
      </c>
      <c r="L762">
        <v>0</v>
      </c>
      <c r="M762">
        <v>0</v>
      </c>
      <c r="N762">
        <v>0</v>
      </c>
    </row>
    <row r="763" spans="1:14" x14ac:dyDescent="0.35">
      <c r="A763" t="s">
        <v>6</v>
      </c>
      <c r="B763" t="s">
        <v>1624</v>
      </c>
      <c r="C763" t="s">
        <v>1625</v>
      </c>
      <c r="E763" t="s">
        <v>438</v>
      </c>
      <c r="F763" t="s">
        <v>51</v>
      </c>
      <c r="H763" t="str" cm="1">
        <f t="array" ref="H763">_xlfn.TEXTJOIN(", ", TRUE, IF(I763:M763&gt;0, I$1:M$1, ""))</f>
        <v>Tech Infrastructure, Tech Application</v>
      </c>
      <c r="I763">
        <v>1</v>
      </c>
      <c r="J763">
        <v>2</v>
      </c>
      <c r="K763">
        <v>0</v>
      </c>
      <c r="L763">
        <v>0</v>
      </c>
      <c r="M763">
        <v>0</v>
      </c>
      <c r="N763">
        <v>0</v>
      </c>
    </row>
    <row r="764" spans="1:14" x14ac:dyDescent="0.35">
      <c r="A764" t="s">
        <v>6</v>
      </c>
      <c r="B764" t="s">
        <v>1626</v>
      </c>
      <c r="C764" t="s">
        <v>1627</v>
      </c>
      <c r="E764" t="s">
        <v>50</v>
      </c>
      <c r="F764" t="s">
        <v>535</v>
      </c>
      <c r="H764" t="str" cm="1">
        <f t="array" ref="H764">_xlfn.TEXTJOIN(", ", TRUE, IF(I764:M764&gt;0, I$1:M$1, ""))</f>
        <v/>
      </c>
      <c r="I764">
        <v>0</v>
      </c>
      <c r="J764">
        <v>0</v>
      </c>
      <c r="K764">
        <v>0</v>
      </c>
      <c r="L764">
        <v>0</v>
      </c>
      <c r="M764">
        <v>0</v>
      </c>
      <c r="N764">
        <v>0</v>
      </c>
    </row>
    <row r="765" spans="1:14" x14ac:dyDescent="0.35">
      <c r="A765" t="s">
        <v>6</v>
      </c>
      <c r="B765" t="s">
        <v>1628</v>
      </c>
      <c r="C765" t="s">
        <v>1629</v>
      </c>
      <c r="E765" t="s">
        <v>86</v>
      </c>
      <c r="F765" t="s">
        <v>55</v>
      </c>
      <c r="H765" t="str" cm="1">
        <f t="array" ref="H765">_xlfn.TEXTJOIN(", ", TRUE, IF(I765:M765&gt;0, I$1:M$1, ""))</f>
        <v>Tech Application</v>
      </c>
      <c r="I765">
        <v>0</v>
      </c>
      <c r="J765">
        <v>2</v>
      </c>
      <c r="K765">
        <v>0</v>
      </c>
      <c r="L765">
        <v>0</v>
      </c>
      <c r="M765">
        <v>0</v>
      </c>
      <c r="N765">
        <v>0</v>
      </c>
    </row>
    <row r="766" spans="1:14" x14ac:dyDescent="0.35">
      <c r="A766" t="s">
        <v>6</v>
      </c>
      <c r="B766" t="s">
        <v>1630</v>
      </c>
      <c r="C766" t="s">
        <v>1630</v>
      </c>
      <c r="E766" t="s">
        <v>50</v>
      </c>
      <c r="F766" t="s">
        <v>111</v>
      </c>
      <c r="H766" t="str" cm="1">
        <f t="array" ref="H766">_xlfn.TEXTJOIN(", ", TRUE, IF(I766:M766&gt;0, I$1:M$1, ""))</f>
        <v>Semantic View</v>
      </c>
      <c r="I766">
        <v>0</v>
      </c>
      <c r="J766">
        <v>0</v>
      </c>
      <c r="K766">
        <v>0</v>
      </c>
      <c r="L766">
        <v>0</v>
      </c>
      <c r="M766">
        <v>1</v>
      </c>
      <c r="N766">
        <v>2</v>
      </c>
    </row>
    <row r="767" spans="1:14" x14ac:dyDescent="0.35">
      <c r="A767" t="s">
        <v>6</v>
      </c>
      <c r="B767" t="s">
        <v>1631</v>
      </c>
      <c r="C767" t="s">
        <v>408</v>
      </c>
      <c r="E767" t="s">
        <v>62</v>
      </c>
      <c r="F767" t="s">
        <v>281</v>
      </c>
      <c r="H767" t="str" cm="1">
        <f t="array" ref="H767">_xlfn.TEXTJOIN(", ", TRUE, IF(I767:M767&gt;0, I$1:M$1, ""))</f>
        <v>Tech Application, Organisational View, Semantic View</v>
      </c>
      <c r="I767">
        <v>0</v>
      </c>
      <c r="J767">
        <v>3</v>
      </c>
      <c r="K767">
        <v>0</v>
      </c>
      <c r="L767">
        <v>1</v>
      </c>
      <c r="M767">
        <v>6</v>
      </c>
      <c r="N767">
        <v>2</v>
      </c>
    </row>
    <row r="768" spans="1:14" x14ac:dyDescent="0.35">
      <c r="A768" t="s">
        <v>6</v>
      </c>
      <c r="B768" t="s">
        <v>1632</v>
      </c>
      <c r="C768" t="s">
        <v>1633</v>
      </c>
      <c r="E768" t="s">
        <v>121</v>
      </c>
      <c r="F768" t="s">
        <v>55</v>
      </c>
      <c r="H768" t="str" cm="1">
        <f t="array" ref="H768">_xlfn.TEXTJOIN(", ", TRUE, IF(I768:M768&gt;0, I$1:M$1, ""))</f>
        <v>Semantic View</v>
      </c>
      <c r="I768">
        <v>0</v>
      </c>
      <c r="J768">
        <v>0</v>
      </c>
      <c r="K768">
        <v>0</v>
      </c>
      <c r="L768">
        <v>0</v>
      </c>
      <c r="M768">
        <v>4</v>
      </c>
      <c r="N768">
        <v>0</v>
      </c>
    </row>
    <row r="769" spans="1:14" x14ac:dyDescent="0.35">
      <c r="A769" t="s">
        <v>6</v>
      </c>
      <c r="B769" t="s">
        <v>1634</v>
      </c>
      <c r="D769" t="s">
        <v>1635</v>
      </c>
      <c r="E769" t="s">
        <v>66</v>
      </c>
      <c r="F769" t="s">
        <v>1636</v>
      </c>
      <c r="H769" t="str" cm="1">
        <f t="array" ref="H769">_xlfn.TEXTJOIN(", ", TRUE, IF(I769:M769&gt;0, I$1:M$1, ""))</f>
        <v>Legal View</v>
      </c>
      <c r="I769">
        <v>0</v>
      </c>
      <c r="J769">
        <v>0</v>
      </c>
      <c r="K769">
        <v>1</v>
      </c>
      <c r="L769">
        <v>0</v>
      </c>
      <c r="M769">
        <v>0</v>
      </c>
      <c r="N769">
        <v>0</v>
      </c>
    </row>
    <row r="770" spans="1:14" x14ac:dyDescent="0.35">
      <c r="A770" t="s">
        <v>6</v>
      </c>
      <c r="B770" t="s">
        <v>1637</v>
      </c>
      <c r="C770" t="s">
        <v>1216</v>
      </c>
      <c r="E770" t="s">
        <v>121</v>
      </c>
      <c r="F770" t="s">
        <v>55</v>
      </c>
      <c r="H770" t="str" cm="1">
        <f t="array" ref="H770">_xlfn.TEXTJOIN(", ", TRUE, IF(I770:M770&gt;0, I$1:M$1, ""))</f>
        <v>Organisational View, Semantic View</v>
      </c>
      <c r="I770">
        <v>0</v>
      </c>
      <c r="J770">
        <v>0</v>
      </c>
      <c r="K770">
        <v>0</v>
      </c>
      <c r="L770">
        <v>1</v>
      </c>
      <c r="M770">
        <v>10</v>
      </c>
      <c r="N770">
        <v>2</v>
      </c>
    </row>
    <row r="771" spans="1:14" x14ac:dyDescent="0.35">
      <c r="A771" t="s">
        <v>6</v>
      </c>
      <c r="B771" t="s">
        <v>1638</v>
      </c>
      <c r="C771" t="s">
        <v>1639</v>
      </c>
      <c r="E771" t="s">
        <v>86</v>
      </c>
      <c r="F771" t="s">
        <v>55</v>
      </c>
      <c r="H771" t="str" cm="1">
        <f t="array" ref="H771">_xlfn.TEXTJOIN(", ", TRUE, IF(I771:M771&gt;0, I$1:M$1, ""))</f>
        <v>Tech Infrastructure, Tech Application</v>
      </c>
      <c r="I771">
        <v>1</v>
      </c>
      <c r="J771">
        <v>1</v>
      </c>
      <c r="K771">
        <v>0</v>
      </c>
      <c r="L771">
        <v>0</v>
      </c>
      <c r="M771">
        <v>0</v>
      </c>
      <c r="N771">
        <v>1</v>
      </c>
    </row>
    <row r="772" spans="1:14" x14ac:dyDescent="0.35">
      <c r="A772" t="s">
        <v>6</v>
      </c>
      <c r="B772" t="s">
        <v>1640</v>
      </c>
      <c r="E772" t="s">
        <v>1641</v>
      </c>
      <c r="F772" t="s">
        <v>1642</v>
      </c>
      <c r="H772" t="str" cm="1">
        <f t="array" ref="H772">_xlfn.TEXTJOIN(", ", TRUE, IF(I772:M772&gt;0, I$1:M$1, ""))</f>
        <v>Tech Application, Semantic View</v>
      </c>
      <c r="I772">
        <v>0</v>
      </c>
      <c r="J772">
        <v>4</v>
      </c>
      <c r="K772">
        <v>0</v>
      </c>
      <c r="L772">
        <v>0</v>
      </c>
      <c r="M772">
        <v>2</v>
      </c>
      <c r="N772">
        <v>0</v>
      </c>
    </row>
    <row r="773" spans="1:14" x14ac:dyDescent="0.35">
      <c r="A773" t="s">
        <v>6</v>
      </c>
      <c r="B773" t="s">
        <v>1643</v>
      </c>
      <c r="E773" t="s">
        <v>66</v>
      </c>
      <c r="F773" t="s">
        <v>1644</v>
      </c>
      <c r="H773" t="str" cm="1">
        <f t="array" ref="H773">_xlfn.TEXTJOIN(", ", TRUE, IF(I773:M773&gt;0, I$1:M$1, ""))</f>
        <v>Legal View</v>
      </c>
      <c r="I773">
        <v>0</v>
      </c>
      <c r="J773">
        <v>0</v>
      </c>
      <c r="K773">
        <v>1</v>
      </c>
      <c r="L773">
        <v>0</v>
      </c>
      <c r="M773">
        <v>0</v>
      </c>
      <c r="N773">
        <v>0</v>
      </c>
    </row>
    <row r="774" spans="1:14" x14ac:dyDescent="0.35">
      <c r="A774" t="s">
        <v>6</v>
      </c>
      <c r="B774" t="s">
        <v>1645</v>
      </c>
      <c r="C774" t="s">
        <v>1646</v>
      </c>
      <c r="E774" t="s">
        <v>489</v>
      </c>
      <c r="F774" t="s">
        <v>785</v>
      </c>
      <c r="H774" t="str" cm="1">
        <f t="array" ref="H774">_xlfn.TEXTJOIN(", ", TRUE, IF(I774:M774&gt;0, I$1:M$1, ""))</f>
        <v>Semantic View</v>
      </c>
      <c r="I774">
        <v>0</v>
      </c>
      <c r="J774">
        <v>0</v>
      </c>
      <c r="K774">
        <v>0</v>
      </c>
      <c r="L774">
        <v>0</v>
      </c>
      <c r="M774">
        <v>2</v>
      </c>
      <c r="N774">
        <v>0</v>
      </c>
    </row>
    <row r="775" spans="1:14" x14ac:dyDescent="0.35">
      <c r="A775" t="s">
        <v>6</v>
      </c>
      <c r="B775" t="s">
        <v>1647</v>
      </c>
      <c r="E775" t="s">
        <v>50</v>
      </c>
      <c r="F775" t="s">
        <v>92</v>
      </c>
      <c r="H775" t="str" cm="1">
        <f t="array" ref="H775">_xlfn.TEXTJOIN(", ", TRUE, IF(I775:M775&gt;0, I$1:M$1, ""))</f>
        <v>Tech Application</v>
      </c>
      <c r="I775">
        <v>0</v>
      </c>
      <c r="J775">
        <v>2</v>
      </c>
      <c r="K775">
        <v>0</v>
      </c>
      <c r="L775">
        <v>0</v>
      </c>
      <c r="M775">
        <v>0</v>
      </c>
      <c r="N775">
        <v>0</v>
      </c>
    </row>
    <row r="776" spans="1:14" x14ac:dyDescent="0.35">
      <c r="A776" t="s">
        <v>6</v>
      </c>
      <c r="B776" t="s">
        <v>1648</v>
      </c>
      <c r="C776" t="s">
        <v>1649</v>
      </c>
      <c r="E776" t="s">
        <v>1067</v>
      </c>
      <c r="F776" t="s">
        <v>55</v>
      </c>
      <c r="H776" t="str" cm="1">
        <f t="array" ref="H776">_xlfn.TEXTJOIN(", ", TRUE, IF(I776:M776&gt;0, I$1:M$1, ""))</f>
        <v>Tech Application</v>
      </c>
      <c r="I776">
        <v>0</v>
      </c>
      <c r="J776">
        <v>2</v>
      </c>
      <c r="K776">
        <v>0</v>
      </c>
      <c r="L776">
        <v>0</v>
      </c>
      <c r="M776">
        <v>0</v>
      </c>
      <c r="N776">
        <v>0</v>
      </c>
    </row>
    <row r="777" spans="1:14" x14ac:dyDescent="0.35">
      <c r="A777" t="s">
        <v>6</v>
      </c>
      <c r="B777" t="s">
        <v>1650</v>
      </c>
      <c r="C777" t="s">
        <v>1651</v>
      </c>
      <c r="E777" t="s">
        <v>50</v>
      </c>
      <c r="F777" t="s">
        <v>1652</v>
      </c>
      <c r="H777" t="str" cm="1">
        <f t="array" ref="H777">_xlfn.TEXTJOIN(", ", TRUE, IF(I777:M777&gt;0, I$1:M$1, ""))</f>
        <v>Tech Application</v>
      </c>
      <c r="I777">
        <v>0</v>
      </c>
      <c r="J777">
        <v>2</v>
      </c>
      <c r="K777">
        <v>0</v>
      </c>
      <c r="L777">
        <v>0</v>
      </c>
      <c r="M777">
        <v>0</v>
      </c>
      <c r="N777">
        <v>0</v>
      </c>
    </row>
    <row r="778" spans="1:14" x14ac:dyDescent="0.35">
      <c r="A778" t="s">
        <v>6</v>
      </c>
      <c r="B778" t="s">
        <v>1653</v>
      </c>
      <c r="C778" t="s">
        <v>424</v>
      </c>
      <c r="E778" t="s">
        <v>96</v>
      </c>
      <c r="F778" t="s">
        <v>51</v>
      </c>
      <c r="H778" t="str" cm="1">
        <f t="array" ref="H778">_xlfn.TEXTJOIN(", ", TRUE, IF(I778:M778&gt;0, I$1:M$1, ""))</f>
        <v>Tech Application, Semantic View</v>
      </c>
      <c r="I778">
        <v>0</v>
      </c>
      <c r="J778">
        <v>4</v>
      </c>
      <c r="K778">
        <v>0</v>
      </c>
      <c r="L778">
        <v>0</v>
      </c>
      <c r="M778">
        <v>2</v>
      </c>
      <c r="N778">
        <v>2</v>
      </c>
    </row>
    <row r="779" spans="1:14" x14ac:dyDescent="0.35">
      <c r="A779" t="s">
        <v>6</v>
      </c>
      <c r="B779" t="s">
        <v>1654</v>
      </c>
      <c r="C779" t="s">
        <v>1655</v>
      </c>
      <c r="E779" t="s">
        <v>1656</v>
      </c>
      <c r="F779" t="s">
        <v>51</v>
      </c>
      <c r="H779" t="str" cm="1">
        <f t="array" ref="H779">_xlfn.TEXTJOIN(", ", TRUE, IF(I779:M779&gt;0, I$1:M$1, ""))</f>
        <v>Semantic View</v>
      </c>
      <c r="I779">
        <v>0</v>
      </c>
      <c r="J779">
        <v>0</v>
      </c>
      <c r="K779">
        <v>0</v>
      </c>
      <c r="L779">
        <v>0</v>
      </c>
      <c r="M779">
        <v>1</v>
      </c>
      <c r="N779">
        <v>0</v>
      </c>
    </row>
    <row r="780" spans="1:14" x14ac:dyDescent="0.35">
      <c r="A780" t="s">
        <v>6</v>
      </c>
      <c r="B780" t="s">
        <v>1657</v>
      </c>
      <c r="E780" t="s">
        <v>50</v>
      </c>
      <c r="F780" t="s">
        <v>473</v>
      </c>
      <c r="H780" t="str" cm="1">
        <f t="array" ref="H780">_xlfn.TEXTJOIN(", ", TRUE, IF(I780:M780&gt;0, I$1:M$1, ""))</f>
        <v>Tech Application</v>
      </c>
      <c r="I780">
        <v>0</v>
      </c>
      <c r="J780">
        <v>2</v>
      </c>
      <c r="K780">
        <v>0</v>
      </c>
      <c r="L780">
        <v>0</v>
      </c>
      <c r="M780">
        <v>0</v>
      </c>
      <c r="N780">
        <v>1</v>
      </c>
    </row>
    <row r="781" spans="1:14" x14ac:dyDescent="0.35">
      <c r="A781" t="s">
        <v>6</v>
      </c>
      <c r="B781" t="s">
        <v>1658</v>
      </c>
      <c r="E781" t="s">
        <v>1315</v>
      </c>
      <c r="F781" t="s">
        <v>51</v>
      </c>
      <c r="H781" t="str" cm="1">
        <f t="array" ref="H781">_xlfn.TEXTJOIN(", ", TRUE, IF(I781:M781&gt;0, I$1:M$1, ""))</f>
        <v>Semantic View</v>
      </c>
      <c r="I781">
        <v>0</v>
      </c>
      <c r="J781">
        <v>0</v>
      </c>
      <c r="K781">
        <v>0</v>
      </c>
      <c r="L781">
        <v>0</v>
      </c>
      <c r="M781">
        <v>2</v>
      </c>
      <c r="N781">
        <v>0</v>
      </c>
    </row>
    <row r="782" spans="1:14" x14ac:dyDescent="0.35">
      <c r="A782" t="s">
        <v>6</v>
      </c>
      <c r="B782" t="s">
        <v>1659</v>
      </c>
      <c r="E782" t="s">
        <v>121</v>
      </c>
      <c r="F782" t="s">
        <v>55</v>
      </c>
      <c r="H782" t="str" cm="1">
        <f t="array" ref="H782">_xlfn.TEXTJOIN(", ", TRUE, IF(I782:M782&gt;0, I$1:M$1, ""))</f>
        <v/>
      </c>
      <c r="I782">
        <v>0</v>
      </c>
      <c r="J782">
        <v>0</v>
      </c>
      <c r="K782">
        <v>0</v>
      </c>
      <c r="L782">
        <v>0</v>
      </c>
      <c r="M782">
        <v>0</v>
      </c>
      <c r="N782">
        <v>0</v>
      </c>
    </row>
    <row r="783" spans="1:14" x14ac:dyDescent="0.35">
      <c r="A783" t="s">
        <v>6</v>
      </c>
      <c r="B783" t="s">
        <v>1660</v>
      </c>
      <c r="C783" t="s">
        <v>1661</v>
      </c>
      <c r="E783" t="s">
        <v>62</v>
      </c>
      <c r="F783" t="s">
        <v>1662</v>
      </c>
      <c r="H783" t="str" cm="1">
        <f t="array" ref="H783">_xlfn.TEXTJOIN(", ", TRUE, IF(I783:M783&gt;0, I$1:M$1, ""))</f>
        <v>Tech Infrastructure</v>
      </c>
      <c r="I783">
        <v>1</v>
      </c>
      <c r="J783">
        <v>0</v>
      </c>
      <c r="K783">
        <v>0</v>
      </c>
      <c r="L783">
        <v>0</v>
      </c>
      <c r="M783">
        <v>0</v>
      </c>
      <c r="N783">
        <v>0</v>
      </c>
    </row>
    <row r="784" spans="1:14" x14ac:dyDescent="0.35">
      <c r="A784" t="s">
        <v>6</v>
      </c>
      <c r="B784" t="s">
        <v>1663</v>
      </c>
      <c r="D784" t="s">
        <v>1664</v>
      </c>
      <c r="E784" t="s">
        <v>59</v>
      </c>
      <c r="F784" t="s">
        <v>100</v>
      </c>
      <c r="H784" t="str" cm="1">
        <f t="array" ref="H784">_xlfn.TEXTJOIN(", ", TRUE, IF(I784:M784&gt;0, I$1:M$1, ""))</f>
        <v>Organisational View</v>
      </c>
      <c r="I784">
        <v>0</v>
      </c>
      <c r="J784">
        <v>0</v>
      </c>
      <c r="K784">
        <v>0</v>
      </c>
      <c r="L784">
        <v>2</v>
      </c>
      <c r="M784">
        <v>0</v>
      </c>
      <c r="N784">
        <v>0</v>
      </c>
    </row>
    <row r="785" spans="1:14" x14ac:dyDescent="0.35">
      <c r="A785" t="s">
        <v>6</v>
      </c>
      <c r="B785" t="s">
        <v>1665</v>
      </c>
      <c r="C785" t="s">
        <v>1666</v>
      </c>
      <c r="E785" t="s">
        <v>455</v>
      </c>
      <c r="F785" t="s">
        <v>180</v>
      </c>
      <c r="H785" t="str" cm="1">
        <f t="array" ref="H785">_xlfn.TEXTJOIN(", ", TRUE, IF(I785:M785&gt;0, I$1:M$1, ""))</f>
        <v>Tech Application</v>
      </c>
      <c r="I785">
        <v>0</v>
      </c>
      <c r="J785">
        <v>2</v>
      </c>
      <c r="K785">
        <v>0</v>
      </c>
      <c r="L785">
        <v>0</v>
      </c>
      <c r="M785">
        <v>0</v>
      </c>
      <c r="N785">
        <v>0</v>
      </c>
    </row>
    <row r="786" spans="1:14" x14ac:dyDescent="0.35">
      <c r="A786" t="s">
        <v>6</v>
      </c>
      <c r="B786" t="s">
        <v>1667</v>
      </c>
      <c r="E786" t="s">
        <v>121</v>
      </c>
      <c r="F786" t="s">
        <v>55</v>
      </c>
      <c r="H786" t="str" cm="1">
        <f t="array" ref="H786">_xlfn.TEXTJOIN(", ", TRUE, IF(I786:M786&gt;0, I$1:M$1, ""))</f>
        <v>Tech Application</v>
      </c>
      <c r="I786">
        <v>0</v>
      </c>
      <c r="J786">
        <v>4</v>
      </c>
      <c r="K786">
        <v>0</v>
      </c>
      <c r="L786">
        <v>0</v>
      </c>
      <c r="M786">
        <v>0</v>
      </c>
      <c r="N786">
        <v>0</v>
      </c>
    </row>
    <row r="787" spans="1:14" x14ac:dyDescent="0.35">
      <c r="A787" t="s">
        <v>6</v>
      </c>
      <c r="B787" t="s">
        <v>1668</v>
      </c>
      <c r="C787" t="s">
        <v>1669</v>
      </c>
      <c r="E787" t="s">
        <v>91</v>
      </c>
      <c r="F787" t="s">
        <v>1670</v>
      </c>
      <c r="H787" t="str" cm="1">
        <f t="array" ref="H787">_xlfn.TEXTJOIN(", ", TRUE, IF(I787:M787&gt;0, I$1:M$1, ""))</f>
        <v>Tech Application, Organisational View</v>
      </c>
      <c r="I787">
        <v>0</v>
      </c>
      <c r="J787">
        <v>4</v>
      </c>
      <c r="K787">
        <v>0</v>
      </c>
      <c r="L787">
        <v>1</v>
      </c>
      <c r="M787">
        <v>0</v>
      </c>
      <c r="N787">
        <v>0</v>
      </c>
    </row>
    <row r="788" spans="1:14" x14ac:dyDescent="0.35">
      <c r="A788" t="s">
        <v>6</v>
      </c>
      <c r="B788" t="s">
        <v>1671</v>
      </c>
      <c r="E788" t="s">
        <v>1672</v>
      </c>
      <c r="F788" t="s">
        <v>55</v>
      </c>
      <c r="H788" t="str" cm="1">
        <f t="array" ref="H788">_xlfn.TEXTJOIN(", ", TRUE, IF(I788:M788&gt;0, I$1:M$1, ""))</f>
        <v>Tech Application, Semantic View</v>
      </c>
      <c r="I788">
        <v>0</v>
      </c>
      <c r="J788">
        <v>1</v>
      </c>
      <c r="K788">
        <v>0</v>
      </c>
      <c r="L788">
        <v>0</v>
      </c>
      <c r="M788">
        <v>1</v>
      </c>
      <c r="N788">
        <v>0</v>
      </c>
    </row>
    <row r="789" spans="1:14" x14ac:dyDescent="0.35">
      <c r="A789" t="s">
        <v>6</v>
      </c>
      <c r="B789" t="s">
        <v>1673</v>
      </c>
      <c r="C789" t="s">
        <v>1674</v>
      </c>
      <c r="D789" t="s">
        <v>1675</v>
      </c>
      <c r="E789" t="s">
        <v>66</v>
      </c>
      <c r="F789" t="s">
        <v>1676</v>
      </c>
      <c r="H789" t="str" cm="1">
        <f t="array" ref="H789">_xlfn.TEXTJOIN(", ", TRUE, IF(I789:M789&gt;0, I$1:M$1, ""))</f>
        <v>Legal View</v>
      </c>
      <c r="I789">
        <v>0</v>
      </c>
      <c r="J789">
        <v>0</v>
      </c>
      <c r="K789">
        <v>5</v>
      </c>
      <c r="L789">
        <v>0</v>
      </c>
      <c r="M789">
        <v>0</v>
      </c>
      <c r="N789">
        <v>0</v>
      </c>
    </row>
    <row r="790" spans="1:14" x14ac:dyDescent="0.35">
      <c r="A790" t="s">
        <v>6</v>
      </c>
      <c r="B790" t="s">
        <v>1677</v>
      </c>
      <c r="C790" t="s">
        <v>1678</v>
      </c>
      <c r="E790" t="s">
        <v>62</v>
      </c>
      <c r="F790" t="s">
        <v>55</v>
      </c>
      <c r="H790" t="str" cm="1">
        <f t="array" ref="H790">_xlfn.TEXTJOIN(", ", TRUE, IF(I790:M790&gt;0, I$1:M$1, ""))</f>
        <v>Tech Infrastructure</v>
      </c>
      <c r="I790">
        <v>1</v>
      </c>
      <c r="J790">
        <v>0</v>
      </c>
      <c r="K790">
        <v>0</v>
      </c>
      <c r="L790">
        <v>0</v>
      </c>
      <c r="M790">
        <v>0</v>
      </c>
      <c r="N790">
        <v>0</v>
      </c>
    </row>
    <row r="791" spans="1:14" x14ac:dyDescent="0.35">
      <c r="A791" t="s">
        <v>6</v>
      </c>
      <c r="B791" t="s">
        <v>1679</v>
      </c>
      <c r="C791" t="s">
        <v>1680</v>
      </c>
      <c r="E791" t="s">
        <v>230</v>
      </c>
      <c r="F791" t="s">
        <v>55</v>
      </c>
      <c r="H791" t="str" cm="1">
        <f t="array" ref="H791">_xlfn.TEXTJOIN(", ", TRUE, IF(I791:M791&gt;0, I$1:M$1, ""))</f>
        <v/>
      </c>
      <c r="I791">
        <v>0</v>
      </c>
      <c r="J791">
        <v>0</v>
      </c>
      <c r="K791">
        <v>0</v>
      </c>
      <c r="L791">
        <v>0</v>
      </c>
      <c r="M791">
        <v>0</v>
      </c>
      <c r="N791">
        <v>0</v>
      </c>
    </row>
    <row r="792" spans="1:14" x14ac:dyDescent="0.35">
      <c r="A792" t="s">
        <v>6</v>
      </c>
      <c r="B792" t="s">
        <v>1681</v>
      </c>
      <c r="C792" t="s">
        <v>1682</v>
      </c>
      <c r="E792" t="s">
        <v>62</v>
      </c>
      <c r="F792" t="s">
        <v>92</v>
      </c>
      <c r="H792" t="str" cm="1">
        <f t="array" ref="H792">_xlfn.TEXTJOIN(", ", TRUE, IF(I792:M792&gt;0, I$1:M$1, ""))</f>
        <v/>
      </c>
      <c r="I792">
        <v>0</v>
      </c>
      <c r="J792">
        <v>0</v>
      </c>
      <c r="K792">
        <v>0</v>
      </c>
      <c r="L792">
        <v>0</v>
      </c>
      <c r="M792">
        <v>0</v>
      </c>
      <c r="N792">
        <v>0</v>
      </c>
    </row>
    <row r="793" spans="1:14" x14ac:dyDescent="0.35">
      <c r="A793" t="s">
        <v>6</v>
      </c>
      <c r="B793" t="s">
        <v>1683</v>
      </c>
      <c r="C793" t="s">
        <v>1684</v>
      </c>
      <c r="E793" t="s">
        <v>230</v>
      </c>
      <c r="F793" t="s">
        <v>152</v>
      </c>
      <c r="H793" t="str" cm="1">
        <f t="array" ref="H793">_xlfn.TEXTJOIN(", ", TRUE, IF(I793:M793&gt;0, I$1:M$1, ""))</f>
        <v/>
      </c>
      <c r="I793">
        <v>0</v>
      </c>
      <c r="J793">
        <v>0</v>
      </c>
      <c r="K793">
        <v>0</v>
      </c>
      <c r="L793">
        <v>0</v>
      </c>
      <c r="M793">
        <v>0</v>
      </c>
      <c r="N793">
        <v>0</v>
      </c>
    </row>
    <row r="794" spans="1:14" x14ac:dyDescent="0.35">
      <c r="A794" t="s">
        <v>6</v>
      </c>
      <c r="B794" t="s">
        <v>1685</v>
      </c>
      <c r="E794" t="s">
        <v>66</v>
      </c>
      <c r="F794" t="s">
        <v>55</v>
      </c>
      <c r="H794" t="str" cm="1">
        <f t="array" ref="H794">_xlfn.TEXTJOIN(", ", TRUE, IF(I794:M794&gt;0, I$1:M$1, ""))</f>
        <v>Legal View</v>
      </c>
      <c r="I794">
        <v>0</v>
      </c>
      <c r="J794">
        <v>0</v>
      </c>
      <c r="K794">
        <v>4</v>
      </c>
      <c r="L794">
        <v>0</v>
      </c>
      <c r="M794">
        <v>0</v>
      </c>
      <c r="N794">
        <v>0</v>
      </c>
    </row>
    <row r="795" spans="1:14" x14ac:dyDescent="0.35">
      <c r="A795" t="s">
        <v>6</v>
      </c>
      <c r="B795" t="s">
        <v>1686</v>
      </c>
      <c r="E795" t="s">
        <v>411</v>
      </c>
      <c r="F795" t="s">
        <v>55</v>
      </c>
      <c r="H795" t="str" cm="1">
        <f t="array" ref="H795">_xlfn.TEXTJOIN(", ", TRUE, IF(I795:M795&gt;0, I$1:M$1, ""))</f>
        <v>Semantic View</v>
      </c>
      <c r="I795">
        <v>0</v>
      </c>
      <c r="J795">
        <v>0</v>
      </c>
      <c r="K795">
        <v>0</v>
      </c>
      <c r="L795">
        <v>0</v>
      </c>
      <c r="M795">
        <v>1</v>
      </c>
      <c r="N795">
        <v>0</v>
      </c>
    </row>
    <row r="796" spans="1:14" x14ac:dyDescent="0.35">
      <c r="A796" t="s">
        <v>6</v>
      </c>
      <c r="B796" t="s">
        <v>1687</v>
      </c>
      <c r="E796" t="s">
        <v>121</v>
      </c>
      <c r="F796" t="s">
        <v>97</v>
      </c>
      <c r="H796" t="str" cm="1">
        <f t="array" ref="H796">_xlfn.TEXTJOIN(", ", TRUE, IF(I796:M796&gt;0, I$1:M$1, ""))</f>
        <v>Tech Application</v>
      </c>
      <c r="I796">
        <v>0</v>
      </c>
      <c r="J796">
        <v>6</v>
      </c>
      <c r="K796">
        <v>0</v>
      </c>
      <c r="L796">
        <v>0</v>
      </c>
      <c r="M796">
        <v>0</v>
      </c>
      <c r="N796">
        <v>0</v>
      </c>
    </row>
    <row r="797" spans="1:14" x14ac:dyDescent="0.35">
      <c r="A797" t="s">
        <v>6</v>
      </c>
      <c r="B797" t="s">
        <v>1688</v>
      </c>
      <c r="D797" t="s">
        <v>1689</v>
      </c>
      <c r="E797" t="s">
        <v>222</v>
      </c>
      <c r="F797" t="s">
        <v>55</v>
      </c>
      <c r="H797" t="str" cm="1">
        <f t="array" ref="H797">_xlfn.TEXTJOIN(", ", TRUE, IF(I797:M797&gt;0, I$1:M$1, ""))</f>
        <v>Semantic View</v>
      </c>
      <c r="I797">
        <v>0</v>
      </c>
      <c r="J797">
        <v>0</v>
      </c>
      <c r="K797">
        <v>0</v>
      </c>
      <c r="L797">
        <v>0</v>
      </c>
      <c r="M797">
        <v>3</v>
      </c>
      <c r="N797">
        <v>0</v>
      </c>
    </row>
    <row r="798" spans="1:14" x14ac:dyDescent="0.35">
      <c r="A798" t="s">
        <v>6</v>
      </c>
      <c r="B798" t="s">
        <v>1690</v>
      </c>
      <c r="E798" t="s">
        <v>1690</v>
      </c>
      <c r="F798" t="s">
        <v>1691</v>
      </c>
      <c r="H798" t="str" cm="1">
        <f t="array" ref="H798">_xlfn.TEXTJOIN(", ", TRUE, IF(I798:M798&gt;0, I$1:M$1, ""))</f>
        <v>Tech Application</v>
      </c>
      <c r="I798">
        <v>0</v>
      </c>
      <c r="J798">
        <v>1</v>
      </c>
      <c r="K798">
        <v>0</v>
      </c>
      <c r="L798">
        <v>0</v>
      </c>
      <c r="M798">
        <v>0</v>
      </c>
      <c r="N798">
        <v>0</v>
      </c>
    </row>
    <row r="799" spans="1:14" x14ac:dyDescent="0.35">
      <c r="A799" t="s">
        <v>6</v>
      </c>
      <c r="B799" t="s">
        <v>1692</v>
      </c>
      <c r="D799" t="s">
        <v>1693</v>
      </c>
      <c r="E799" t="s">
        <v>1694</v>
      </c>
      <c r="F799" t="s">
        <v>1695</v>
      </c>
      <c r="H799" t="str" cm="1">
        <f t="array" ref="H799">_xlfn.TEXTJOIN(", ", TRUE, IF(I799:M799&gt;0, I$1:M$1, ""))</f>
        <v>Tech Application</v>
      </c>
      <c r="I799">
        <v>0</v>
      </c>
      <c r="J799">
        <v>5</v>
      </c>
      <c r="K799">
        <v>0</v>
      </c>
      <c r="L799">
        <v>0</v>
      </c>
      <c r="M799">
        <v>0</v>
      </c>
      <c r="N799">
        <v>0</v>
      </c>
    </row>
    <row r="800" spans="1:14" x14ac:dyDescent="0.35">
      <c r="A800" t="s">
        <v>6</v>
      </c>
      <c r="B800" t="s">
        <v>1696</v>
      </c>
      <c r="C800" t="s">
        <v>1696</v>
      </c>
      <c r="E800" t="s">
        <v>1696</v>
      </c>
      <c r="F800" t="s">
        <v>55</v>
      </c>
      <c r="H800" t="str" cm="1">
        <f t="array" ref="H800">_xlfn.TEXTJOIN(", ", TRUE, IF(I800:M800&gt;0, I$1:M$1, ""))</f>
        <v>Tech Infrastructure</v>
      </c>
      <c r="I800">
        <v>2</v>
      </c>
      <c r="J800">
        <v>0</v>
      </c>
      <c r="K800">
        <v>0</v>
      </c>
      <c r="L800">
        <v>0</v>
      </c>
      <c r="M800">
        <v>0</v>
      </c>
      <c r="N800">
        <v>0</v>
      </c>
    </row>
    <row r="801" spans="1:14" x14ac:dyDescent="0.35">
      <c r="A801" t="s">
        <v>6</v>
      </c>
      <c r="B801" t="s">
        <v>1589</v>
      </c>
      <c r="C801" t="s">
        <v>1589</v>
      </c>
      <c r="E801" t="s">
        <v>66</v>
      </c>
      <c r="F801" t="s">
        <v>1697</v>
      </c>
      <c r="H801" t="str" cm="1">
        <f t="array" ref="H801">_xlfn.TEXTJOIN(", ", TRUE, IF(I801:M801&gt;0, I$1:M$1, ""))</f>
        <v>Semantic View</v>
      </c>
      <c r="I801">
        <v>0</v>
      </c>
      <c r="J801">
        <v>0</v>
      </c>
      <c r="K801">
        <v>0</v>
      </c>
      <c r="L801">
        <v>0</v>
      </c>
      <c r="M801">
        <v>2</v>
      </c>
      <c r="N801">
        <v>1</v>
      </c>
    </row>
    <row r="802" spans="1:14" x14ac:dyDescent="0.35">
      <c r="A802" t="s">
        <v>6</v>
      </c>
      <c r="B802" t="s">
        <v>1698</v>
      </c>
      <c r="D802" t="s">
        <v>1699</v>
      </c>
      <c r="E802" t="s">
        <v>66</v>
      </c>
      <c r="F802" t="s">
        <v>1700</v>
      </c>
      <c r="H802" t="str" cm="1">
        <f t="array" ref="H802">_xlfn.TEXTJOIN(", ", TRUE, IF(I802:M802&gt;0, I$1:M$1, ""))</f>
        <v>Legal View</v>
      </c>
      <c r="I802">
        <v>0</v>
      </c>
      <c r="J802">
        <v>0</v>
      </c>
      <c r="K802">
        <v>5</v>
      </c>
      <c r="L802">
        <v>0</v>
      </c>
      <c r="M802">
        <v>0</v>
      </c>
      <c r="N802">
        <v>0</v>
      </c>
    </row>
    <row r="803" spans="1:14" x14ac:dyDescent="0.35">
      <c r="A803" t="s">
        <v>6</v>
      </c>
      <c r="B803" t="s">
        <v>1701</v>
      </c>
      <c r="D803" t="s">
        <v>1702</v>
      </c>
      <c r="E803" t="s">
        <v>66</v>
      </c>
      <c r="F803" t="s">
        <v>1703</v>
      </c>
      <c r="H803" t="str" cm="1">
        <f t="array" ref="H803">_xlfn.TEXTJOIN(", ", TRUE, IF(I803:M803&gt;0, I$1:M$1, ""))</f>
        <v>Legal View</v>
      </c>
      <c r="I803">
        <v>0</v>
      </c>
      <c r="J803">
        <v>0</v>
      </c>
      <c r="K803">
        <v>1</v>
      </c>
      <c r="L803">
        <v>0</v>
      </c>
      <c r="M803">
        <v>0</v>
      </c>
      <c r="N803">
        <v>0</v>
      </c>
    </row>
    <row r="804" spans="1:14" x14ac:dyDescent="0.35">
      <c r="A804" t="s">
        <v>6</v>
      </c>
      <c r="B804" t="s">
        <v>1704</v>
      </c>
      <c r="C804" t="s">
        <v>1705</v>
      </c>
      <c r="E804" t="s">
        <v>1706</v>
      </c>
      <c r="F804" t="s">
        <v>55</v>
      </c>
      <c r="H804" t="str" cm="1">
        <f t="array" ref="H804">_xlfn.TEXTJOIN(", ", TRUE, IF(I804:M804&gt;0, I$1:M$1, ""))</f>
        <v>Semantic View</v>
      </c>
      <c r="I804">
        <v>0</v>
      </c>
      <c r="J804">
        <v>0</v>
      </c>
      <c r="K804">
        <v>0</v>
      </c>
      <c r="L804">
        <v>0</v>
      </c>
      <c r="M804">
        <v>3</v>
      </c>
      <c r="N804">
        <v>0</v>
      </c>
    </row>
    <row r="805" spans="1:14" x14ac:dyDescent="0.35">
      <c r="A805" t="s">
        <v>6</v>
      </c>
      <c r="B805" t="s">
        <v>1707</v>
      </c>
      <c r="C805" t="s">
        <v>1707</v>
      </c>
      <c r="E805" t="s">
        <v>1708</v>
      </c>
      <c r="F805" t="s">
        <v>55</v>
      </c>
      <c r="H805" t="str" cm="1">
        <f t="array" ref="H805">_xlfn.TEXTJOIN(", ", TRUE, IF(I805:M805&gt;0, I$1:M$1, ""))</f>
        <v>Tech Application</v>
      </c>
      <c r="I805">
        <v>0</v>
      </c>
      <c r="J805">
        <v>4</v>
      </c>
      <c r="K805">
        <v>0</v>
      </c>
      <c r="L805">
        <v>0</v>
      </c>
      <c r="M805">
        <v>0</v>
      </c>
      <c r="N805">
        <v>1</v>
      </c>
    </row>
    <row r="806" spans="1:14" x14ac:dyDescent="0.35">
      <c r="A806" t="s">
        <v>6</v>
      </c>
      <c r="B806" t="s">
        <v>1709</v>
      </c>
      <c r="E806" t="s">
        <v>1710</v>
      </c>
      <c r="F806" t="s">
        <v>55</v>
      </c>
      <c r="H806" t="str" cm="1">
        <f t="array" ref="H806">_xlfn.TEXTJOIN(", ", TRUE, IF(I806:M806&gt;0, I$1:M$1, ""))</f>
        <v>Tech Application, Organisational View</v>
      </c>
      <c r="I806">
        <v>0</v>
      </c>
      <c r="J806">
        <v>1</v>
      </c>
      <c r="K806">
        <v>0</v>
      </c>
      <c r="L806">
        <v>1</v>
      </c>
      <c r="M806">
        <v>0</v>
      </c>
      <c r="N806">
        <v>0</v>
      </c>
    </row>
    <row r="807" spans="1:14" x14ac:dyDescent="0.35">
      <c r="A807" t="s">
        <v>6</v>
      </c>
      <c r="B807" t="s">
        <v>1711</v>
      </c>
      <c r="E807" t="s">
        <v>1712</v>
      </c>
      <c r="F807" t="s">
        <v>51</v>
      </c>
      <c r="H807" t="str" cm="1">
        <f t="array" ref="H807">_xlfn.TEXTJOIN(", ", TRUE, IF(I807:M807&gt;0, I$1:M$1, ""))</f>
        <v>Tech Application, Organisational View</v>
      </c>
      <c r="I807">
        <v>0</v>
      </c>
      <c r="J807">
        <v>1</v>
      </c>
      <c r="K807">
        <v>0</v>
      </c>
      <c r="L807">
        <v>1</v>
      </c>
      <c r="M807">
        <v>0</v>
      </c>
      <c r="N807">
        <v>0</v>
      </c>
    </row>
    <row r="808" spans="1:14" x14ac:dyDescent="0.35">
      <c r="A808" t="s">
        <v>6</v>
      </c>
      <c r="B808" t="s">
        <v>1713</v>
      </c>
      <c r="D808" t="s">
        <v>1714</v>
      </c>
      <c r="E808" t="s">
        <v>230</v>
      </c>
      <c r="F808" t="s">
        <v>51</v>
      </c>
      <c r="H808" t="str" cm="1">
        <f t="array" ref="H808">_xlfn.TEXTJOIN(", ", TRUE, IF(I808:M808&gt;0, I$1:M$1, ""))</f>
        <v>Tech Application</v>
      </c>
      <c r="I808">
        <v>0</v>
      </c>
      <c r="J808">
        <v>2</v>
      </c>
      <c r="K808">
        <v>0</v>
      </c>
      <c r="L808">
        <v>0</v>
      </c>
      <c r="M808">
        <v>0</v>
      </c>
      <c r="N808">
        <v>0</v>
      </c>
    </row>
    <row r="809" spans="1:14" x14ac:dyDescent="0.35">
      <c r="A809" t="s">
        <v>6</v>
      </c>
      <c r="B809" t="s">
        <v>1715</v>
      </c>
      <c r="C809" t="s">
        <v>1548</v>
      </c>
      <c r="E809" t="s">
        <v>121</v>
      </c>
      <c r="F809" t="s">
        <v>51</v>
      </c>
      <c r="H809" t="str" cm="1">
        <f t="array" ref="H809">_xlfn.TEXTJOIN(", ", TRUE, IF(I809:M809&gt;0, I$1:M$1, ""))</f>
        <v>Tech Application, Semantic View</v>
      </c>
      <c r="I809">
        <v>0</v>
      </c>
      <c r="J809">
        <v>6</v>
      </c>
      <c r="K809">
        <v>0</v>
      </c>
      <c r="L809">
        <v>0</v>
      </c>
      <c r="M809">
        <v>9</v>
      </c>
      <c r="N809">
        <v>0</v>
      </c>
    </row>
    <row r="810" spans="1:14" x14ac:dyDescent="0.35">
      <c r="A810" t="s">
        <v>6</v>
      </c>
      <c r="B810" t="s">
        <v>1716</v>
      </c>
      <c r="E810" t="s">
        <v>62</v>
      </c>
      <c r="F810" t="s">
        <v>180</v>
      </c>
      <c r="H810" t="str" cm="1">
        <f t="array" ref="H810">_xlfn.TEXTJOIN(", ", TRUE, IF(I810:M810&gt;0, I$1:M$1, ""))</f>
        <v>Tech Application</v>
      </c>
      <c r="I810">
        <v>0</v>
      </c>
      <c r="J810">
        <v>2</v>
      </c>
      <c r="K810">
        <v>0</v>
      </c>
      <c r="L810">
        <v>0</v>
      </c>
      <c r="M810">
        <v>0</v>
      </c>
      <c r="N810">
        <v>0</v>
      </c>
    </row>
    <row r="811" spans="1:14" x14ac:dyDescent="0.35">
      <c r="A811" t="s">
        <v>6</v>
      </c>
      <c r="B811" t="s">
        <v>1717</v>
      </c>
      <c r="C811" t="s">
        <v>365</v>
      </c>
      <c r="D811" t="s">
        <v>366</v>
      </c>
      <c r="E811" t="s">
        <v>62</v>
      </c>
      <c r="F811" t="s">
        <v>1718</v>
      </c>
      <c r="H811" t="str" cm="1">
        <f t="array" ref="H811">_xlfn.TEXTJOIN(", ", TRUE, IF(I811:M811&gt;0, I$1:M$1, ""))</f>
        <v>Tech Infrastructure</v>
      </c>
      <c r="I811">
        <v>4</v>
      </c>
      <c r="J811">
        <v>0</v>
      </c>
      <c r="K811">
        <v>0</v>
      </c>
      <c r="L811">
        <v>0</v>
      </c>
      <c r="M811">
        <v>0</v>
      </c>
      <c r="N811">
        <v>0</v>
      </c>
    </row>
    <row r="812" spans="1:14" x14ac:dyDescent="0.35">
      <c r="A812" t="s">
        <v>10</v>
      </c>
      <c r="B812" t="s">
        <v>48</v>
      </c>
      <c r="D812" t="s">
        <v>49</v>
      </c>
      <c r="E812" t="s">
        <v>50</v>
      </c>
      <c r="F812" t="s">
        <v>51</v>
      </c>
      <c r="H812" t="str" cm="1">
        <f t="array" ref="H812">_xlfn.TEXTJOIN(", ", TRUE, IF(I812:M812&gt;0, I$1:M$1, ""))</f>
        <v>Tech Infrastructure</v>
      </c>
      <c r="I812">
        <v>1</v>
      </c>
      <c r="J812">
        <v>0</v>
      </c>
      <c r="K812">
        <v>0</v>
      </c>
      <c r="L812">
        <v>0</v>
      </c>
      <c r="M812">
        <v>0</v>
      </c>
      <c r="N812">
        <v>0</v>
      </c>
    </row>
    <row r="813" spans="1:14" x14ac:dyDescent="0.35">
      <c r="A813" t="s">
        <v>10</v>
      </c>
      <c r="B813" t="s">
        <v>120</v>
      </c>
      <c r="C813" t="s">
        <v>120</v>
      </c>
      <c r="E813" t="s">
        <v>121</v>
      </c>
      <c r="F813" t="s">
        <v>92</v>
      </c>
      <c r="H813" t="str" cm="1">
        <f t="array" ref="H813">_xlfn.TEXTJOIN(", ", TRUE, IF(I813:M813&gt;0, I$1:M$1, ""))</f>
        <v>Tech Application</v>
      </c>
      <c r="I813">
        <v>0</v>
      </c>
      <c r="J813">
        <v>2</v>
      </c>
      <c r="K813">
        <v>0</v>
      </c>
      <c r="L813">
        <v>0</v>
      </c>
      <c r="M813">
        <v>0</v>
      </c>
      <c r="N813">
        <v>2</v>
      </c>
    </row>
    <row r="814" spans="1:14" x14ac:dyDescent="0.35">
      <c r="A814" t="s">
        <v>10</v>
      </c>
      <c r="B814" t="s">
        <v>219</v>
      </c>
      <c r="E814" t="s">
        <v>220</v>
      </c>
      <c r="F814" t="s">
        <v>51</v>
      </c>
      <c r="H814" t="str" cm="1">
        <f t="array" ref="H814">_xlfn.TEXTJOIN(", ", TRUE, IF(I814:M814&gt;0, I$1:M$1, ""))</f>
        <v>Semantic View</v>
      </c>
      <c r="I814">
        <v>0</v>
      </c>
      <c r="J814">
        <v>0</v>
      </c>
      <c r="K814">
        <v>0</v>
      </c>
      <c r="L814">
        <v>0</v>
      </c>
      <c r="M814">
        <v>2</v>
      </c>
      <c r="N814">
        <v>0</v>
      </c>
    </row>
    <row r="815" spans="1:14" x14ac:dyDescent="0.35">
      <c r="A815" t="s">
        <v>10</v>
      </c>
      <c r="B815" t="s">
        <v>242</v>
      </c>
      <c r="D815" t="s">
        <v>243</v>
      </c>
      <c r="E815" t="s">
        <v>244</v>
      </c>
      <c r="F815" t="s">
        <v>55</v>
      </c>
      <c r="H815" t="str" cm="1">
        <f t="array" ref="H815">_xlfn.TEXTJOIN(", ", TRUE, IF(I815:M815&gt;0, I$1:M$1, ""))</f>
        <v>Organisational View</v>
      </c>
      <c r="I815">
        <v>0</v>
      </c>
      <c r="J815">
        <v>0</v>
      </c>
      <c r="K815">
        <v>0</v>
      </c>
      <c r="L815">
        <v>1</v>
      </c>
      <c r="M815">
        <v>0</v>
      </c>
      <c r="N815">
        <v>1</v>
      </c>
    </row>
    <row r="816" spans="1:14" x14ac:dyDescent="0.35">
      <c r="A816" t="s">
        <v>10</v>
      </c>
      <c r="B816" t="s">
        <v>284</v>
      </c>
      <c r="E816" t="s">
        <v>62</v>
      </c>
      <c r="F816" t="s">
        <v>285</v>
      </c>
      <c r="H816" t="str" cm="1">
        <f t="array" ref="H816">_xlfn.TEXTJOIN(", ", TRUE, IF(I816:M816&gt;0, I$1:M$1, ""))</f>
        <v/>
      </c>
      <c r="I816">
        <v>0</v>
      </c>
      <c r="J816">
        <v>0</v>
      </c>
      <c r="K816">
        <v>0</v>
      </c>
      <c r="L816">
        <v>0</v>
      </c>
      <c r="M816">
        <v>0</v>
      </c>
      <c r="N816">
        <v>0</v>
      </c>
    </row>
    <row r="817" spans="1:14" x14ac:dyDescent="0.35">
      <c r="A817" t="s">
        <v>10</v>
      </c>
      <c r="B817" t="s">
        <v>312</v>
      </c>
      <c r="C817" t="s">
        <v>313</v>
      </c>
      <c r="E817" t="s">
        <v>230</v>
      </c>
      <c r="F817" t="s">
        <v>314</v>
      </c>
      <c r="H817" t="str" cm="1">
        <f t="array" ref="H817">_xlfn.TEXTJOIN(", ", TRUE, IF(I817:M817&gt;0, I$1:M$1, ""))</f>
        <v/>
      </c>
      <c r="I817">
        <v>0</v>
      </c>
      <c r="J817">
        <v>0</v>
      </c>
      <c r="K817">
        <v>0</v>
      </c>
      <c r="L817">
        <v>0</v>
      </c>
      <c r="M817">
        <v>0</v>
      </c>
      <c r="N817">
        <v>0</v>
      </c>
    </row>
    <row r="818" spans="1:14" x14ac:dyDescent="0.35">
      <c r="A818" t="s">
        <v>10</v>
      </c>
      <c r="B818" t="s">
        <v>339</v>
      </c>
      <c r="C818" t="s">
        <v>340</v>
      </c>
      <c r="E818" t="s">
        <v>230</v>
      </c>
      <c r="F818" t="s">
        <v>55</v>
      </c>
      <c r="H818" t="str" cm="1">
        <f t="array" ref="H818">_xlfn.TEXTJOIN(", ", TRUE, IF(I818:M818&gt;0, I$1:M$1, ""))</f>
        <v/>
      </c>
      <c r="I818">
        <v>0</v>
      </c>
      <c r="J818">
        <v>0</v>
      </c>
      <c r="K818">
        <v>0</v>
      </c>
      <c r="L818">
        <v>0</v>
      </c>
      <c r="M818">
        <v>0</v>
      </c>
      <c r="N818">
        <v>0</v>
      </c>
    </row>
    <row r="819" spans="1:14" x14ac:dyDescent="0.35">
      <c r="A819" t="s">
        <v>10</v>
      </c>
      <c r="B819" t="s">
        <v>405</v>
      </c>
      <c r="C819" t="s">
        <v>406</v>
      </c>
      <c r="E819" t="s">
        <v>121</v>
      </c>
      <c r="F819" t="s">
        <v>55</v>
      </c>
      <c r="H819" t="str" cm="1">
        <f t="array" ref="H819">_xlfn.TEXTJOIN(", ", TRUE, IF(I819:M819&gt;0, I$1:M$1, ""))</f>
        <v>Tech Application</v>
      </c>
      <c r="I819">
        <v>0</v>
      </c>
      <c r="J819">
        <v>2</v>
      </c>
      <c r="K819">
        <v>0</v>
      </c>
      <c r="L819">
        <v>0</v>
      </c>
      <c r="M819">
        <v>0</v>
      </c>
      <c r="N819">
        <v>0</v>
      </c>
    </row>
    <row r="820" spans="1:14" x14ac:dyDescent="0.35">
      <c r="A820" t="s">
        <v>10</v>
      </c>
      <c r="B820" t="s">
        <v>412</v>
      </c>
      <c r="C820" t="s">
        <v>129</v>
      </c>
      <c r="E820" t="s">
        <v>59</v>
      </c>
      <c r="F820" t="s">
        <v>206</v>
      </c>
      <c r="H820" t="str" cm="1">
        <f t="array" ref="H820">_xlfn.TEXTJOIN(", ", TRUE, IF(I820:M820&gt;0, I$1:M$1, ""))</f>
        <v>Tech Application</v>
      </c>
      <c r="I820">
        <v>0</v>
      </c>
      <c r="J820">
        <v>5</v>
      </c>
      <c r="K820">
        <v>0</v>
      </c>
      <c r="L820">
        <v>0</v>
      </c>
      <c r="M820">
        <v>0</v>
      </c>
      <c r="N820">
        <v>1</v>
      </c>
    </row>
    <row r="821" spans="1:14" x14ac:dyDescent="0.35">
      <c r="A821" t="s">
        <v>10</v>
      </c>
      <c r="B821" t="s">
        <v>520</v>
      </c>
      <c r="C821" t="s">
        <v>521</v>
      </c>
      <c r="D821" t="s">
        <v>522</v>
      </c>
      <c r="E821" t="s">
        <v>50</v>
      </c>
      <c r="F821" t="s">
        <v>111</v>
      </c>
      <c r="H821" t="str" cm="1">
        <f t="array" ref="H821">_xlfn.TEXTJOIN(", ", TRUE, IF(I821:M821&gt;0, I$1:M$1, ""))</f>
        <v>Semantic View</v>
      </c>
      <c r="I821">
        <v>0</v>
      </c>
      <c r="J821">
        <v>0</v>
      </c>
      <c r="K821">
        <v>0</v>
      </c>
      <c r="L821">
        <v>0</v>
      </c>
      <c r="M821">
        <v>2</v>
      </c>
      <c r="N821">
        <v>2</v>
      </c>
    </row>
    <row r="822" spans="1:14" x14ac:dyDescent="0.35">
      <c r="A822" t="s">
        <v>10</v>
      </c>
      <c r="B822" t="s">
        <v>573</v>
      </c>
      <c r="D822" t="s">
        <v>574</v>
      </c>
      <c r="E822" t="s">
        <v>59</v>
      </c>
      <c r="F822" t="s">
        <v>575</v>
      </c>
      <c r="H822" t="str" cm="1">
        <f t="array" ref="H822">_xlfn.TEXTJOIN(", ", TRUE, IF(I822:M822&gt;0, I$1:M$1, ""))</f>
        <v>Tech Application</v>
      </c>
      <c r="I822">
        <v>0</v>
      </c>
      <c r="J822">
        <v>4</v>
      </c>
      <c r="K822">
        <v>0</v>
      </c>
      <c r="L822">
        <v>0</v>
      </c>
      <c r="M822">
        <v>0</v>
      </c>
      <c r="N822">
        <v>0</v>
      </c>
    </row>
    <row r="823" spans="1:14" x14ac:dyDescent="0.35">
      <c r="A823" t="s">
        <v>10</v>
      </c>
      <c r="B823" t="s">
        <v>632</v>
      </c>
      <c r="C823" t="s">
        <v>633</v>
      </c>
      <c r="E823" t="s">
        <v>592</v>
      </c>
      <c r="F823" t="s">
        <v>92</v>
      </c>
      <c r="H823" t="str" cm="1">
        <f t="array" ref="H823">_xlfn.TEXTJOIN(", ", TRUE, IF(I823:M823&gt;0, I$1:M$1, ""))</f>
        <v>Tech Application, Semantic View</v>
      </c>
      <c r="I823">
        <v>0</v>
      </c>
      <c r="J823">
        <v>2</v>
      </c>
      <c r="K823">
        <v>0</v>
      </c>
      <c r="L823">
        <v>0</v>
      </c>
      <c r="M823">
        <v>1</v>
      </c>
      <c r="N823">
        <v>0</v>
      </c>
    </row>
    <row r="824" spans="1:14" x14ac:dyDescent="0.35">
      <c r="A824" t="s">
        <v>10</v>
      </c>
      <c r="B824" t="s">
        <v>652</v>
      </c>
      <c r="D824" t="s">
        <v>653</v>
      </c>
      <c r="E824" t="s">
        <v>230</v>
      </c>
      <c r="F824" t="s">
        <v>51</v>
      </c>
      <c r="H824" t="str" cm="1">
        <f t="array" ref="H824">_xlfn.TEXTJOIN(", ", TRUE, IF(I824:M824&gt;0, I$1:M$1, ""))</f>
        <v>Organisational View</v>
      </c>
      <c r="I824">
        <v>0</v>
      </c>
      <c r="J824">
        <v>0</v>
      </c>
      <c r="K824">
        <v>0</v>
      </c>
      <c r="L824">
        <v>2</v>
      </c>
      <c r="M824">
        <v>0</v>
      </c>
      <c r="N824">
        <v>1</v>
      </c>
    </row>
    <row r="825" spans="1:14" x14ac:dyDescent="0.35">
      <c r="A825" t="s">
        <v>10</v>
      </c>
      <c r="B825" t="s">
        <v>679</v>
      </c>
      <c r="D825" t="s">
        <v>679</v>
      </c>
      <c r="E825" t="s">
        <v>59</v>
      </c>
      <c r="F825" t="s">
        <v>55</v>
      </c>
      <c r="H825" t="str" cm="1">
        <f t="array" ref="H825">_xlfn.TEXTJOIN(", ", TRUE, IF(I825:M825&gt;0, I$1:M$1, ""))</f>
        <v>Tech Application, Semantic View</v>
      </c>
      <c r="I825">
        <v>0</v>
      </c>
      <c r="J825">
        <v>2</v>
      </c>
      <c r="K825">
        <v>0</v>
      </c>
      <c r="L825">
        <v>0</v>
      </c>
      <c r="M825">
        <v>5</v>
      </c>
      <c r="N825">
        <v>0</v>
      </c>
    </row>
    <row r="826" spans="1:14" x14ac:dyDescent="0.35">
      <c r="A826" t="s">
        <v>10</v>
      </c>
      <c r="B826" t="s">
        <v>698</v>
      </c>
      <c r="D826" t="s">
        <v>699</v>
      </c>
      <c r="E826" t="s">
        <v>230</v>
      </c>
      <c r="F826" t="s">
        <v>535</v>
      </c>
      <c r="H826" t="str" cm="1">
        <f t="array" ref="H826">_xlfn.TEXTJOIN(", ", TRUE, IF(I826:M826&gt;0, I$1:M$1, ""))</f>
        <v/>
      </c>
      <c r="I826">
        <v>0</v>
      </c>
      <c r="J826">
        <v>0</v>
      </c>
      <c r="K826">
        <v>0</v>
      </c>
      <c r="L826">
        <v>0</v>
      </c>
      <c r="M826">
        <v>0</v>
      </c>
      <c r="N826">
        <v>0</v>
      </c>
    </row>
    <row r="827" spans="1:14" x14ac:dyDescent="0.35">
      <c r="A827" t="s">
        <v>10</v>
      </c>
      <c r="B827" t="s">
        <v>724</v>
      </c>
      <c r="C827" t="s">
        <v>725</v>
      </c>
      <c r="E827" t="s">
        <v>230</v>
      </c>
      <c r="F827" t="s">
        <v>51</v>
      </c>
      <c r="H827" t="str" cm="1">
        <f t="array" ref="H827">_xlfn.TEXTJOIN(", ", TRUE, IF(I827:M827&gt;0, I$1:M$1, ""))</f>
        <v>Tech Application</v>
      </c>
      <c r="I827">
        <v>0</v>
      </c>
      <c r="J827">
        <v>2</v>
      </c>
      <c r="K827">
        <v>0</v>
      </c>
      <c r="L827">
        <v>0</v>
      </c>
      <c r="M827">
        <v>0</v>
      </c>
      <c r="N827">
        <v>0</v>
      </c>
    </row>
    <row r="828" spans="1:14" x14ac:dyDescent="0.35">
      <c r="A828" t="s">
        <v>10</v>
      </c>
      <c r="B828" t="s">
        <v>783</v>
      </c>
      <c r="E828" t="s">
        <v>784</v>
      </c>
      <c r="F828" t="s">
        <v>785</v>
      </c>
      <c r="H828" t="str" cm="1">
        <f t="array" ref="H828">_xlfn.TEXTJOIN(", ", TRUE, IF(I828:M828&gt;0, I$1:M$1, ""))</f>
        <v>Semantic View</v>
      </c>
      <c r="I828">
        <v>0</v>
      </c>
      <c r="J828">
        <v>0</v>
      </c>
      <c r="K828">
        <v>0</v>
      </c>
      <c r="L828">
        <v>0</v>
      </c>
      <c r="M828">
        <v>8</v>
      </c>
      <c r="N828">
        <v>0</v>
      </c>
    </row>
    <row r="829" spans="1:14" x14ac:dyDescent="0.35">
      <c r="A829" t="s">
        <v>10</v>
      </c>
      <c r="B829" t="s">
        <v>818</v>
      </c>
      <c r="C829" t="s">
        <v>819</v>
      </c>
      <c r="E829" t="s">
        <v>50</v>
      </c>
      <c r="F829" t="s">
        <v>51</v>
      </c>
      <c r="H829" t="str" cm="1">
        <f t="array" ref="H829">_xlfn.TEXTJOIN(", ", TRUE, IF(I829:M829&gt;0, I$1:M$1, ""))</f>
        <v>Tech Infrastructure</v>
      </c>
      <c r="I829">
        <v>1</v>
      </c>
      <c r="J829">
        <v>0</v>
      </c>
      <c r="K829">
        <v>0</v>
      </c>
      <c r="L829">
        <v>0</v>
      </c>
      <c r="M829">
        <v>0</v>
      </c>
      <c r="N829">
        <v>0</v>
      </c>
    </row>
    <row r="830" spans="1:14" x14ac:dyDescent="0.35">
      <c r="A830" t="s">
        <v>10</v>
      </c>
      <c r="B830" t="s">
        <v>965</v>
      </c>
      <c r="C830" t="s">
        <v>912</v>
      </c>
      <c r="D830" t="s">
        <v>966</v>
      </c>
      <c r="E830" t="s">
        <v>230</v>
      </c>
      <c r="F830" t="s">
        <v>51</v>
      </c>
      <c r="H830" t="str" cm="1">
        <f t="array" ref="H830">_xlfn.TEXTJOIN(", ", TRUE, IF(I830:M830&gt;0, I$1:M$1, ""))</f>
        <v/>
      </c>
      <c r="I830">
        <v>0</v>
      </c>
      <c r="J830">
        <v>0</v>
      </c>
      <c r="K830">
        <v>0</v>
      </c>
      <c r="L830">
        <v>0</v>
      </c>
      <c r="M830">
        <v>0</v>
      </c>
      <c r="N830">
        <v>0</v>
      </c>
    </row>
    <row r="831" spans="1:14" x14ac:dyDescent="0.35">
      <c r="A831" t="s">
        <v>10</v>
      </c>
      <c r="B831" t="s">
        <v>986</v>
      </c>
      <c r="D831" t="s">
        <v>987</v>
      </c>
      <c r="E831" t="s">
        <v>336</v>
      </c>
      <c r="F831" t="s">
        <v>55</v>
      </c>
      <c r="H831" t="str" cm="1">
        <f t="array" ref="H831">_xlfn.TEXTJOIN(", ", TRUE, IF(I831:M831&gt;0, I$1:M$1, ""))</f>
        <v>Tech Application</v>
      </c>
      <c r="I831">
        <v>0</v>
      </c>
      <c r="J831">
        <v>2</v>
      </c>
      <c r="K831">
        <v>0</v>
      </c>
      <c r="L831">
        <v>0</v>
      </c>
      <c r="M831">
        <v>0</v>
      </c>
      <c r="N831">
        <v>0</v>
      </c>
    </row>
    <row r="832" spans="1:14" x14ac:dyDescent="0.35">
      <c r="A832" t="s">
        <v>10</v>
      </c>
      <c r="B832" t="s">
        <v>1005</v>
      </c>
      <c r="E832" t="s">
        <v>50</v>
      </c>
      <c r="F832" t="s">
        <v>55</v>
      </c>
      <c r="H832" t="str" cm="1">
        <f t="array" ref="H832">_xlfn.TEXTJOIN(", ", TRUE, IF(I832:M832&gt;0, I$1:M$1, ""))</f>
        <v>Tech Application</v>
      </c>
      <c r="I832">
        <v>0</v>
      </c>
      <c r="J832">
        <v>1</v>
      </c>
      <c r="K832">
        <v>0</v>
      </c>
      <c r="L832">
        <v>0</v>
      </c>
      <c r="M832">
        <v>0</v>
      </c>
      <c r="N832">
        <v>0</v>
      </c>
    </row>
    <row r="833" spans="1:14" x14ac:dyDescent="0.35">
      <c r="A833" t="s">
        <v>10</v>
      </c>
      <c r="B833" t="s">
        <v>1006</v>
      </c>
      <c r="C833" t="s">
        <v>129</v>
      </c>
      <c r="D833" t="s">
        <v>1007</v>
      </c>
      <c r="E833" t="s">
        <v>230</v>
      </c>
      <c r="F833" t="s">
        <v>535</v>
      </c>
      <c r="H833" t="str" cm="1">
        <f t="array" ref="H833">_xlfn.TEXTJOIN(", ", TRUE, IF(I833:M833&gt;0, I$1:M$1, ""))</f>
        <v/>
      </c>
      <c r="I833">
        <v>0</v>
      </c>
      <c r="J833">
        <v>0</v>
      </c>
      <c r="K833">
        <v>0</v>
      </c>
      <c r="L833">
        <v>0</v>
      </c>
      <c r="M833">
        <v>0</v>
      </c>
      <c r="N833">
        <v>0</v>
      </c>
    </row>
    <row r="834" spans="1:14" x14ac:dyDescent="0.35">
      <c r="A834" t="s">
        <v>10</v>
      </c>
      <c r="B834" t="s">
        <v>1022</v>
      </c>
      <c r="E834" t="s">
        <v>733</v>
      </c>
      <c r="F834" t="s">
        <v>276</v>
      </c>
      <c r="H834" t="str" cm="1">
        <f t="array" ref="H834">_xlfn.TEXTJOIN(", ", TRUE, IF(I834:M834&gt;0, I$1:M$1, ""))</f>
        <v>Semantic View</v>
      </c>
      <c r="I834">
        <v>0</v>
      </c>
      <c r="J834">
        <v>0</v>
      </c>
      <c r="K834">
        <v>0</v>
      </c>
      <c r="L834">
        <v>0</v>
      </c>
      <c r="M834">
        <v>2</v>
      </c>
      <c r="N834">
        <v>0</v>
      </c>
    </row>
    <row r="835" spans="1:14" x14ac:dyDescent="0.35">
      <c r="A835" t="s">
        <v>10</v>
      </c>
      <c r="B835" t="s">
        <v>1033</v>
      </c>
      <c r="C835" t="s">
        <v>1034</v>
      </c>
      <c r="D835" t="s">
        <v>1035</v>
      </c>
      <c r="E835" t="s">
        <v>222</v>
      </c>
      <c r="F835" t="s">
        <v>276</v>
      </c>
      <c r="H835" t="str" cm="1">
        <f t="array" ref="H835">_xlfn.TEXTJOIN(", ", TRUE, IF(I835:M835&gt;0, I$1:M$1, ""))</f>
        <v>Organisational View</v>
      </c>
      <c r="I835">
        <v>0</v>
      </c>
      <c r="J835">
        <v>0</v>
      </c>
      <c r="K835">
        <v>0</v>
      </c>
      <c r="L835">
        <v>1</v>
      </c>
      <c r="M835">
        <v>0</v>
      </c>
      <c r="N835">
        <v>1</v>
      </c>
    </row>
    <row r="836" spans="1:14" x14ac:dyDescent="0.35">
      <c r="A836" t="s">
        <v>10</v>
      </c>
      <c r="B836" t="s">
        <v>1118</v>
      </c>
      <c r="C836" t="s">
        <v>1119</v>
      </c>
      <c r="D836" t="s">
        <v>1120</v>
      </c>
      <c r="E836" t="s">
        <v>230</v>
      </c>
      <c r="F836" t="s">
        <v>55</v>
      </c>
      <c r="H836" t="str" cm="1">
        <f t="array" ref="H836">_xlfn.TEXTJOIN(", ", TRUE, IF(I836:M836&gt;0, I$1:M$1, ""))</f>
        <v/>
      </c>
      <c r="I836">
        <v>0</v>
      </c>
      <c r="J836">
        <v>0</v>
      </c>
      <c r="K836">
        <v>0</v>
      </c>
      <c r="L836">
        <v>0</v>
      </c>
      <c r="M836">
        <v>0</v>
      </c>
      <c r="N836">
        <v>0</v>
      </c>
    </row>
    <row r="837" spans="1:14" x14ac:dyDescent="0.35">
      <c r="A837" t="s">
        <v>10</v>
      </c>
      <c r="B837" t="s">
        <v>1251</v>
      </c>
      <c r="E837" t="s">
        <v>96</v>
      </c>
      <c r="F837" t="s">
        <v>55</v>
      </c>
      <c r="H837" t="str" cm="1">
        <f t="array" ref="H837">_xlfn.TEXTJOIN(", ", TRUE, IF(I837:M837&gt;0, I$1:M$1, ""))</f>
        <v>Legal View</v>
      </c>
      <c r="I837">
        <v>0</v>
      </c>
      <c r="J837">
        <v>0</v>
      </c>
      <c r="K837">
        <v>5</v>
      </c>
      <c r="L837">
        <v>0</v>
      </c>
      <c r="M837">
        <v>0</v>
      </c>
      <c r="N837">
        <v>1</v>
      </c>
    </row>
    <row r="838" spans="1:14" x14ac:dyDescent="0.35">
      <c r="A838" t="s">
        <v>10</v>
      </c>
      <c r="B838" t="s">
        <v>1292</v>
      </c>
      <c r="E838" t="s">
        <v>733</v>
      </c>
      <c r="F838" t="s">
        <v>92</v>
      </c>
      <c r="H838" t="str" cm="1">
        <f t="array" ref="H838">_xlfn.TEXTJOIN(", ", TRUE, IF(I838:M838&gt;0, I$1:M$1, ""))</f>
        <v>Semantic View</v>
      </c>
      <c r="I838">
        <v>0</v>
      </c>
      <c r="J838">
        <v>0</v>
      </c>
      <c r="K838">
        <v>0</v>
      </c>
      <c r="L838">
        <v>0</v>
      </c>
      <c r="M838">
        <v>2</v>
      </c>
      <c r="N838">
        <v>0</v>
      </c>
    </row>
    <row r="839" spans="1:14" x14ac:dyDescent="0.35">
      <c r="A839" t="s">
        <v>10</v>
      </c>
      <c r="B839" t="s">
        <v>1294</v>
      </c>
      <c r="C839" t="s">
        <v>912</v>
      </c>
      <c r="E839" t="s">
        <v>59</v>
      </c>
      <c r="F839" t="s">
        <v>206</v>
      </c>
      <c r="H839" t="str" cm="1">
        <f t="array" ref="H839">_xlfn.TEXTJOIN(", ", TRUE, IF(I839:M839&gt;0, I$1:M$1, ""))</f>
        <v>Tech Application</v>
      </c>
      <c r="I839">
        <v>0</v>
      </c>
      <c r="J839">
        <v>5</v>
      </c>
      <c r="K839">
        <v>0</v>
      </c>
      <c r="L839">
        <v>0</v>
      </c>
      <c r="M839">
        <v>0</v>
      </c>
      <c r="N839">
        <v>1</v>
      </c>
    </row>
    <row r="840" spans="1:14" x14ac:dyDescent="0.35">
      <c r="A840" t="s">
        <v>10</v>
      </c>
      <c r="B840" t="s">
        <v>1301</v>
      </c>
      <c r="C840" t="s">
        <v>1302</v>
      </c>
      <c r="E840" t="s">
        <v>121</v>
      </c>
      <c r="F840" t="s">
        <v>111</v>
      </c>
      <c r="H840" t="str" cm="1">
        <f t="array" ref="H840">_xlfn.TEXTJOIN(", ", TRUE, IF(I840:M840&gt;0, I$1:M$1, ""))</f>
        <v>Semantic View</v>
      </c>
      <c r="I840">
        <v>0</v>
      </c>
      <c r="J840">
        <v>0</v>
      </c>
      <c r="K840">
        <v>0</v>
      </c>
      <c r="L840">
        <v>0</v>
      </c>
      <c r="M840">
        <v>1</v>
      </c>
      <c r="N840">
        <v>1</v>
      </c>
    </row>
    <row r="841" spans="1:14" x14ac:dyDescent="0.35">
      <c r="A841" t="s">
        <v>10</v>
      </c>
      <c r="B841" t="s">
        <v>1303</v>
      </c>
      <c r="C841" t="s">
        <v>1304</v>
      </c>
      <c r="E841" t="s">
        <v>864</v>
      </c>
      <c r="F841" t="s">
        <v>773</v>
      </c>
      <c r="H841" t="str" cm="1">
        <f t="array" ref="H841">_xlfn.TEXTJOIN(", ", TRUE, IF(I841:M841&gt;0, I$1:M$1, ""))</f>
        <v>Semantic View</v>
      </c>
      <c r="I841">
        <v>0</v>
      </c>
      <c r="J841">
        <v>0</v>
      </c>
      <c r="K841">
        <v>0</v>
      </c>
      <c r="L841">
        <v>0</v>
      </c>
      <c r="M841">
        <v>2</v>
      </c>
      <c r="N841">
        <v>0</v>
      </c>
    </row>
    <row r="842" spans="1:14" x14ac:dyDescent="0.35">
      <c r="A842" t="s">
        <v>10</v>
      </c>
      <c r="B842" t="s">
        <v>1357</v>
      </c>
      <c r="D842" t="s">
        <v>1358</v>
      </c>
      <c r="E842" t="s">
        <v>230</v>
      </c>
      <c r="F842" t="s">
        <v>55</v>
      </c>
      <c r="H842" t="str" cm="1">
        <f t="array" ref="H842">_xlfn.TEXTJOIN(", ", TRUE, IF(I842:M842&gt;0, I$1:M$1, ""))</f>
        <v>Tech Application</v>
      </c>
      <c r="I842">
        <v>0</v>
      </c>
      <c r="J842">
        <v>2</v>
      </c>
      <c r="K842">
        <v>0</v>
      </c>
      <c r="L842">
        <v>0</v>
      </c>
      <c r="M842">
        <v>0</v>
      </c>
      <c r="N842">
        <v>0</v>
      </c>
    </row>
    <row r="843" spans="1:14" x14ac:dyDescent="0.35">
      <c r="A843" t="s">
        <v>10</v>
      </c>
      <c r="B843" t="s">
        <v>1446</v>
      </c>
      <c r="C843" t="s">
        <v>1447</v>
      </c>
      <c r="E843" t="s">
        <v>1448</v>
      </c>
      <c r="F843" t="s">
        <v>55</v>
      </c>
      <c r="H843" t="str" cm="1">
        <f t="array" ref="H843">_xlfn.TEXTJOIN(", ", TRUE, IF(I843:M843&gt;0, I$1:M$1, ""))</f>
        <v>Semantic View</v>
      </c>
      <c r="I843">
        <v>0</v>
      </c>
      <c r="J843">
        <v>0</v>
      </c>
      <c r="K843">
        <v>0</v>
      </c>
      <c r="L843">
        <v>0</v>
      </c>
      <c r="M843">
        <v>2</v>
      </c>
      <c r="N843">
        <v>0</v>
      </c>
    </row>
    <row r="844" spans="1:14" x14ac:dyDescent="0.35">
      <c r="A844" t="s">
        <v>10</v>
      </c>
      <c r="B844" t="s">
        <v>1451</v>
      </c>
      <c r="D844" t="s">
        <v>1452</v>
      </c>
      <c r="E844" t="s">
        <v>230</v>
      </c>
      <c r="F844" t="s">
        <v>92</v>
      </c>
      <c r="H844" t="str" cm="1">
        <f t="array" ref="H844">_xlfn.TEXTJOIN(", ", TRUE, IF(I844:M844&gt;0, I$1:M$1, ""))</f>
        <v>Tech Application</v>
      </c>
      <c r="I844">
        <v>0</v>
      </c>
      <c r="J844">
        <v>1</v>
      </c>
      <c r="K844">
        <v>0</v>
      </c>
      <c r="L844">
        <v>0</v>
      </c>
      <c r="M844">
        <v>0</v>
      </c>
      <c r="N844">
        <v>0</v>
      </c>
    </row>
    <row r="845" spans="1:14" x14ac:dyDescent="0.35">
      <c r="A845" t="s">
        <v>10</v>
      </c>
      <c r="B845" t="s">
        <v>1471</v>
      </c>
      <c r="C845" t="s">
        <v>662</v>
      </c>
      <c r="D845" t="s">
        <v>1472</v>
      </c>
      <c r="E845" t="s">
        <v>230</v>
      </c>
      <c r="F845" t="s">
        <v>55</v>
      </c>
      <c r="H845" t="str" cm="1">
        <f t="array" ref="H845">_xlfn.TEXTJOIN(", ", TRUE, IF(I845:M845&gt;0, I$1:M$1, ""))</f>
        <v/>
      </c>
      <c r="I845">
        <v>0</v>
      </c>
      <c r="J845">
        <v>0</v>
      </c>
      <c r="K845">
        <v>0</v>
      </c>
      <c r="L845">
        <v>0</v>
      </c>
      <c r="M845">
        <v>0</v>
      </c>
      <c r="N845">
        <v>0</v>
      </c>
    </row>
    <row r="846" spans="1:14" x14ac:dyDescent="0.35">
      <c r="A846" t="s">
        <v>10</v>
      </c>
      <c r="B846" t="s">
        <v>1517</v>
      </c>
      <c r="D846" t="s">
        <v>1518</v>
      </c>
      <c r="E846" t="s">
        <v>230</v>
      </c>
      <c r="F846" t="s">
        <v>92</v>
      </c>
      <c r="H846" t="str" cm="1">
        <f t="array" ref="H846">_xlfn.TEXTJOIN(", ", TRUE, IF(I846:M846&gt;0, I$1:M$1, ""))</f>
        <v>Tech Application</v>
      </c>
      <c r="I846">
        <v>0</v>
      </c>
      <c r="J846">
        <v>2</v>
      </c>
      <c r="K846">
        <v>0</v>
      </c>
      <c r="L846">
        <v>0</v>
      </c>
      <c r="M846">
        <v>0</v>
      </c>
      <c r="N846">
        <v>0</v>
      </c>
    </row>
    <row r="847" spans="1:14" x14ac:dyDescent="0.35">
      <c r="A847" t="s">
        <v>10</v>
      </c>
      <c r="B847" t="s">
        <v>1556</v>
      </c>
      <c r="C847" t="s">
        <v>1557</v>
      </c>
      <c r="E847" t="s">
        <v>230</v>
      </c>
      <c r="F847" t="s">
        <v>55</v>
      </c>
      <c r="H847" t="str" cm="1">
        <f t="array" ref="H847">_xlfn.TEXTJOIN(", ", TRUE, IF(I847:M847&gt;0, I$1:M$1, ""))</f>
        <v/>
      </c>
      <c r="I847">
        <v>0</v>
      </c>
      <c r="J847">
        <v>0</v>
      </c>
      <c r="K847">
        <v>0</v>
      </c>
      <c r="L847">
        <v>0</v>
      </c>
      <c r="M847">
        <v>0</v>
      </c>
      <c r="N847">
        <v>0</v>
      </c>
    </row>
    <row r="848" spans="1:14" x14ac:dyDescent="0.35">
      <c r="A848" t="s">
        <v>10</v>
      </c>
      <c r="B848" t="s">
        <v>1587</v>
      </c>
      <c r="D848" t="s">
        <v>1588</v>
      </c>
      <c r="E848" t="s">
        <v>393</v>
      </c>
      <c r="F848" t="s">
        <v>51</v>
      </c>
      <c r="H848" t="str" cm="1">
        <f t="array" ref="H848">_xlfn.TEXTJOIN(", ", TRUE, IF(I848:M848&gt;0, I$1:M$1, ""))</f>
        <v>Semantic View</v>
      </c>
      <c r="I848">
        <v>0</v>
      </c>
      <c r="J848">
        <v>0</v>
      </c>
      <c r="K848">
        <v>0</v>
      </c>
      <c r="L848">
        <v>0</v>
      </c>
      <c r="M848">
        <v>2</v>
      </c>
      <c r="N848">
        <v>1</v>
      </c>
    </row>
    <row r="849" spans="1:14" x14ac:dyDescent="0.35">
      <c r="A849" t="s">
        <v>10</v>
      </c>
      <c r="B849" t="s">
        <v>1589</v>
      </c>
      <c r="C849" t="s">
        <v>1589</v>
      </c>
      <c r="D849" t="s">
        <v>1590</v>
      </c>
      <c r="E849" t="s">
        <v>62</v>
      </c>
      <c r="F849" t="s">
        <v>1591</v>
      </c>
      <c r="H849" t="str" cm="1">
        <f t="array" ref="H849">_xlfn.TEXTJOIN(", ", TRUE, IF(I849:M849&gt;0, I$1:M$1, ""))</f>
        <v>Semantic View</v>
      </c>
      <c r="I849">
        <v>0</v>
      </c>
      <c r="J849">
        <v>0</v>
      </c>
      <c r="K849">
        <v>0</v>
      </c>
      <c r="L849">
        <v>0</v>
      </c>
      <c r="M849">
        <v>5</v>
      </c>
      <c r="N849">
        <v>0</v>
      </c>
    </row>
    <row r="850" spans="1:14" x14ac:dyDescent="0.35">
      <c r="A850" t="s">
        <v>10</v>
      </c>
      <c r="B850" t="s">
        <v>1607</v>
      </c>
      <c r="C850" t="s">
        <v>662</v>
      </c>
      <c r="E850" t="s">
        <v>59</v>
      </c>
      <c r="F850" t="s">
        <v>206</v>
      </c>
      <c r="H850" t="str" cm="1">
        <f t="array" ref="H850">_xlfn.TEXTJOIN(", ", TRUE, IF(I850:M850&gt;0, I$1:M$1, ""))</f>
        <v>Tech Application</v>
      </c>
      <c r="I850">
        <v>0</v>
      </c>
      <c r="J850">
        <v>5</v>
      </c>
      <c r="K850">
        <v>0</v>
      </c>
      <c r="L850">
        <v>0</v>
      </c>
      <c r="M850">
        <v>0</v>
      </c>
      <c r="N850">
        <v>1</v>
      </c>
    </row>
    <row r="851" spans="1:14" x14ac:dyDescent="0.35">
      <c r="A851" t="s">
        <v>10</v>
      </c>
      <c r="B851" t="s">
        <v>1616</v>
      </c>
      <c r="E851" t="s">
        <v>96</v>
      </c>
      <c r="F851" t="s">
        <v>55</v>
      </c>
      <c r="H851" t="str" cm="1">
        <f t="array" ref="H851">_xlfn.TEXTJOIN(", ", TRUE, IF(I851:M851&gt;0, I$1:M$1, ""))</f>
        <v>Legal View</v>
      </c>
      <c r="I851">
        <v>0</v>
      </c>
      <c r="J851">
        <v>0</v>
      </c>
      <c r="K851">
        <v>5</v>
      </c>
      <c r="L851">
        <v>0</v>
      </c>
      <c r="M851">
        <v>0</v>
      </c>
      <c r="N851">
        <v>1</v>
      </c>
    </row>
    <row r="852" spans="1:14" x14ac:dyDescent="0.35">
      <c r="A852" t="s">
        <v>10</v>
      </c>
      <c r="B852" t="s">
        <v>1617</v>
      </c>
      <c r="E852" t="s">
        <v>50</v>
      </c>
      <c r="F852" t="s">
        <v>55</v>
      </c>
      <c r="H852" t="str" cm="1">
        <f t="array" ref="H852">_xlfn.TEXTJOIN(", ", TRUE, IF(I852:M852&gt;0, I$1:M$1, ""))</f>
        <v>Tech Application</v>
      </c>
      <c r="I852">
        <v>0</v>
      </c>
      <c r="J852">
        <v>3</v>
      </c>
      <c r="K852">
        <v>0</v>
      </c>
      <c r="L852">
        <v>0</v>
      </c>
      <c r="M852">
        <v>0</v>
      </c>
      <c r="N852">
        <v>0</v>
      </c>
    </row>
    <row r="853" spans="1:14" x14ac:dyDescent="0.35">
      <c r="A853" t="s">
        <v>10</v>
      </c>
      <c r="B853" t="s">
        <v>1659</v>
      </c>
      <c r="E853" t="s">
        <v>121</v>
      </c>
      <c r="F853" t="s">
        <v>55</v>
      </c>
      <c r="H853" t="str" cm="1">
        <f t="array" ref="H853">_xlfn.TEXTJOIN(", ", TRUE, IF(I853:M853&gt;0, I$1:M$1, ""))</f>
        <v/>
      </c>
      <c r="I853">
        <v>0</v>
      </c>
      <c r="J853">
        <v>0</v>
      </c>
      <c r="K853">
        <v>0</v>
      </c>
      <c r="L853">
        <v>0</v>
      </c>
      <c r="M853">
        <v>0</v>
      </c>
      <c r="N853">
        <v>0</v>
      </c>
    </row>
    <row r="854" spans="1:14" x14ac:dyDescent="0.35">
      <c r="A854" t="s">
        <v>10</v>
      </c>
      <c r="B854" t="s">
        <v>1679</v>
      </c>
      <c r="C854" t="s">
        <v>1680</v>
      </c>
      <c r="E854" t="s">
        <v>230</v>
      </c>
      <c r="F854" t="s">
        <v>55</v>
      </c>
      <c r="H854" t="str" cm="1">
        <f t="array" ref="H854">_xlfn.TEXTJOIN(", ", TRUE, IF(I854:M854&gt;0, I$1:M$1, ""))</f>
        <v/>
      </c>
      <c r="I854">
        <v>0</v>
      </c>
      <c r="J854">
        <v>0</v>
      </c>
      <c r="K854">
        <v>0</v>
      </c>
      <c r="L854">
        <v>0</v>
      </c>
      <c r="M854">
        <v>0</v>
      </c>
      <c r="N854">
        <v>0</v>
      </c>
    </row>
    <row r="855" spans="1:14" x14ac:dyDescent="0.35">
      <c r="A855" t="s">
        <v>10</v>
      </c>
      <c r="B855" t="s">
        <v>1683</v>
      </c>
      <c r="C855" t="s">
        <v>1684</v>
      </c>
      <c r="E855" t="s">
        <v>230</v>
      </c>
      <c r="F855" t="s">
        <v>152</v>
      </c>
      <c r="H855" t="str" cm="1">
        <f t="array" ref="H855">_xlfn.TEXTJOIN(", ", TRUE, IF(I855:M855&gt;0, I$1:M$1, ""))</f>
        <v/>
      </c>
      <c r="I855">
        <v>0</v>
      </c>
      <c r="J855">
        <v>0</v>
      </c>
      <c r="K855">
        <v>0</v>
      </c>
      <c r="L855">
        <v>0</v>
      </c>
      <c r="M855">
        <v>0</v>
      </c>
      <c r="N855">
        <v>0</v>
      </c>
    </row>
    <row r="856" spans="1:14" x14ac:dyDescent="0.35">
      <c r="A856" t="s">
        <v>10</v>
      </c>
      <c r="B856" t="s">
        <v>1713</v>
      </c>
      <c r="D856" t="s">
        <v>1714</v>
      </c>
      <c r="E856" t="s">
        <v>230</v>
      </c>
      <c r="F856" t="s">
        <v>51</v>
      </c>
      <c r="H856" t="str" cm="1">
        <f t="array" ref="H856">_xlfn.TEXTJOIN(", ", TRUE, IF(I856:M856&gt;0, I$1:M$1, ""))</f>
        <v>Tech Application</v>
      </c>
      <c r="I856">
        <v>0</v>
      </c>
      <c r="J856">
        <v>2</v>
      </c>
      <c r="K856">
        <v>0</v>
      </c>
      <c r="L856">
        <v>0</v>
      </c>
      <c r="M856">
        <v>0</v>
      </c>
      <c r="N856">
        <v>0</v>
      </c>
    </row>
    <row r="857" spans="1:14" x14ac:dyDescent="0.35">
      <c r="A857" t="s">
        <v>9</v>
      </c>
      <c r="B857" t="s">
        <v>192</v>
      </c>
      <c r="C857" t="s">
        <v>193</v>
      </c>
      <c r="E857" t="s">
        <v>121</v>
      </c>
      <c r="F857" t="s">
        <v>55</v>
      </c>
      <c r="H857" t="str" cm="1">
        <f t="array" ref="H857">_xlfn.TEXTJOIN(", ", TRUE, IF(I857:M857&gt;0, I$1:M$1, ""))</f>
        <v>Semantic View</v>
      </c>
      <c r="I857">
        <v>0</v>
      </c>
      <c r="J857">
        <v>0</v>
      </c>
      <c r="K857">
        <v>0</v>
      </c>
      <c r="L857">
        <v>0</v>
      </c>
      <c r="M857">
        <v>8</v>
      </c>
      <c r="N857">
        <v>1</v>
      </c>
    </row>
    <row r="858" spans="1:14" x14ac:dyDescent="0.35">
      <c r="A858" t="s">
        <v>9</v>
      </c>
      <c r="B858" t="s">
        <v>517</v>
      </c>
      <c r="D858" t="s">
        <v>518</v>
      </c>
      <c r="E858" t="s">
        <v>230</v>
      </c>
      <c r="F858" t="s">
        <v>111</v>
      </c>
      <c r="H858" t="str" cm="1">
        <f t="array" ref="H858">_xlfn.TEXTJOIN(", ", TRUE, IF(I858:M858&gt;0, I$1:M$1, ""))</f>
        <v>Tech Infrastructure, Organisational View</v>
      </c>
      <c r="I858">
        <v>1</v>
      </c>
      <c r="J858">
        <v>0</v>
      </c>
      <c r="K858">
        <v>0</v>
      </c>
      <c r="L858">
        <v>2</v>
      </c>
      <c r="M858">
        <v>0</v>
      </c>
      <c r="N858">
        <v>0</v>
      </c>
    </row>
    <row r="859" spans="1:14" x14ac:dyDescent="0.35">
      <c r="A859" t="s">
        <v>9</v>
      </c>
      <c r="B859" t="s">
        <v>1070</v>
      </c>
      <c r="C859" t="s">
        <v>1070</v>
      </c>
      <c r="E859" t="s">
        <v>86</v>
      </c>
      <c r="F859" t="s">
        <v>92</v>
      </c>
      <c r="H859" t="str" cm="1">
        <f t="array" ref="H859">_xlfn.TEXTJOIN(", ", TRUE, IF(I859:M859&gt;0, I$1:M$1, ""))</f>
        <v>Tech Application, Semantic View</v>
      </c>
      <c r="I859">
        <v>0</v>
      </c>
      <c r="J859">
        <v>1</v>
      </c>
      <c r="K859">
        <v>0</v>
      </c>
      <c r="L859">
        <v>0</v>
      </c>
      <c r="M859">
        <v>1</v>
      </c>
      <c r="N859">
        <v>0</v>
      </c>
    </row>
    <row r="860" spans="1:14" x14ac:dyDescent="0.35">
      <c r="A860" t="s">
        <v>9</v>
      </c>
      <c r="B860" t="s">
        <v>1124</v>
      </c>
      <c r="E860" t="s">
        <v>99</v>
      </c>
      <c r="F860" t="s">
        <v>55</v>
      </c>
      <c r="H860" t="str" cm="1">
        <f t="array" ref="H860">_xlfn.TEXTJOIN(", ", TRUE, IF(I860:M860&gt;0, I$1:M$1, ""))</f>
        <v>Tech Infrastructure</v>
      </c>
      <c r="I860">
        <v>2</v>
      </c>
      <c r="J860">
        <v>0</v>
      </c>
      <c r="K860">
        <v>0</v>
      </c>
      <c r="L860">
        <v>0</v>
      </c>
      <c r="M860">
        <v>0</v>
      </c>
      <c r="N860">
        <v>0</v>
      </c>
    </row>
    <row r="861" spans="1:14" x14ac:dyDescent="0.35">
      <c r="A861" t="s">
        <v>9</v>
      </c>
      <c r="B861" t="s">
        <v>1250</v>
      </c>
      <c r="E861" t="s">
        <v>62</v>
      </c>
      <c r="F861" t="s">
        <v>55</v>
      </c>
      <c r="H861" t="str" cm="1">
        <f t="array" ref="H861">_xlfn.TEXTJOIN(", ", TRUE, IF(I861:M861&gt;0, I$1:M$1, ""))</f>
        <v>Tech Application</v>
      </c>
      <c r="I861">
        <v>0</v>
      </c>
      <c r="J861">
        <v>1</v>
      </c>
      <c r="K861">
        <v>0</v>
      </c>
      <c r="L861">
        <v>0</v>
      </c>
      <c r="M861">
        <v>0</v>
      </c>
      <c r="N861">
        <v>0</v>
      </c>
    </row>
    <row r="862" spans="1:14" x14ac:dyDescent="0.35">
      <c r="A862" t="s">
        <v>8</v>
      </c>
      <c r="B862" t="s">
        <v>407</v>
      </c>
      <c r="C862" t="s">
        <v>408</v>
      </c>
      <c r="E862" t="s">
        <v>62</v>
      </c>
      <c r="F862" t="s">
        <v>409</v>
      </c>
      <c r="H862" t="str" cm="1">
        <f t="array" ref="H862">_xlfn.TEXTJOIN(", ", TRUE, IF(I862:M862&gt;0, I$1:M$1, ""))</f>
        <v>Tech Application, Organisational View, Semantic View</v>
      </c>
      <c r="I862">
        <v>0</v>
      </c>
      <c r="J862">
        <v>3</v>
      </c>
      <c r="K862">
        <v>0</v>
      </c>
      <c r="L862">
        <v>1</v>
      </c>
      <c r="M862">
        <v>14</v>
      </c>
      <c r="N862">
        <v>0</v>
      </c>
    </row>
    <row r="863" spans="1:14" x14ac:dyDescent="0.35">
      <c r="A863" t="s">
        <v>8</v>
      </c>
      <c r="B863" t="s">
        <v>839</v>
      </c>
      <c r="E863" t="s">
        <v>840</v>
      </c>
      <c r="F863" t="s">
        <v>55</v>
      </c>
      <c r="H863" t="str" cm="1">
        <f t="array" ref="H863">_xlfn.TEXTJOIN(", ", TRUE, IF(I863:M863&gt;0, I$1:M$1, ""))</f>
        <v>Tech Application</v>
      </c>
      <c r="I863">
        <v>0</v>
      </c>
      <c r="J863">
        <v>3</v>
      </c>
      <c r="K863">
        <v>0</v>
      </c>
      <c r="L863">
        <v>0</v>
      </c>
      <c r="M863">
        <v>0</v>
      </c>
      <c r="N863">
        <v>0</v>
      </c>
    </row>
    <row r="864" spans="1:14" x14ac:dyDescent="0.35">
      <c r="A864" t="s">
        <v>8</v>
      </c>
      <c r="B864" t="s">
        <v>982</v>
      </c>
      <c r="C864" t="s">
        <v>983</v>
      </c>
      <c r="E864" t="s">
        <v>62</v>
      </c>
      <c r="F864" t="s">
        <v>51</v>
      </c>
      <c r="H864" t="str" cm="1">
        <f t="array" ref="H864">_xlfn.TEXTJOIN(", ", TRUE, IF(I864:M864&gt;0, I$1:M$1, ""))</f>
        <v>Tech Application, Semantic View</v>
      </c>
      <c r="I864">
        <v>0</v>
      </c>
      <c r="J864">
        <v>4</v>
      </c>
      <c r="K864">
        <v>0</v>
      </c>
      <c r="L864">
        <v>0</v>
      </c>
      <c r="M864">
        <v>8</v>
      </c>
      <c r="N864">
        <v>2</v>
      </c>
    </row>
    <row r="865" spans="1:14" x14ac:dyDescent="0.35">
      <c r="A865" t="s">
        <v>8</v>
      </c>
      <c r="B865" t="s">
        <v>1465</v>
      </c>
      <c r="C865" t="s">
        <v>1466</v>
      </c>
      <c r="E865" t="s">
        <v>62</v>
      </c>
      <c r="F865" t="s">
        <v>55</v>
      </c>
      <c r="H865" t="str" cm="1">
        <f t="array" ref="H865">_xlfn.TEXTJOIN(", ", TRUE, IF(I865:M865&gt;0, I$1:M$1, ""))</f>
        <v>Semantic View</v>
      </c>
      <c r="I865">
        <v>0</v>
      </c>
      <c r="J865">
        <v>0</v>
      </c>
      <c r="K865">
        <v>0</v>
      </c>
      <c r="L865">
        <v>0</v>
      </c>
      <c r="M865">
        <v>7</v>
      </c>
      <c r="N865">
        <v>2</v>
      </c>
    </row>
    <row r="866" spans="1:14" x14ac:dyDescent="0.35">
      <c r="A866" t="s">
        <v>8</v>
      </c>
      <c r="B866" t="s">
        <v>1547</v>
      </c>
      <c r="C866" t="s">
        <v>1548</v>
      </c>
      <c r="E866" t="s">
        <v>121</v>
      </c>
      <c r="F866" t="s">
        <v>55</v>
      </c>
      <c r="H866" t="str" cm="1">
        <f t="array" ref="H866">_xlfn.TEXTJOIN(", ", TRUE, IF(I866:M866&gt;0, I$1:M$1, ""))</f>
        <v>Tech Application, Semantic View</v>
      </c>
      <c r="I866">
        <v>0</v>
      </c>
      <c r="J866">
        <v>6</v>
      </c>
      <c r="K866">
        <v>0</v>
      </c>
      <c r="L866">
        <v>0</v>
      </c>
      <c r="M866">
        <v>9</v>
      </c>
      <c r="N866">
        <v>2</v>
      </c>
    </row>
    <row r="867" spans="1:14" x14ac:dyDescent="0.35">
      <c r="A867" t="s">
        <v>8</v>
      </c>
      <c r="B867" t="s">
        <v>1631</v>
      </c>
      <c r="C867" t="s">
        <v>408</v>
      </c>
      <c r="E867" t="s">
        <v>62</v>
      </c>
      <c r="F867" t="s">
        <v>281</v>
      </c>
      <c r="H867" t="str" cm="1">
        <f t="array" ref="H867">_xlfn.TEXTJOIN(", ", TRUE, IF(I867:M867&gt;0, I$1:M$1, ""))</f>
        <v>Tech Application, Organisational View, Semantic View</v>
      </c>
      <c r="I867">
        <v>0</v>
      </c>
      <c r="J867">
        <v>3</v>
      </c>
      <c r="K867">
        <v>0</v>
      </c>
      <c r="L867">
        <v>1</v>
      </c>
      <c r="M867">
        <v>6</v>
      </c>
      <c r="N867">
        <v>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7FC51-EA54-4DD6-BA47-8B5A291495DE}">
  <dimension ref="A1:N2170"/>
  <sheetViews>
    <sheetView tabSelected="1" workbookViewId="0">
      <selection activeCell="C2031" sqref="C2031:C2041"/>
    </sheetView>
  </sheetViews>
  <sheetFormatPr baseColWidth="10" defaultColWidth="11.453125" defaultRowHeight="14.5" x14ac:dyDescent="0.35"/>
  <cols>
    <col min="3" max="3" width="11.453125" style="6"/>
  </cols>
  <sheetData>
    <row r="1" spans="1:14" x14ac:dyDescent="0.35">
      <c r="A1" s="4" t="s">
        <v>1719</v>
      </c>
      <c r="B1" s="4" t="s">
        <v>1720</v>
      </c>
      <c r="C1" s="5" t="s">
        <v>36</v>
      </c>
      <c r="D1" s="4" t="s">
        <v>1721</v>
      </c>
      <c r="E1" s="4" t="s">
        <v>1722</v>
      </c>
      <c r="F1" s="4" t="s">
        <v>43</v>
      </c>
      <c r="G1" s="4" t="s">
        <v>1723</v>
      </c>
      <c r="H1" s="4" t="s">
        <v>1724</v>
      </c>
      <c r="I1" t="s">
        <v>1886</v>
      </c>
      <c r="J1" t="s">
        <v>1805</v>
      </c>
      <c r="K1" t="s">
        <v>1760</v>
      </c>
      <c r="L1" t="s">
        <v>1754</v>
      </c>
      <c r="M1" t="s">
        <v>1727</v>
      </c>
      <c r="N1" t="s">
        <v>2808</v>
      </c>
    </row>
    <row r="2" spans="1:14" x14ac:dyDescent="0.35">
      <c r="A2" t="s">
        <v>1384</v>
      </c>
      <c r="B2" t="s">
        <v>1725</v>
      </c>
      <c r="C2" s="7" t="s">
        <v>10</v>
      </c>
      <c r="D2" t="s">
        <v>55</v>
      </c>
      <c r="E2" t="s">
        <v>1726</v>
      </c>
      <c r="F2" t="s">
        <v>1727</v>
      </c>
      <c r="G2" t="s">
        <v>1728</v>
      </c>
      <c r="H2" t="s">
        <v>1729</v>
      </c>
      <c r="I2">
        <f>IF($F2=$I$1,1,0)</f>
        <v>0</v>
      </c>
      <c r="J2">
        <f>IF($F2=$J$1,1,0)</f>
        <v>0</v>
      </c>
      <c r="K2">
        <f>IF($F2=$K$1,1,0)</f>
        <v>0</v>
      </c>
      <c r="L2">
        <f>IF($F2=$L$1,1,0)</f>
        <v>0</v>
      </c>
      <c r="M2">
        <f>IF($F2=$M$1,1,0)</f>
        <v>1</v>
      </c>
      <c r="N2">
        <f>IF($G2&lt;&gt;"",1,0)</f>
        <v>1</v>
      </c>
    </row>
    <row r="3" spans="1:14" x14ac:dyDescent="0.35">
      <c r="A3" t="s">
        <v>498</v>
      </c>
      <c r="B3" t="s">
        <v>1730</v>
      </c>
      <c r="C3" s="7" t="s">
        <v>6</v>
      </c>
      <c r="D3" t="s">
        <v>55</v>
      </c>
      <c r="E3" t="s">
        <v>1731</v>
      </c>
      <c r="F3" t="s">
        <v>1727</v>
      </c>
      <c r="I3">
        <f t="shared" ref="I3:I66" si="0">IF($F3=$F$1,1,0)</f>
        <v>0</v>
      </c>
      <c r="J3">
        <f t="shared" ref="J3:J66" si="1">IF($F3=$J$1,1,0)</f>
        <v>0</v>
      </c>
      <c r="K3">
        <f t="shared" ref="K3:K66" si="2">IF($F3=$K$1,1,0)</f>
        <v>0</v>
      </c>
      <c r="L3">
        <f t="shared" ref="L3:L66" si="3">IF($F3=$L$1,1,0)</f>
        <v>0</v>
      </c>
      <c r="M3">
        <f t="shared" ref="M3:M66" si="4">IF($F3=$M$1,1,0)</f>
        <v>1</v>
      </c>
      <c r="N3">
        <f t="shared" ref="N3:N66" si="5">IF($G3&lt;&gt;"",1,0)</f>
        <v>0</v>
      </c>
    </row>
    <row r="4" spans="1:14" x14ac:dyDescent="0.35">
      <c r="A4" t="s">
        <v>1553</v>
      </c>
      <c r="B4" t="s">
        <v>1732</v>
      </c>
      <c r="C4" s="7" t="s">
        <v>9</v>
      </c>
      <c r="D4" t="s">
        <v>100</v>
      </c>
      <c r="E4" t="s">
        <v>1733</v>
      </c>
      <c r="F4" t="s">
        <v>1727</v>
      </c>
      <c r="I4">
        <f t="shared" si="0"/>
        <v>0</v>
      </c>
      <c r="J4">
        <f t="shared" si="1"/>
        <v>0</v>
      </c>
      <c r="K4">
        <f t="shared" si="2"/>
        <v>0</v>
      </c>
      <c r="L4">
        <f t="shared" si="3"/>
        <v>0</v>
      </c>
      <c r="M4">
        <f t="shared" si="4"/>
        <v>1</v>
      </c>
      <c r="N4">
        <f t="shared" si="5"/>
        <v>0</v>
      </c>
    </row>
    <row r="5" spans="1:14" x14ac:dyDescent="0.35">
      <c r="A5" t="s">
        <v>1573</v>
      </c>
      <c r="B5" t="s">
        <v>1734</v>
      </c>
      <c r="C5" s="7" t="s">
        <v>8</v>
      </c>
      <c r="D5" t="s">
        <v>1575</v>
      </c>
      <c r="E5" t="s">
        <v>1731</v>
      </c>
      <c r="F5" t="s">
        <v>1727</v>
      </c>
      <c r="I5">
        <f t="shared" si="0"/>
        <v>0</v>
      </c>
      <c r="J5">
        <f t="shared" si="1"/>
        <v>0</v>
      </c>
      <c r="K5">
        <f t="shared" si="2"/>
        <v>0</v>
      </c>
      <c r="L5">
        <f t="shared" si="3"/>
        <v>0</v>
      </c>
      <c r="M5">
        <f t="shared" si="4"/>
        <v>1</v>
      </c>
      <c r="N5">
        <f t="shared" si="5"/>
        <v>0</v>
      </c>
    </row>
    <row r="6" spans="1:14" x14ac:dyDescent="0.35">
      <c r="A6" t="s">
        <v>1573</v>
      </c>
      <c r="B6" t="s">
        <v>1734</v>
      </c>
      <c r="C6" s="7" t="s">
        <v>6</v>
      </c>
      <c r="D6" t="s">
        <v>1575</v>
      </c>
      <c r="E6" t="s">
        <v>1726</v>
      </c>
      <c r="F6" t="s">
        <v>1727</v>
      </c>
      <c r="I6">
        <f t="shared" si="0"/>
        <v>0</v>
      </c>
      <c r="J6">
        <f t="shared" si="1"/>
        <v>0</v>
      </c>
      <c r="K6">
        <f t="shared" si="2"/>
        <v>0</v>
      </c>
      <c r="L6">
        <f t="shared" si="3"/>
        <v>0</v>
      </c>
      <c r="M6">
        <f t="shared" si="4"/>
        <v>1</v>
      </c>
      <c r="N6">
        <f t="shared" si="5"/>
        <v>0</v>
      </c>
    </row>
    <row r="7" spans="1:14" x14ac:dyDescent="0.35">
      <c r="A7" t="s">
        <v>1596</v>
      </c>
      <c r="B7" t="s">
        <v>1735</v>
      </c>
      <c r="C7" s="7" t="s">
        <v>6</v>
      </c>
      <c r="D7" t="s">
        <v>55</v>
      </c>
      <c r="E7" t="s">
        <v>1736</v>
      </c>
      <c r="F7" t="s">
        <v>1727</v>
      </c>
      <c r="G7" t="s">
        <v>1737</v>
      </c>
      <c r="H7" t="s">
        <v>1738</v>
      </c>
      <c r="I7">
        <f t="shared" si="0"/>
        <v>0</v>
      </c>
      <c r="J7">
        <f t="shared" si="1"/>
        <v>0</v>
      </c>
      <c r="K7">
        <f t="shared" si="2"/>
        <v>0</v>
      </c>
      <c r="L7">
        <f t="shared" si="3"/>
        <v>0</v>
      </c>
      <c r="M7">
        <f t="shared" si="4"/>
        <v>1</v>
      </c>
      <c r="N7">
        <f t="shared" si="5"/>
        <v>1</v>
      </c>
    </row>
    <row r="8" spans="1:14" x14ac:dyDescent="0.35">
      <c r="A8" t="s">
        <v>1218</v>
      </c>
      <c r="B8" t="s">
        <v>1739</v>
      </c>
      <c r="C8" s="7" t="s">
        <v>6</v>
      </c>
      <c r="D8" t="s">
        <v>55</v>
      </c>
      <c r="E8" t="s">
        <v>1731</v>
      </c>
      <c r="F8" t="s">
        <v>1727</v>
      </c>
      <c r="I8">
        <f t="shared" si="0"/>
        <v>0</v>
      </c>
      <c r="J8">
        <f t="shared" si="1"/>
        <v>0</v>
      </c>
      <c r="K8">
        <f t="shared" si="2"/>
        <v>0</v>
      </c>
      <c r="L8">
        <f t="shared" si="3"/>
        <v>0</v>
      </c>
      <c r="M8">
        <f t="shared" si="4"/>
        <v>1</v>
      </c>
      <c r="N8">
        <f t="shared" si="5"/>
        <v>0</v>
      </c>
    </row>
    <row r="9" spans="1:14" x14ac:dyDescent="0.35">
      <c r="A9" t="s">
        <v>1037</v>
      </c>
      <c r="B9" t="s">
        <v>1740</v>
      </c>
      <c r="C9" s="7" t="s">
        <v>6</v>
      </c>
      <c r="D9" t="s">
        <v>97</v>
      </c>
      <c r="E9" t="s">
        <v>1731</v>
      </c>
      <c r="F9" t="s">
        <v>1727</v>
      </c>
      <c r="G9" t="s">
        <v>1741</v>
      </c>
      <c r="H9" t="s">
        <v>1742</v>
      </c>
      <c r="I9">
        <f t="shared" si="0"/>
        <v>0</v>
      </c>
      <c r="J9">
        <f t="shared" si="1"/>
        <v>0</v>
      </c>
      <c r="K9">
        <f t="shared" si="2"/>
        <v>0</v>
      </c>
      <c r="L9">
        <f t="shared" si="3"/>
        <v>0</v>
      </c>
      <c r="M9">
        <f t="shared" si="4"/>
        <v>1</v>
      </c>
      <c r="N9">
        <f t="shared" si="5"/>
        <v>1</v>
      </c>
    </row>
    <row r="10" spans="1:14" x14ac:dyDescent="0.35">
      <c r="A10" t="s">
        <v>483</v>
      </c>
      <c r="B10" t="s">
        <v>1743</v>
      </c>
      <c r="C10" s="7" t="s">
        <v>6</v>
      </c>
      <c r="D10" t="s">
        <v>55</v>
      </c>
      <c r="E10" t="s">
        <v>1733</v>
      </c>
      <c r="F10" t="s">
        <v>1727</v>
      </c>
      <c r="I10">
        <f t="shared" si="0"/>
        <v>0</v>
      </c>
      <c r="J10">
        <f t="shared" si="1"/>
        <v>0</v>
      </c>
      <c r="K10">
        <f t="shared" si="2"/>
        <v>0</v>
      </c>
      <c r="L10">
        <f t="shared" si="3"/>
        <v>0</v>
      </c>
      <c r="M10">
        <f t="shared" si="4"/>
        <v>1</v>
      </c>
      <c r="N10">
        <f t="shared" si="5"/>
        <v>0</v>
      </c>
    </row>
    <row r="11" spans="1:14" x14ac:dyDescent="0.35">
      <c r="A11" t="s">
        <v>1039</v>
      </c>
      <c r="B11" t="s">
        <v>1744</v>
      </c>
      <c r="C11" s="7" t="s">
        <v>10</v>
      </c>
      <c r="D11" t="s">
        <v>55</v>
      </c>
      <c r="E11" t="s">
        <v>1733</v>
      </c>
      <c r="F11" t="s">
        <v>1727</v>
      </c>
      <c r="I11">
        <f t="shared" si="0"/>
        <v>0</v>
      </c>
      <c r="J11">
        <f t="shared" si="1"/>
        <v>0</v>
      </c>
      <c r="K11">
        <f t="shared" si="2"/>
        <v>0</v>
      </c>
      <c r="L11">
        <f t="shared" si="3"/>
        <v>0</v>
      </c>
      <c r="M11">
        <f t="shared" si="4"/>
        <v>1</v>
      </c>
      <c r="N11">
        <f t="shared" si="5"/>
        <v>0</v>
      </c>
    </row>
    <row r="12" spans="1:14" x14ac:dyDescent="0.35">
      <c r="A12" t="s">
        <v>1099</v>
      </c>
      <c r="B12" t="s">
        <v>1745</v>
      </c>
      <c r="C12" s="7" t="s">
        <v>10</v>
      </c>
      <c r="D12" t="s">
        <v>55</v>
      </c>
      <c r="E12" t="s">
        <v>1746</v>
      </c>
      <c r="F12" t="s">
        <v>1727</v>
      </c>
      <c r="I12">
        <f t="shared" si="0"/>
        <v>0</v>
      </c>
      <c r="J12">
        <f t="shared" si="1"/>
        <v>0</v>
      </c>
      <c r="K12">
        <f t="shared" si="2"/>
        <v>0</v>
      </c>
      <c r="L12">
        <f t="shared" si="3"/>
        <v>0</v>
      </c>
      <c r="M12">
        <f t="shared" si="4"/>
        <v>1</v>
      </c>
      <c r="N12">
        <f t="shared" si="5"/>
        <v>0</v>
      </c>
    </row>
    <row r="13" spans="1:14" x14ac:dyDescent="0.35">
      <c r="A13" t="s">
        <v>1443</v>
      </c>
      <c r="B13" t="s">
        <v>1747</v>
      </c>
      <c r="C13" s="7" t="s">
        <v>10</v>
      </c>
      <c r="D13" t="s">
        <v>51</v>
      </c>
      <c r="E13" t="s">
        <v>1748</v>
      </c>
      <c r="F13" t="s">
        <v>1727</v>
      </c>
      <c r="I13">
        <f t="shared" si="0"/>
        <v>0</v>
      </c>
      <c r="J13">
        <f t="shared" si="1"/>
        <v>0</v>
      </c>
      <c r="K13">
        <f t="shared" si="2"/>
        <v>0</v>
      </c>
      <c r="L13">
        <f t="shared" si="3"/>
        <v>0</v>
      </c>
      <c r="M13">
        <f t="shared" si="4"/>
        <v>1</v>
      </c>
      <c r="N13">
        <f t="shared" si="5"/>
        <v>0</v>
      </c>
    </row>
    <row r="14" spans="1:14" x14ac:dyDescent="0.35">
      <c r="A14" t="s">
        <v>1256</v>
      </c>
      <c r="B14" t="s">
        <v>1749</v>
      </c>
      <c r="C14" s="7" t="s">
        <v>10</v>
      </c>
      <c r="D14" t="s">
        <v>92</v>
      </c>
      <c r="E14" t="s">
        <v>1750</v>
      </c>
      <c r="F14" t="s">
        <v>1727</v>
      </c>
      <c r="G14" t="s">
        <v>1751</v>
      </c>
      <c r="H14" t="s">
        <v>1752</v>
      </c>
      <c r="I14">
        <f t="shared" si="0"/>
        <v>0</v>
      </c>
      <c r="J14">
        <f t="shared" si="1"/>
        <v>0</v>
      </c>
      <c r="K14">
        <f t="shared" si="2"/>
        <v>0</v>
      </c>
      <c r="L14">
        <f t="shared" si="3"/>
        <v>0</v>
      </c>
      <c r="M14">
        <f t="shared" si="4"/>
        <v>1</v>
      </c>
      <c r="N14">
        <f t="shared" si="5"/>
        <v>1</v>
      </c>
    </row>
    <row r="15" spans="1:14" x14ac:dyDescent="0.35">
      <c r="A15" t="s">
        <v>1256</v>
      </c>
      <c r="B15" t="s">
        <v>1749</v>
      </c>
      <c r="C15" s="7" t="s">
        <v>6</v>
      </c>
      <c r="D15" t="s">
        <v>92</v>
      </c>
      <c r="E15" t="s">
        <v>1753</v>
      </c>
      <c r="F15" t="s">
        <v>1754</v>
      </c>
      <c r="G15" t="s">
        <v>1751</v>
      </c>
      <c r="H15" t="s">
        <v>1752</v>
      </c>
      <c r="I15">
        <f t="shared" si="0"/>
        <v>0</v>
      </c>
      <c r="J15">
        <f t="shared" si="1"/>
        <v>0</v>
      </c>
      <c r="K15">
        <f t="shared" si="2"/>
        <v>0</v>
      </c>
      <c r="L15">
        <f t="shared" si="3"/>
        <v>1</v>
      </c>
      <c r="M15">
        <f t="shared" si="4"/>
        <v>0</v>
      </c>
      <c r="N15">
        <f t="shared" si="5"/>
        <v>1</v>
      </c>
    </row>
    <row r="16" spans="1:14" x14ac:dyDescent="0.35">
      <c r="A16" t="s">
        <v>969</v>
      </c>
      <c r="B16" t="s">
        <v>1755</v>
      </c>
      <c r="C16" s="7" t="s">
        <v>6</v>
      </c>
      <c r="D16" t="s">
        <v>55</v>
      </c>
      <c r="E16" t="s">
        <v>1746</v>
      </c>
      <c r="F16" t="s">
        <v>1727</v>
      </c>
      <c r="I16">
        <f t="shared" si="0"/>
        <v>0</v>
      </c>
      <c r="J16">
        <f t="shared" si="1"/>
        <v>0</v>
      </c>
      <c r="K16">
        <f t="shared" si="2"/>
        <v>0</v>
      </c>
      <c r="L16">
        <f t="shared" si="3"/>
        <v>0</v>
      </c>
      <c r="M16">
        <f t="shared" si="4"/>
        <v>1</v>
      </c>
      <c r="N16">
        <f t="shared" si="5"/>
        <v>0</v>
      </c>
    </row>
    <row r="17" spans="1:14" x14ac:dyDescent="0.35">
      <c r="A17" t="s">
        <v>1578</v>
      </c>
      <c r="B17" t="s">
        <v>1756</v>
      </c>
      <c r="C17" s="7" t="s">
        <v>6</v>
      </c>
      <c r="D17" t="s">
        <v>55</v>
      </c>
      <c r="E17" t="s">
        <v>1757</v>
      </c>
      <c r="F17" t="s">
        <v>1727</v>
      </c>
      <c r="I17">
        <f t="shared" si="0"/>
        <v>0</v>
      </c>
      <c r="J17">
        <f t="shared" si="1"/>
        <v>0</v>
      </c>
      <c r="K17">
        <f t="shared" si="2"/>
        <v>0</v>
      </c>
      <c r="L17">
        <f t="shared" si="3"/>
        <v>0</v>
      </c>
      <c r="M17">
        <f t="shared" si="4"/>
        <v>1</v>
      </c>
      <c r="N17">
        <f t="shared" si="5"/>
        <v>0</v>
      </c>
    </row>
    <row r="18" spans="1:14" x14ac:dyDescent="0.35">
      <c r="A18" t="s">
        <v>474</v>
      </c>
      <c r="B18" t="s">
        <v>1758</v>
      </c>
      <c r="C18" s="7" t="s">
        <v>6</v>
      </c>
      <c r="D18" t="s">
        <v>55</v>
      </c>
      <c r="E18" t="s">
        <v>1757</v>
      </c>
      <c r="F18" t="s">
        <v>1727</v>
      </c>
      <c r="I18">
        <f t="shared" si="0"/>
        <v>0</v>
      </c>
      <c r="J18">
        <f t="shared" si="1"/>
        <v>0</v>
      </c>
      <c r="K18">
        <f t="shared" si="2"/>
        <v>0</v>
      </c>
      <c r="L18">
        <f t="shared" si="3"/>
        <v>0</v>
      </c>
      <c r="M18">
        <f t="shared" si="4"/>
        <v>1</v>
      </c>
      <c r="N18">
        <f t="shared" si="5"/>
        <v>0</v>
      </c>
    </row>
    <row r="19" spans="1:14" x14ac:dyDescent="0.35">
      <c r="A19" t="s">
        <v>474</v>
      </c>
      <c r="B19" t="s">
        <v>1758</v>
      </c>
      <c r="C19" s="7" t="s">
        <v>6</v>
      </c>
      <c r="D19" t="s">
        <v>55</v>
      </c>
      <c r="E19" t="s">
        <v>1759</v>
      </c>
      <c r="F19" t="s">
        <v>1760</v>
      </c>
      <c r="I19">
        <f t="shared" si="0"/>
        <v>0</v>
      </c>
      <c r="J19">
        <f t="shared" si="1"/>
        <v>0</v>
      </c>
      <c r="K19">
        <f t="shared" si="2"/>
        <v>1</v>
      </c>
      <c r="L19">
        <f t="shared" si="3"/>
        <v>0</v>
      </c>
      <c r="M19">
        <f t="shared" si="4"/>
        <v>0</v>
      </c>
      <c r="N19">
        <f t="shared" si="5"/>
        <v>0</v>
      </c>
    </row>
    <row r="20" spans="1:14" x14ac:dyDescent="0.35">
      <c r="A20" t="s">
        <v>150</v>
      </c>
      <c r="B20" t="s">
        <v>1761</v>
      </c>
      <c r="C20" s="7" t="s">
        <v>6</v>
      </c>
      <c r="D20" t="s">
        <v>152</v>
      </c>
      <c r="E20" t="s">
        <v>1750</v>
      </c>
      <c r="F20" t="s">
        <v>1727</v>
      </c>
      <c r="I20">
        <f t="shared" si="0"/>
        <v>0</v>
      </c>
      <c r="J20">
        <f t="shared" si="1"/>
        <v>0</v>
      </c>
      <c r="K20">
        <f t="shared" si="2"/>
        <v>0</v>
      </c>
      <c r="L20">
        <f t="shared" si="3"/>
        <v>0</v>
      </c>
      <c r="M20">
        <f t="shared" si="4"/>
        <v>1</v>
      </c>
      <c r="N20">
        <f t="shared" si="5"/>
        <v>0</v>
      </c>
    </row>
    <row r="21" spans="1:14" x14ac:dyDescent="0.35">
      <c r="A21" t="s">
        <v>306</v>
      </c>
      <c r="B21" t="s">
        <v>1762</v>
      </c>
      <c r="C21" s="7" t="s">
        <v>6</v>
      </c>
      <c r="D21" t="s">
        <v>55</v>
      </c>
      <c r="E21" t="s">
        <v>1731</v>
      </c>
      <c r="F21" t="s">
        <v>1727</v>
      </c>
      <c r="I21">
        <f t="shared" si="0"/>
        <v>0</v>
      </c>
      <c r="J21">
        <f t="shared" si="1"/>
        <v>0</v>
      </c>
      <c r="K21">
        <f t="shared" si="2"/>
        <v>0</v>
      </c>
      <c r="L21">
        <f t="shared" si="3"/>
        <v>0</v>
      </c>
      <c r="M21">
        <f t="shared" si="4"/>
        <v>1</v>
      </c>
      <c r="N21">
        <f t="shared" si="5"/>
        <v>0</v>
      </c>
    </row>
    <row r="22" spans="1:14" x14ac:dyDescent="0.35">
      <c r="A22" t="s">
        <v>954</v>
      </c>
      <c r="B22" t="s">
        <v>1763</v>
      </c>
      <c r="C22" s="7" t="s">
        <v>6</v>
      </c>
      <c r="D22" t="s">
        <v>55</v>
      </c>
      <c r="E22" t="s">
        <v>1731</v>
      </c>
      <c r="F22" t="s">
        <v>1727</v>
      </c>
      <c r="I22">
        <f t="shared" si="0"/>
        <v>0</v>
      </c>
      <c r="J22">
        <f t="shared" si="1"/>
        <v>0</v>
      </c>
      <c r="K22">
        <f t="shared" si="2"/>
        <v>0</v>
      </c>
      <c r="L22">
        <f t="shared" si="3"/>
        <v>0</v>
      </c>
      <c r="M22">
        <f t="shared" si="4"/>
        <v>1</v>
      </c>
      <c r="N22">
        <f t="shared" si="5"/>
        <v>0</v>
      </c>
    </row>
    <row r="23" spans="1:14" x14ac:dyDescent="0.35">
      <c r="A23" t="s">
        <v>72</v>
      </c>
      <c r="B23" t="s">
        <v>1764</v>
      </c>
      <c r="C23" s="7" t="s">
        <v>6</v>
      </c>
      <c r="D23" t="s">
        <v>74</v>
      </c>
      <c r="E23" t="s">
        <v>1757</v>
      </c>
      <c r="F23" t="s">
        <v>1727</v>
      </c>
      <c r="G23" t="s">
        <v>1765</v>
      </c>
      <c r="H23" t="s">
        <v>1738</v>
      </c>
      <c r="I23">
        <f t="shared" si="0"/>
        <v>0</v>
      </c>
      <c r="J23">
        <f t="shared" si="1"/>
        <v>0</v>
      </c>
      <c r="K23">
        <f t="shared" si="2"/>
        <v>0</v>
      </c>
      <c r="L23">
        <f t="shared" si="3"/>
        <v>0</v>
      </c>
      <c r="M23">
        <f t="shared" si="4"/>
        <v>1</v>
      </c>
      <c r="N23">
        <f t="shared" si="5"/>
        <v>1</v>
      </c>
    </row>
    <row r="24" spans="1:14" x14ac:dyDescent="0.35">
      <c r="A24" t="s">
        <v>67</v>
      </c>
      <c r="B24" t="s">
        <v>1766</v>
      </c>
      <c r="C24" s="7" t="s">
        <v>6</v>
      </c>
      <c r="D24" t="s">
        <v>55</v>
      </c>
      <c r="E24" t="s">
        <v>1746</v>
      </c>
      <c r="F24" t="s">
        <v>1727</v>
      </c>
      <c r="I24">
        <f t="shared" si="0"/>
        <v>0</v>
      </c>
      <c r="J24">
        <f t="shared" si="1"/>
        <v>0</v>
      </c>
      <c r="K24">
        <f t="shared" si="2"/>
        <v>0</v>
      </c>
      <c r="L24">
        <f t="shared" si="3"/>
        <v>0</v>
      </c>
      <c r="M24">
        <f t="shared" si="4"/>
        <v>1</v>
      </c>
      <c r="N24">
        <f t="shared" si="5"/>
        <v>0</v>
      </c>
    </row>
    <row r="25" spans="1:14" x14ac:dyDescent="0.35">
      <c r="A25" t="s">
        <v>1041</v>
      </c>
      <c r="B25" t="s">
        <v>1767</v>
      </c>
      <c r="C25" s="7" t="s">
        <v>6</v>
      </c>
      <c r="D25" t="s">
        <v>1043</v>
      </c>
      <c r="E25" t="s">
        <v>1768</v>
      </c>
      <c r="F25" t="s">
        <v>1727</v>
      </c>
      <c r="I25">
        <f t="shared" si="0"/>
        <v>0</v>
      </c>
      <c r="J25">
        <f t="shared" si="1"/>
        <v>0</v>
      </c>
      <c r="K25">
        <f t="shared" si="2"/>
        <v>0</v>
      </c>
      <c r="L25">
        <f t="shared" si="3"/>
        <v>0</v>
      </c>
      <c r="M25">
        <f t="shared" si="4"/>
        <v>1</v>
      </c>
      <c r="N25">
        <f t="shared" si="5"/>
        <v>0</v>
      </c>
    </row>
    <row r="26" spans="1:14" x14ac:dyDescent="0.35">
      <c r="A26" t="s">
        <v>263</v>
      </c>
      <c r="B26" t="s">
        <v>1769</v>
      </c>
      <c r="C26" s="7" t="s">
        <v>6</v>
      </c>
      <c r="D26" t="s">
        <v>100</v>
      </c>
      <c r="E26" t="s">
        <v>1750</v>
      </c>
      <c r="F26" t="s">
        <v>1727</v>
      </c>
      <c r="I26">
        <f t="shared" si="0"/>
        <v>0</v>
      </c>
      <c r="J26">
        <f t="shared" si="1"/>
        <v>0</v>
      </c>
      <c r="K26">
        <f t="shared" si="2"/>
        <v>0</v>
      </c>
      <c r="L26">
        <f t="shared" si="3"/>
        <v>0</v>
      </c>
      <c r="M26">
        <f t="shared" si="4"/>
        <v>1</v>
      </c>
      <c r="N26">
        <f t="shared" si="5"/>
        <v>0</v>
      </c>
    </row>
    <row r="27" spans="1:14" x14ac:dyDescent="0.35">
      <c r="A27" t="s">
        <v>807</v>
      </c>
      <c r="B27" t="s">
        <v>1770</v>
      </c>
      <c r="C27" s="7" t="s">
        <v>6</v>
      </c>
      <c r="D27" t="s">
        <v>55</v>
      </c>
      <c r="E27" t="s">
        <v>1736</v>
      </c>
      <c r="F27" t="s">
        <v>1727</v>
      </c>
      <c r="I27">
        <f t="shared" si="0"/>
        <v>0</v>
      </c>
      <c r="J27">
        <f t="shared" si="1"/>
        <v>0</v>
      </c>
      <c r="K27">
        <f t="shared" si="2"/>
        <v>0</v>
      </c>
      <c r="L27">
        <f t="shared" si="3"/>
        <v>0</v>
      </c>
      <c r="M27">
        <f t="shared" si="4"/>
        <v>1</v>
      </c>
      <c r="N27">
        <f t="shared" si="5"/>
        <v>0</v>
      </c>
    </row>
    <row r="28" spans="1:14" x14ac:dyDescent="0.35">
      <c r="A28" t="s">
        <v>78</v>
      </c>
      <c r="B28" t="s">
        <v>1771</v>
      </c>
      <c r="C28" s="7" t="s">
        <v>6</v>
      </c>
      <c r="D28" t="s">
        <v>80</v>
      </c>
      <c r="E28" t="s">
        <v>1772</v>
      </c>
      <c r="F28" t="s">
        <v>1754</v>
      </c>
      <c r="G28" t="s">
        <v>1773</v>
      </c>
      <c r="H28" t="s">
        <v>1774</v>
      </c>
      <c r="I28">
        <f t="shared" si="0"/>
        <v>0</v>
      </c>
      <c r="J28">
        <f t="shared" si="1"/>
        <v>0</v>
      </c>
      <c r="K28">
        <f t="shared" si="2"/>
        <v>0</v>
      </c>
      <c r="L28">
        <f t="shared" si="3"/>
        <v>1</v>
      </c>
      <c r="M28">
        <f t="shared" si="4"/>
        <v>0</v>
      </c>
      <c r="N28">
        <f t="shared" si="5"/>
        <v>1</v>
      </c>
    </row>
    <row r="29" spans="1:14" x14ac:dyDescent="0.35">
      <c r="A29" t="s">
        <v>78</v>
      </c>
      <c r="B29" t="s">
        <v>1771</v>
      </c>
      <c r="C29" s="7" t="s">
        <v>6</v>
      </c>
      <c r="D29" t="s">
        <v>80</v>
      </c>
      <c r="E29" t="s">
        <v>1775</v>
      </c>
      <c r="F29" t="s">
        <v>1754</v>
      </c>
      <c r="G29" t="s">
        <v>1773</v>
      </c>
      <c r="H29" t="s">
        <v>1774</v>
      </c>
      <c r="I29">
        <f t="shared" si="0"/>
        <v>0</v>
      </c>
      <c r="J29">
        <f t="shared" si="1"/>
        <v>0</v>
      </c>
      <c r="K29">
        <f t="shared" si="2"/>
        <v>0</v>
      </c>
      <c r="L29">
        <f t="shared" si="3"/>
        <v>1</v>
      </c>
      <c r="M29">
        <f t="shared" si="4"/>
        <v>0</v>
      </c>
      <c r="N29">
        <f t="shared" si="5"/>
        <v>1</v>
      </c>
    </row>
    <row r="30" spans="1:14" x14ac:dyDescent="0.35">
      <c r="A30" t="s">
        <v>78</v>
      </c>
      <c r="B30" t="s">
        <v>1771</v>
      </c>
      <c r="C30" s="7" t="s">
        <v>6</v>
      </c>
      <c r="D30" t="s">
        <v>80</v>
      </c>
      <c r="E30" t="s">
        <v>1776</v>
      </c>
      <c r="F30" t="s">
        <v>1754</v>
      </c>
      <c r="G30" t="s">
        <v>1773</v>
      </c>
      <c r="H30" t="s">
        <v>1774</v>
      </c>
      <c r="I30">
        <f t="shared" si="0"/>
        <v>0</v>
      </c>
      <c r="J30">
        <f t="shared" si="1"/>
        <v>0</v>
      </c>
      <c r="K30">
        <f t="shared" si="2"/>
        <v>0</v>
      </c>
      <c r="L30">
        <f t="shared" si="3"/>
        <v>1</v>
      </c>
      <c r="M30">
        <f t="shared" si="4"/>
        <v>0</v>
      </c>
      <c r="N30">
        <f t="shared" si="5"/>
        <v>1</v>
      </c>
    </row>
    <row r="31" spans="1:14" x14ac:dyDescent="0.35">
      <c r="A31" t="s">
        <v>78</v>
      </c>
      <c r="B31" t="s">
        <v>1771</v>
      </c>
      <c r="C31" s="7" t="s">
        <v>6</v>
      </c>
      <c r="D31" t="s">
        <v>80</v>
      </c>
      <c r="E31" t="s">
        <v>1777</v>
      </c>
      <c r="F31" t="s">
        <v>1754</v>
      </c>
      <c r="G31" t="s">
        <v>1773</v>
      </c>
      <c r="H31" t="s">
        <v>1774</v>
      </c>
      <c r="I31">
        <f t="shared" si="0"/>
        <v>0</v>
      </c>
      <c r="J31">
        <f t="shared" si="1"/>
        <v>0</v>
      </c>
      <c r="K31">
        <f t="shared" si="2"/>
        <v>0</v>
      </c>
      <c r="L31">
        <f t="shared" si="3"/>
        <v>1</v>
      </c>
      <c r="M31">
        <f t="shared" si="4"/>
        <v>0</v>
      </c>
      <c r="N31">
        <f t="shared" si="5"/>
        <v>1</v>
      </c>
    </row>
    <row r="32" spans="1:14" x14ac:dyDescent="0.35">
      <c r="A32" t="s">
        <v>517</v>
      </c>
      <c r="B32" t="s">
        <v>1778</v>
      </c>
      <c r="C32" s="7" t="s">
        <v>6</v>
      </c>
      <c r="D32" t="s">
        <v>111</v>
      </c>
      <c r="E32" t="s">
        <v>1768</v>
      </c>
      <c r="F32" t="s">
        <v>1727</v>
      </c>
      <c r="I32">
        <f t="shared" si="0"/>
        <v>0</v>
      </c>
      <c r="J32">
        <f t="shared" si="1"/>
        <v>0</v>
      </c>
      <c r="K32">
        <f t="shared" si="2"/>
        <v>0</v>
      </c>
      <c r="L32">
        <f t="shared" si="3"/>
        <v>0</v>
      </c>
      <c r="M32">
        <f t="shared" si="4"/>
        <v>1</v>
      </c>
      <c r="N32">
        <f t="shared" si="5"/>
        <v>0</v>
      </c>
    </row>
    <row r="33" spans="1:14" x14ac:dyDescent="0.35">
      <c r="A33" t="s">
        <v>634</v>
      </c>
      <c r="B33" t="s">
        <v>1779</v>
      </c>
      <c r="C33" s="7" t="s">
        <v>9</v>
      </c>
      <c r="D33" t="s">
        <v>55</v>
      </c>
      <c r="E33" t="s">
        <v>1733</v>
      </c>
      <c r="F33" t="s">
        <v>1727</v>
      </c>
      <c r="G33" t="s">
        <v>1780</v>
      </c>
      <c r="H33" t="s">
        <v>1781</v>
      </c>
      <c r="I33">
        <f t="shared" si="0"/>
        <v>0</v>
      </c>
      <c r="J33">
        <f t="shared" si="1"/>
        <v>0</v>
      </c>
      <c r="K33">
        <f t="shared" si="2"/>
        <v>0</v>
      </c>
      <c r="L33">
        <f t="shared" si="3"/>
        <v>0</v>
      </c>
      <c r="M33">
        <f t="shared" si="4"/>
        <v>1</v>
      </c>
      <c r="N33">
        <f t="shared" si="5"/>
        <v>1</v>
      </c>
    </row>
    <row r="34" spans="1:14" x14ac:dyDescent="0.35">
      <c r="A34" t="s">
        <v>429</v>
      </c>
      <c r="B34" t="s">
        <v>1782</v>
      </c>
      <c r="C34" s="7" t="s">
        <v>6</v>
      </c>
      <c r="D34" t="s">
        <v>431</v>
      </c>
      <c r="E34" t="s">
        <v>1753</v>
      </c>
      <c r="F34" t="s">
        <v>1754</v>
      </c>
      <c r="G34" t="s">
        <v>1783</v>
      </c>
      <c r="H34" t="s">
        <v>1784</v>
      </c>
      <c r="I34">
        <f t="shared" si="0"/>
        <v>0</v>
      </c>
      <c r="J34">
        <f t="shared" si="1"/>
        <v>0</v>
      </c>
      <c r="K34">
        <f t="shared" si="2"/>
        <v>0</v>
      </c>
      <c r="L34">
        <f t="shared" si="3"/>
        <v>1</v>
      </c>
      <c r="M34">
        <f t="shared" si="4"/>
        <v>0</v>
      </c>
      <c r="N34">
        <f t="shared" si="5"/>
        <v>1</v>
      </c>
    </row>
    <row r="35" spans="1:14" x14ac:dyDescent="0.35">
      <c r="A35" t="s">
        <v>1078</v>
      </c>
      <c r="B35" t="s">
        <v>1785</v>
      </c>
      <c r="C35" s="7" t="s">
        <v>6</v>
      </c>
      <c r="D35" t="s">
        <v>55</v>
      </c>
      <c r="E35" t="s">
        <v>1772</v>
      </c>
      <c r="F35" t="s">
        <v>1754</v>
      </c>
      <c r="I35">
        <f t="shared" si="0"/>
        <v>0</v>
      </c>
      <c r="J35">
        <f t="shared" si="1"/>
        <v>0</v>
      </c>
      <c r="K35">
        <f t="shared" si="2"/>
        <v>0</v>
      </c>
      <c r="L35">
        <f t="shared" si="3"/>
        <v>1</v>
      </c>
      <c r="M35">
        <f t="shared" si="4"/>
        <v>0</v>
      </c>
      <c r="N35">
        <f t="shared" si="5"/>
        <v>0</v>
      </c>
    </row>
    <row r="36" spans="1:14" x14ac:dyDescent="0.35">
      <c r="A36" t="s">
        <v>1078</v>
      </c>
      <c r="B36" t="s">
        <v>1785</v>
      </c>
      <c r="C36" s="7" t="s">
        <v>6</v>
      </c>
      <c r="D36" t="s">
        <v>55</v>
      </c>
      <c r="E36" t="s">
        <v>1776</v>
      </c>
      <c r="F36" t="s">
        <v>1754</v>
      </c>
      <c r="I36">
        <f t="shared" si="0"/>
        <v>0</v>
      </c>
      <c r="J36">
        <f t="shared" si="1"/>
        <v>0</v>
      </c>
      <c r="K36">
        <f t="shared" si="2"/>
        <v>0</v>
      </c>
      <c r="L36">
        <f t="shared" si="3"/>
        <v>1</v>
      </c>
      <c r="M36">
        <f t="shared" si="4"/>
        <v>0</v>
      </c>
      <c r="N36">
        <f t="shared" si="5"/>
        <v>0</v>
      </c>
    </row>
    <row r="37" spans="1:14" x14ac:dyDescent="0.35">
      <c r="A37" t="s">
        <v>1078</v>
      </c>
      <c r="B37" t="s">
        <v>1785</v>
      </c>
      <c r="C37" s="7" t="s">
        <v>9</v>
      </c>
      <c r="D37" t="s">
        <v>55</v>
      </c>
      <c r="E37" t="s">
        <v>1777</v>
      </c>
      <c r="F37" t="s">
        <v>1754</v>
      </c>
      <c r="I37">
        <f t="shared" si="0"/>
        <v>0</v>
      </c>
      <c r="J37">
        <f t="shared" si="1"/>
        <v>0</v>
      </c>
      <c r="K37">
        <f t="shared" si="2"/>
        <v>0</v>
      </c>
      <c r="L37">
        <f t="shared" si="3"/>
        <v>1</v>
      </c>
      <c r="M37">
        <f t="shared" si="4"/>
        <v>0</v>
      </c>
      <c r="N37">
        <f t="shared" si="5"/>
        <v>0</v>
      </c>
    </row>
    <row r="38" spans="1:14" x14ac:dyDescent="0.35">
      <c r="A38" t="s">
        <v>1078</v>
      </c>
      <c r="B38" t="s">
        <v>1785</v>
      </c>
      <c r="C38" s="7" t="s">
        <v>6</v>
      </c>
      <c r="D38" t="s">
        <v>55</v>
      </c>
      <c r="E38" t="s">
        <v>1775</v>
      </c>
      <c r="F38" t="s">
        <v>1754</v>
      </c>
      <c r="I38">
        <f t="shared" si="0"/>
        <v>0</v>
      </c>
      <c r="J38">
        <f t="shared" si="1"/>
        <v>0</v>
      </c>
      <c r="K38">
        <f t="shared" si="2"/>
        <v>0</v>
      </c>
      <c r="L38">
        <f t="shared" si="3"/>
        <v>1</v>
      </c>
      <c r="M38">
        <f t="shared" si="4"/>
        <v>0</v>
      </c>
      <c r="N38">
        <f t="shared" si="5"/>
        <v>0</v>
      </c>
    </row>
    <row r="39" spans="1:14" x14ac:dyDescent="0.35">
      <c r="A39" t="s">
        <v>1330</v>
      </c>
      <c r="B39" t="s">
        <v>1786</v>
      </c>
      <c r="C39" s="7" t="s">
        <v>6</v>
      </c>
      <c r="D39" t="s">
        <v>1331</v>
      </c>
      <c r="E39" t="s">
        <v>1753</v>
      </c>
      <c r="F39" t="s">
        <v>1754</v>
      </c>
      <c r="I39">
        <f t="shared" si="0"/>
        <v>0</v>
      </c>
      <c r="J39">
        <f t="shared" si="1"/>
        <v>0</v>
      </c>
      <c r="K39">
        <f t="shared" si="2"/>
        <v>0</v>
      </c>
      <c r="L39">
        <f t="shared" si="3"/>
        <v>1</v>
      </c>
      <c r="M39">
        <f t="shared" si="4"/>
        <v>0</v>
      </c>
      <c r="N39">
        <f t="shared" si="5"/>
        <v>0</v>
      </c>
    </row>
    <row r="40" spans="1:14" x14ac:dyDescent="0.35">
      <c r="A40" t="s">
        <v>995</v>
      </c>
      <c r="B40" t="s">
        <v>1787</v>
      </c>
      <c r="C40" s="7" t="s">
        <v>6</v>
      </c>
      <c r="D40" t="s">
        <v>55</v>
      </c>
      <c r="E40" t="s">
        <v>1746</v>
      </c>
      <c r="F40" t="s">
        <v>1727</v>
      </c>
      <c r="I40">
        <f t="shared" si="0"/>
        <v>0</v>
      </c>
      <c r="J40">
        <f t="shared" si="1"/>
        <v>0</v>
      </c>
      <c r="K40">
        <f t="shared" si="2"/>
        <v>0</v>
      </c>
      <c r="L40">
        <f t="shared" si="3"/>
        <v>0</v>
      </c>
      <c r="M40">
        <f t="shared" si="4"/>
        <v>1</v>
      </c>
      <c r="N40">
        <f t="shared" si="5"/>
        <v>0</v>
      </c>
    </row>
    <row r="41" spans="1:14" x14ac:dyDescent="0.35">
      <c r="A41" t="s">
        <v>397</v>
      </c>
      <c r="B41" t="s">
        <v>1788</v>
      </c>
      <c r="C41" s="7" t="s">
        <v>6</v>
      </c>
      <c r="D41" t="s">
        <v>55</v>
      </c>
      <c r="E41" t="s">
        <v>1746</v>
      </c>
      <c r="F41" t="s">
        <v>1727</v>
      </c>
      <c r="I41">
        <f t="shared" si="0"/>
        <v>0</v>
      </c>
      <c r="J41">
        <f t="shared" si="1"/>
        <v>0</v>
      </c>
      <c r="K41">
        <f t="shared" si="2"/>
        <v>0</v>
      </c>
      <c r="L41">
        <f t="shared" si="3"/>
        <v>0</v>
      </c>
      <c r="M41">
        <f t="shared" si="4"/>
        <v>1</v>
      </c>
      <c r="N41">
        <f t="shared" si="5"/>
        <v>0</v>
      </c>
    </row>
    <row r="42" spans="1:14" x14ac:dyDescent="0.35">
      <c r="A42" t="s">
        <v>1238</v>
      </c>
      <c r="B42" t="s">
        <v>1789</v>
      </c>
      <c r="C42" s="7" t="s">
        <v>10</v>
      </c>
      <c r="D42" t="s">
        <v>1239</v>
      </c>
      <c r="E42" t="s">
        <v>1768</v>
      </c>
      <c r="F42" t="s">
        <v>1727</v>
      </c>
      <c r="I42">
        <f t="shared" si="0"/>
        <v>0</v>
      </c>
      <c r="J42">
        <f t="shared" si="1"/>
        <v>0</v>
      </c>
      <c r="K42">
        <f t="shared" si="2"/>
        <v>0</v>
      </c>
      <c r="L42">
        <f t="shared" si="3"/>
        <v>0</v>
      </c>
      <c r="M42">
        <f t="shared" si="4"/>
        <v>1</v>
      </c>
      <c r="N42">
        <f t="shared" si="5"/>
        <v>0</v>
      </c>
    </row>
    <row r="43" spans="1:14" x14ac:dyDescent="0.35">
      <c r="A43" t="s">
        <v>602</v>
      </c>
      <c r="B43" t="s">
        <v>1790</v>
      </c>
      <c r="C43" s="7" t="s">
        <v>6</v>
      </c>
      <c r="D43" t="s">
        <v>604</v>
      </c>
      <c r="E43" t="s">
        <v>1768</v>
      </c>
      <c r="F43" t="s">
        <v>1727</v>
      </c>
      <c r="I43">
        <f t="shared" si="0"/>
        <v>0</v>
      </c>
      <c r="J43">
        <f t="shared" si="1"/>
        <v>0</v>
      </c>
      <c r="K43">
        <f t="shared" si="2"/>
        <v>0</v>
      </c>
      <c r="L43">
        <f t="shared" si="3"/>
        <v>0</v>
      </c>
      <c r="M43">
        <f t="shared" si="4"/>
        <v>1</v>
      </c>
      <c r="N43">
        <f t="shared" si="5"/>
        <v>0</v>
      </c>
    </row>
    <row r="44" spans="1:14" x14ac:dyDescent="0.35">
      <c r="A44" t="s">
        <v>137</v>
      </c>
      <c r="B44" t="s">
        <v>1791</v>
      </c>
      <c r="C44" s="7" t="s">
        <v>10</v>
      </c>
      <c r="D44" t="s">
        <v>100</v>
      </c>
      <c r="E44" t="s">
        <v>1731</v>
      </c>
      <c r="F44" t="s">
        <v>1727</v>
      </c>
      <c r="I44">
        <f t="shared" si="0"/>
        <v>0</v>
      </c>
      <c r="J44">
        <f t="shared" si="1"/>
        <v>0</v>
      </c>
      <c r="K44">
        <f t="shared" si="2"/>
        <v>0</v>
      </c>
      <c r="L44">
        <f t="shared" si="3"/>
        <v>0</v>
      </c>
      <c r="M44">
        <f t="shared" si="4"/>
        <v>1</v>
      </c>
      <c r="N44">
        <f t="shared" si="5"/>
        <v>0</v>
      </c>
    </row>
    <row r="45" spans="1:14" x14ac:dyDescent="0.35">
      <c r="A45" t="s">
        <v>1539</v>
      </c>
      <c r="B45" t="s">
        <v>1792</v>
      </c>
      <c r="C45" s="7" t="s">
        <v>10</v>
      </c>
      <c r="D45" t="s">
        <v>149</v>
      </c>
      <c r="E45" t="s">
        <v>1793</v>
      </c>
      <c r="F45" t="s">
        <v>1727</v>
      </c>
      <c r="I45">
        <f t="shared" si="0"/>
        <v>0</v>
      </c>
      <c r="J45">
        <f t="shared" si="1"/>
        <v>0</v>
      </c>
      <c r="K45">
        <f t="shared" si="2"/>
        <v>0</v>
      </c>
      <c r="L45">
        <f t="shared" si="3"/>
        <v>0</v>
      </c>
      <c r="M45">
        <f t="shared" si="4"/>
        <v>1</v>
      </c>
      <c r="N45">
        <f t="shared" si="5"/>
        <v>0</v>
      </c>
    </row>
    <row r="46" spans="1:14" x14ac:dyDescent="0.35">
      <c r="A46" t="s">
        <v>175</v>
      </c>
      <c r="B46" t="s">
        <v>1794</v>
      </c>
      <c r="C46" s="7" t="s">
        <v>10</v>
      </c>
      <c r="D46" t="s">
        <v>55</v>
      </c>
      <c r="E46" t="s">
        <v>1746</v>
      </c>
      <c r="F46" t="s">
        <v>1727</v>
      </c>
      <c r="I46">
        <f t="shared" si="0"/>
        <v>0</v>
      </c>
      <c r="J46">
        <f t="shared" si="1"/>
        <v>0</v>
      </c>
      <c r="K46">
        <f t="shared" si="2"/>
        <v>0</v>
      </c>
      <c r="L46">
        <f t="shared" si="3"/>
        <v>0</v>
      </c>
      <c r="M46">
        <f t="shared" si="4"/>
        <v>1</v>
      </c>
      <c r="N46">
        <f t="shared" si="5"/>
        <v>0</v>
      </c>
    </row>
    <row r="47" spans="1:14" x14ac:dyDescent="0.35">
      <c r="A47" t="s">
        <v>361</v>
      </c>
      <c r="B47" t="s">
        <v>1795</v>
      </c>
      <c r="C47" s="7" t="s">
        <v>10</v>
      </c>
      <c r="D47" t="s">
        <v>55</v>
      </c>
      <c r="E47" t="s">
        <v>1768</v>
      </c>
      <c r="F47" t="s">
        <v>1727</v>
      </c>
      <c r="I47">
        <f t="shared" si="0"/>
        <v>0</v>
      </c>
      <c r="J47">
        <f t="shared" si="1"/>
        <v>0</v>
      </c>
      <c r="K47">
        <f t="shared" si="2"/>
        <v>0</v>
      </c>
      <c r="L47">
        <f t="shared" si="3"/>
        <v>0</v>
      </c>
      <c r="M47">
        <f t="shared" si="4"/>
        <v>1</v>
      </c>
      <c r="N47">
        <f t="shared" si="5"/>
        <v>0</v>
      </c>
    </row>
    <row r="48" spans="1:14" x14ac:dyDescent="0.35">
      <c r="A48" t="s">
        <v>1343</v>
      </c>
      <c r="B48" t="s">
        <v>1796</v>
      </c>
      <c r="C48" s="7" t="s">
        <v>10</v>
      </c>
      <c r="D48" t="s">
        <v>55</v>
      </c>
      <c r="E48" t="s">
        <v>1746</v>
      </c>
      <c r="F48" t="s">
        <v>1727</v>
      </c>
      <c r="I48">
        <f t="shared" si="0"/>
        <v>0</v>
      </c>
      <c r="J48">
        <f t="shared" si="1"/>
        <v>0</v>
      </c>
      <c r="K48">
        <f t="shared" si="2"/>
        <v>0</v>
      </c>
      <c r="L48">
        <f t="shared" si="3"/>
        <v>0</v>
      </c>
      <c r="M48">
        <f t="shared" si="4"/>
        <v>1</v>
      </c>
      <c r="N48">
        <f t="shared" si="5"/>
        <v>0</v>
      </c>
    </row>
    <row r="49" spans="1:14" x14ac:dyDescent="0.35">
      <c r="A49" t="s">
        <v>734</v>
      </c>
      <c r="B49" t="s">
        <v>1797</v>
      </c>
      <c r="C49" s="7" t="s">
        <v>10</v>
      </c>
      <c r="D49" t="s">
        <v>55</v>
      </c>
      <c r="E49" t="s">
        <v>1793</v>
      </c>
      <c r="F49" t="s">
        <v>1727</v>
      </c>
      <c r="I49">
        <f t="shared" si="0"/>
        <v>0</v>
      </c>
      <c r="J49">
        <f t="shared" si="1"/>
        <v>0</v>
      </c>
      <c r="K49">
        <f t="shared" si="2"/>
        <v>0</v>
      </c>
      <c r="L49">
        <f t="shared" si="3"/>
        <v>0</v>
      </c>
      <c r="M49">
        <f t="shared" si="4"/>
        <v>1</v>
      </c>
      <c r="N49">
        <f t="shared" si="5"/>
        <v>0</v>
      </c>
    </row>
    <row r="50" spans="1:14" x14ac:dyDescent="0.35">
      <c r="A50" t="s">
        <v>647</v>
      </c>
      <c r="B50" t="s">
        <v>1798</v>
      </c>
      <c r="C50" s="7" t="s">
        <v>10</v>
      </c>
      <c r="D50" t="s">
        <v>444</v>
      </c>
      <c r="E50" t="s">
        <v>1748</v>
      </c>
      <c r="F50" t="s">
        <v>1727</v>
      </c>
      <c r="I50">
        <f t="shared" si="0"/>
        <v>0</v>
      </c>
      <c r="J50">
        <f t="shared" si="1"/>
        <v>0</v>
      </c>
      <c r="K50">
        <f t="shared" si="2"/>
        <v>0</v>
      </c>
      <c r="L50">
        <f t="shared" si="3"/>
        <v>0</v>
      </c>
      <c r="M50">
        <f t="shared" si="4"/>
        <v>1</v>
      </c>
      <c r="N50">
        <f t="shared" si="5"/>
        <v>0</v>
      </c>
    </row>
    <row r="51" spans="1:14" x14ac:dyDescent="0.35">
      <c r="A51" t="s">
        <v>1380</v>
      </c>
      <c r="B51" t="s">
        <v>1799</v>
      </c>
      <c r="C51" s="7" t="s">
        <v>10</v>
      </c>
      <c r="D51" t="s">
        <v>55</v>
      </c>
      <c r="E51" t="s">
        <v>1746</v>
      </c>
      <c r="F51" t="s">
        <v>1727</v>
      </c>
      <c r="I51">
        <f t="shared" si="0"/>
        <v>0</v>
      </c>
      <c r="J51">
        <f t="shared" si="1"/>
        <v>0</v>
      </c>
      <c r="K51">
        <f t="shared" si="2"/>
        <v>0</v>
      </c>
      <c r="L51">
        <f t="shared" si="3"/>
        <v>0</v>
      </c>
      <c r="M51">
        <f t="shared" si="4"/>
        <v>1</v>
      </c>
      <c r="N51">
        <f t="shared" si="5"/>
        <v>0</v>
      </c>
    </row>
    <row r="52" spans="1:14" x14ac:dyDescent="0.35">
      <c r="A52" t="s">
        <v>1036</v>
      </c>
      <c r="B52" t="s">
        <v>1800</v>
      </c>
      <c r="C52" s="7" t="s">
        <v>10</v>
      </c>
      <c r="D52" t="s">
        <v>125</v>
      </c>
      <c r="E52" t="s">
        <v>1753</v>
      </c>
      <c r="F52" t="s">
        <v>1754</v>
      </c>
      <c r="I52">
        <f t="shared" si="0"/>
        <v>0</v>
      </c>
      <c r="J52">
        <f t="shared" si="1"/>
        <v>0</v>
      </c>
      <c r="K52">
        <f t="shared" si="2"/>
        <v>0</v>
      </c>
      <c r="L52">
        <f t="shared" si="3"/>
        <v>1</v>
      </c>
      <c r="M52">
        <f t="shared" si="4"/>
        <v>0</v>
      </c>
      <c r="N52">
        <f t="shared" si="5"/>
        <v>0</v>
      </c>
    </row>
    <row r="53" spans="1:14" x14ac:dyDescent="0.35">
      <c r="A53" t="s">
        <v>1281</v>
      </c>
      <c r="B53" t="s">
        <v>1801</v>
      </c>
      <c r="C53" s="7" t="s">
        <v>10</v>
      </c>
      <c r="D53" t="s">
        <v>276</v>
      </c>
      <c r="E53" t="s">
        <v>1802</v>
      </c>
      <c r="F53" t="s">
        <v>1727</v>
      </c>
      <c r="I53">
        <f t="shared" si="0"/>
        <v>0</v>
      </c>
      <c r="J53">
        <f t="shared" si="1"/>
        <v>0</v>
      </c>
      <c r="K53">
        <f t="shared" si="2"/>
        <v>0</v>
      </c>
      <c r="L53">
        <f t="shared" si="3"/>
        <v>0</v>
      </c>
      <c r="M53">
        <f t="shared" si="4"/>
        <v>1</v>
      </c>
      <c r="N53">
        <f t="shared" si="5"/>
        <v>0</v>
      </c>
    </row>
    <row r="54" spans="1:14" x14ac:dyDescent="0.35">
      <c r="A54" t="s">
        <v>693</v>
      </c>
      <c r="B54" t="s">
        <v>1803</v>
      </c>
      <c r="C54" s="7" t="s">
        <v>10</v>
      </c>
      <c r="D54" t="s">
        <v>55</v>
      </c>
      <c r="E54" t="s">
        <v>1804</v>
      </c>
      <c r="F54" t="s">
        <v>1805</v>
      </c>
      <c r="I54">
        <f t="shared" si="0"/>
        <v>0</v>
      </c>
      <c r="J54">
        <f t="shared" si="1"/>
        <v>1</v>
      </c>
      <c r="K54">
        <f t="shared" si="2"/>
        <v>0</v>
      </c>
      <c r="L54">
        <f t="shared" si="3"/>
        <v>0</v>
      </c>
      <c r="M54">
        <f t="shared" si="4"/>
        <v>0</v>
      </c>
      <c r="N54">
        <f t="shared" si="5"/>
        <v>0</v>
      </c>
    </row>
    <row r="55" spans="1:14" x14ac:dyDescent="0.35">
      <c r="A55" t="s">
        <v>693</v>
      </c>
      <c r="B55" t="s">
        <v>1803</v>
      </c>
      <c r="C55" s="7" t="s">
        <v>10</v>
      </c>
      <c r="D55" t="s">
        <v>55</v>
      </c>
      <c r="E55" t="s">
        <v>1806</v>
      </c>
      <c r="F55" t="s">
        <v>1754</v>
      </c>
      <c r="I55">
        <f t="shared" si="0"/>
        <v>0</v>
      </c>
      <c r="J55">
        <f t="shared" si="1"/>
        <v>0</v>
      </c>
      <c r="K55">
        <f t="shared" si="2"/>
        <v>0</v>
      </c>
      <c r="L55">
        <f t="shared" si="3"/>
        <v>1</v>
      </c>
      <c r="M55">
        <f t="shared" si="4"/>
        <v>0</v>
      </c>
      <c r="N55">
        <f t="shared" si="5"/>
        <v>0</v>
      </c>
    </row>
    <row r="56" spans="1:14" x14ac:dyDescent="0.35">
      <c r="A56" t="s">
        <v>693</v>
      </c>
      <c r="B56" t="s">
        <v>1803</v>
      </c>
      <c r="C56" s="7" t="s">
        <v>10</v>
      </c>
      <c r="D56" t="s">
        <v>55</v>
      </c>
      <c r="E56" t="s">
        <v>1807</v>
      </c>
      <c r="F56" t="s">
        <v>1754</v>
      </c>
      <c r="I56">
        <f t="shared" si="0"/>
        <v>0</v>
      </c>
      <c r="J56">
        <f t="shared" si="1"/>
        <v>0</v>
      </c>
      <c r="K56">
        <f t="shared" si="2"/>
        <v>0</v>
      </c>
      <c r="L56">
        <f t="shared" si="3"/>
        <v>1</v>
      </c>
      <c r="M56">
        <f t="shared" si="4"/>
        <v>0</v>
      </c>
      <c r="N56">
        <f t="shared" si="5"/>
        <v>0</v>
      </c>
    </row>
    <row r="57" spans="1:14" x14ac:dyDescent="0.35">
      <c r="A57" t="s">
        <v>1309</v>
      </c>
      <c r="B57" t="s">
        <v>1808</v>
      </c>
      <c r="C57" s="7" t="s">
        <v>10</v>
      </c>
      <c r="D57" t="s">
        <v>55</v>
      </c>
      <c r="E57" t="s">
        <v>1809</v>
      </c>
      <c r="F57" t="s">
        <v>1754</v>
      </c>
      <c r="I57">
        <f t="shared" si="0"/>
        <v>0</v>
      </c>
      <c r="J57">
        <f t="shared" si="1"/>
        <v>0</v>
      </c>
      <c r="K57">
        <f t="shared" si="2"/>
        <v>0</v>
      </c>
      <c r="L57">
        <f t="shared" si="3"/>
        <v>1</v>
      </c>
      <c r="M57">
        <f t="shared" si="4"/>
        <v>0</v>
      </c>
      <c r="N57">
        <f t="shared" si="5"/>
        <v>0</v>
      </c>
    </row>
    <row r="58" spans="1:14" x14ac:dyDescent="0.35">
      <c r="A58" t="s">
        <v>1309</v>
      </c>
      <c r="B58" t="s">
        <v>1808</v>
      </c>
      <c r="C58" s="7" t="s">
        <v>10</v>
      </c>
      <c r="D58" t="s">
        <v>55</v>
      </c>
      <c r="E58" t="s">
        <v>1810</v>
      </c>
      <c r="F58" t="s">
        <v>1754</v>
      </c>
      <c r="I58">
        <f t="shared" si="0"/>
        <v>0</v>
      </c>
      <c r="J58">
        <f t="shared" si="1"/>
        <v>0</v>
      </c>
      <c r="K58">
        <f t="shared" si="2"/>
        <v>0</v>
      </c>
      <c r="L58">
        <f t="shared" si="3"/>
        <v>1</v>
      </c>
      <c r="M58">
        <f t="shared" si="4"/>
        <v>0</v>
      </c>
      <c r="N58">
        <f t="shared" si="5"/>
        <v>0</v>
      </c>
    </row>
    <row r="59" spans="1:14" x14ac:dyDescent="0.35">
      <c r="A59" t="s">
        <v>1309</v>
      </c>
      <c r="B59" t="s">
        <v>1808</v>
      </c>
      <c r="C59" s="7" t="s">
        <v>10</v>
      </c>
      <c r="D59" t="s">
        <v>55</v>
      </c>
      <c r="E59" t="s">
        <v>1811</v>
      </c>
      <c r="F59" t="s">
        <v>1754</v>
      </c>
      <c r="I59">
        <f t="shared" si="0"/>
        <v>0</v>
      </c>
      <c r="J59">
        <f t="shared" si="1"/>
        <v>0</v>
      </c>
      <c r="K59">
        <f t="shared" si="2"/>
        <v>0</v>
      </c>
      <c r="L59">
        <f t="shared" si="3"/>
        <v>1</v>
      </c>
      <c r="M59">
        <f t="shared" si="4"/>
        <v>0</v>
      </c>
      <c r="N59">
        <f t="shared" si="5"/>
        <v>0</v>
      </c>
    </row>
    <row r="60" spans="1:14" x14ac:dyDescent="0.35">
      <c r="A60" t="s">
        <v>1206</v>
      </c>
      <c r="B60" t="s">
        <v>1812</v>
      </c>
      <c r="C60" s="7" t="s">
        <v>6</v>
      </c>
      <c r="D60" t="s">
        <v>55</v>
      </c>
      <c r="E60" t="s">
        <v>1813</v>
      </c>
      <c r="F60" t="s">
        <v>1760</v>
      </c>
      <c r="I60">
        <f t="shared" si="0"/>
        <v>0</v>
      </c>
      <c r="J60">
        <f t="shared" si="1"/>
        <v>0</v>
      </c>
      <c r="K60">
        <f t="shared" si="2"/>
        <v>1</v>
      </c>
      <c r="L60">
        <f t="shared" si="3"/>
        <v>0</v>
      </c>
      <c r="M60">
        <f t="shared" si="4"/>
        <v>0</v>
      </c>
      <c r="N60">
        <f t="shared" si="5"/>
        <v>0</v>
      </c>
    </row>
    <row r="61" spans="1:14" x14ac:dyDescent="0.35">
      <c r="A61" t="s">
        <v>1206</v>
      </c>
      <c r="B61" t="s">
        <v>1812</v>
      </c>
      <c r="C61" s="7" t="s">
        <v>6</v>
      </c>
      <c r="D61" t="s">
        <v>55</v>
      </c>
      <c r="E61" t="s">
        <v>1814</v>
      </c>
      <c r="F61" t="s">
        <v>1760</v>
      </c>
      <c r="I61">
        <f t="shared" si="0"/>
        <v>0</v>
      </c>
      <c r="J61">
        <f t="shared" si="1"/>
        <v>0</v>
      </c>
      <c r="K61">
        <f t="shared" si="2"/>
        <v>1</v>
      </c>
      <c r="L61">
        <f t="shared" si="3"/>
        <v>0</v>
      </c>
      <c r="M61">
        <f t="shared" si="4"/>
        <v>0</v>
      </c>
      <c r="N61">
        <f t="shared" si="5"/>
        <v>0</v>
      </c>
    </row>
    <row r="62" spans="1:14" x14ac:dyDescent="0.35">
      <c r="A62" t="s">
        <v>1206</v>
      </c>
      <c r="B62" t="s">
        <v>1812</v>
      </c>
      <c r="C62" s="7" t="s">
        <v>6</v>
      </c>
      <c r="D62" t="s">
        <v>55</v>
      </c>
      <c r="E62" t="s">
        <v>1815</v>
      </c>
      <c r="F62" t="s">
        <v>1754</v>
      </c>
      <c r="I62">
        <f t="shared" si="0"/>
        <v>0</v>
      </c>
      <c r="J62">
        <f t="shared" si="1"/>
        <v>0</v>
      </c>
      <c r="K62">
        <f t="shared" si="2"/>
        <v>0</v>
      </c>
      <c r="L62">
        <f t="shared" si="3"/>
        <v>1</v>
      </c>
      <c r="M62">
        <f t="shared" si="4"/>
        <v>0</v>
      </c>
      <c r="N62">
        <f t="shared" si="5"/>
        <v>0</v>
      </c>
    </row>
    <row r="63" spans="1:14" x14ac:dyDescent="0.35">
      <c r="A63" t="s">
        <v>1206</v>
      </c>
      <c r="B63" t="s">
        <v>1812</v>
      </c>
      <c r="C63" s="7" t="s">
        <v>6</v>
      </c>
      <c r="D63" t="s">
        <v>55</v>
      </c>
      <c r="E63" t="s">
        <v>1816</v>
      </c>
      <c r="F63" t="s">
        <v>1760</v>
      </c>
      <c r="I63">
        <f t="shared" si="0"/>
        <v>0</v>
      </c>
      <c r="J63">
        <f t="shared" si="1"/>
        <v>0</v>
      </c>
      <c r="K63">
        <f t="shared" si="2"/>
        <v>1</v>
      </c>
      <c r="L63">
        <f t="shared" si="3"/>
        <v>0</v>
      </c>
      <c r="M63">
        <f t="shared" si="4"/>
        <v>0</v>
      </c>
      <c r="N63">
        <f t="shared" si="5"/>
        <v>0</v>
      </c>
    </row>
    <row r="64" spans="1:14" x14ac:dyDescent="0.35">
      <c r="A64" t="s">
        <v>1206</v>
      </c>
      <c r="B64" t="s">
        <v>1812</v>
      </c>
      <c r="C64" s="7" t="s">
        <v>6</v>
      </c>
      <c r="D64" t="s">
        <v>55</v>
      </c>
      <c r="E64" t="s">
        <v>1817</v>
      </c>
      <c r="F64" t="s">
        <v>1754</v>
      </c>
      <c r="I64">
        <f t="shared" si="0"/>
        <v>0</v>
      </c>
      <c r="J64">
        <f t="shared" si="1"/>
        <v>0</v>
      </c>
      <c r="K64">
        <f t="shared" si="2"/>
        <v>0</v>
      </c>
      <c r="L64">
        <f t="shared" si="3"/>
        <v>1</v>
      </c>
      <c r="M64">
        <f t="shared" si="4"/>
        <v>0</v>
      </c>
      <c r="N64">
        <f t="shared" si="5"/>
        <v>0</v>
      </c>
    </row>
    <row r="65" spans="1:14" x14ac:dyDescent="0.35">
      <c r="A65" t="s">
        <v>1206</v>
      </c>
      <c r="B65" t="s">
        <v>1812</v>
      </c>
      <c r="C65" s="7" t="s">
        <v>6</v>
      </c>
      <c r="D65" t="s">
        <v>55</v>
      </c>
      <c r="E65" t="s">
        <v>1818</v>
      </c>
      <c r="F65" t="s">
        <v>1760</v>
      </c>
      <c r="I65">
        <f t="shared" si="0"/>
        <v>0</v>
      </c>
      <c r="J65">
        <f t="shared" si="1"/>
        <v>0</v>
      </c>
      <c r="K65">
        <f t="shared" si="2"/>
        <v>1</v>
      </c>
      <c r="L65">
        <f t="shared" si="3"/>
        <v>0</v>
      </c>
      <c r="M65">
        <f t="shared" si="4"/>
        <v>0</v>
      </c>
      <c r="N65">
        <f t="shared" si="5"/>
        <v>0</v>
      </c>
    </row>
    <row r="66" spans="1:14" x14ac:dyDescent="0.35">
      <c r="A66" t="s">
        <v>1206</v>
      </c>
      <c r="B66" t="s">
        <v>1812</v>
      </c>
      <c r="C66" s="7" t="s">
        <v>6</v>
      </c>
      <c r="D66" t="s">
        <v>55</v>
      </c>
      <c r="E66" t="s">
        <v>1819</v>
      </c>
      <c r="F66" t="s">
        <v>1760</v>
      </c>
      <c r="I66">
        <f t="shared" si="0"/>
        <v>0</v>
      </c>
      <c r="J66">
        <f t="shared" si="1"/>
        <v>0</v>
      </c>
      <c r="K66">
        <f t="shared" si="2"/>
        <v>1</v>
      </c>
      <c r="L66">
        <f t="shared" si="3"/>
        <v>0</v>
      </c>
      <c r="M66">
        <f t="shared" si="4"/>
        <v>0</v>
      </c>
      <c r="N66">
        <f t="shared" si="5"/>
        <v>0</v>
      </c>
    </row>
    <row r="67" spans="1:14" x14ac:dyDescent="0.35">
      <c r="A67" t="s">
        <v>1504</v>
      </c>
      <c r="B67" t="s">
        <v>1820</v>
      </c>
      <c r="C67" s="7" t="s">
        <v>6</v>
      </c>
      <c r="D67" t="s">
        <v>382</v>
      </c>
      <c r="E67" t="s">
        <v>1821</v>
      </c>
      <c r="F67" t="s">
        <v>1760</v>
      </c>
      <c r="I67">
        <f t="shared" ref="I67:I130" si="6">IF($F67=$F$1,1,0)</f>
        <v>0</v>
      </c>
      <c r="J67">
        <f t="shared" ref="J67:J130" si="7">IF($F67=$J$1,1,0)</f>
        <v>0</v>
      </c>
      <c r="K67">
        <f t="shared" ref="K67:K130" si="8">IF($F67=$K$1,1,0)</f>
        <v>1</v>
      </c>
      <c r="L67">
        <f t="shared" ref="L67:L130" si="9">IF($F67=$L$1,1,0)</f>
        <v>0</v>
      </c>
      <c r="M67">
        <f t="shared" ref="M67:M130" si="10">IF($F67=$M$1,1,0)</f>
        <v>0</v>
      </c>
      <c r="N67">
        <f t="shared" ref="N67:N130" si="11">IF($G67&lt;&gt;"",1,0)</f>
        <v>0</v>
      </c>
    </row>
    <row r="68" spans="1:14" x14ac:dyDescent="0.35">
      <c r="A68" t="s">
        <v>1504</v>
      </c>
      <c r="B68" t="s">
        <v>1820</v>
      </c>
      <c r="C68" s="7" t="s">
        <v>6</v>
      </c>
      <c r="D68" t="s">
        <v>382</v>
      </c>
      <c r="E68" t="s">
        <v>1822</v>
      </c>
      <c r="F68" t="s">
        <v>1760</v>
      </c>
      <c r="I68">
        <f t="shared" si="6"/>
        <v>0</v>
      </c>
      <c r="J68">
        <f t="shared" si="7"/>
        <v>0</v>
      </c>
      <c r="K68">
        <f t="shared" si="8"/>
        <v>1</v>
      </c>
      <c r="L68">
        <f t="shared" si="9"/>
        <v>0</v>
      </c>
      <c r="M68">
        <f t="shared" si="10"/>
        <v>0</v>
      </c>
      <c r="N68">
        <f t="shared" si="11"/>
        <v>0</v>
      </c>
    </row>
    <row r="69" spans="1:14" x14ac:dyDescent="0.35">
      <c r="A69" t="s">
        <v>1504</v>
      </c>
      <c r="B69" t="s">
        <v>1820</v>
      </c>
      <c r="C69" s="7" t="s">
        <v>6</v>
      </c>
      <c r="D69" t="s">
        <v>382</v>
      </c>
      <c r="E69" t="s">
        <v>1823</v>
      </c>
      <c r="F69" t="s">
        <v>1760</v>
      </c>
      <c r="I69">
        <f t="shared" si="6"/>
        <v>0</v>
      </c>
      <c r="J69">
        <f t="shared" si="7"/>
        <v>0</v>
      </c>
      <c r="K69">
        <f t="shared" si="8"/>
        <v>1</v>
      </c>
      <c r="L69">
        <f t="shared" si="9"/>
        <v>0</v>
      </c>
      <c r="M69">
        <f t="shared" si="10"/>
        <v>0</v>
      </c>
      <c r="N69">
        <f t="shared" si="11"/>
        <v>0</v>
      </c>
    </row>
    <row r="70" spans="1:14" x14ac:dyDescent="0.35">
      <c r="A70" t="s">
        <v>656</v>
      </c>
      <c r="B70" t="s">
        <v>1824</v>
      </c>
      <c r="C70" s="7" t="s">
        <v>6</v>
      </c>
      <c r="D70" t="s">
        <v>97</v>
      </c>
      <c r="E70" t="s">
        <v>1813</v>
      </c>
      <c r="F70" t="s">
        <v>1760</v>
      </c>
      <c r="I70">
        <f t="shared" si="6"/>
        <v>0</v>
      </c>
      <c r="J70">
        <f t="shared" si="7"/>
        <v>0</v>
      </c>
      <c r="K70">
        <f t="shared" si="8"/>
        <v>1</v>
      </c>
      <c r="L70">
        <f t="shared" si="9"/>
        <v>0</v>
      </c>
      <c r="M70">
        <f t="shared" si="10"/>
        <v>0</v>
      </c>
      <c r="N70">
        <f t="shared" si="11"/>
        <v>0</v>
      </c>
    </row>
    <row r="71" spans="1:14" x14ac:dyDescent="0.35">
      <c r="A71" t="s">
        <v>656</v>
      </c>
      <c r="B71" t="s">
        <v>1824</v>
      </c>
      <c r="C71" s="7" t="s">
        <v>6</v>
      </c>
      <c r="D71" t="s">
        <v>97</v>
      </c>
      <c r="E71" t="s">
        <v>1825</v>
      </c>
      <c r="F71" t="s">
        <v>1754</v>
      </c>
      <c r="I71">
        <f t="shared" si="6"/>
        <v>0</v>
      </c>
      <c r="J71">
        <f t="shared" si="7"/>
        <v>0</v>
      </c>
      <c r="K71">
        <f t="shared" si="8"/>
        <v>0</v>
      </c>
      <c r="L71">
        <f t="shared" si="9"/>
        <v>1</v>
      </c>
      <c r="M71">
        <f t="shared" si="10"/>
        <v>0</v>
      </c>
      <c r="N71">
        <f t="shared" si="11"/>
        <v>0</v>
      </c>
    </row>
    <row r="72" spans="1:14" x14ac:dyDescent="0.35">
      <c r="A72" t="s">
        <v>656</v>
      </c>
      <c r="B72" t="s">
        <v>1824</v>
      </c>
      <c r="C72" s="7" t="s">
        <v>6</v>
      </c>
      <c r="D72" t="s">
        <v>97</v>
      </c>
      <c r="E72" t="s">
        <v>1819</v>
      </c>
      <c r="F72" t="s">
        <v>1760</v>
      </c>
      <c r="I72">
        <f t="shared" si="6"/>
        <v>0</v>
      </c>
      <c r="J72">
        <f t="shared" si="7"/>
        <v>0</v>
      </c>
      <c r="K72">
        <f t="shared" si="8"/>
        <v>1</v>
      </c>
      <c r="L72">
        <f t="shared" si="9"/>
        <v>0</v>
      </c>
      <c r="M72">
        <f t="shared" si="10"/>
        <v>0</v>
      </c>
      <c r="N72">
        <f t="shared" si="11"/>
        <v>0</v>
      </c>
    </row>
    <row r="73" spans="1:14" x14ac:dyDescent="0.35">
      <c r="A73" t="s">
        <v>656</v>
      </c>
      <c r="B73" t="s">
        <v>1824</v>
      </c>
      <c r="C73" s="7" t="s">
        <v>6</v>
      </c>
      <c r="D73" t="s">
        <v>97</v>
      </c>
      <c r="E73" t="s">
        <v>1826</v>
      </c>
      <c r="F73" t="s">
        <v>1754</v>
      </c>
      <c r="I73">
        <f t="shared" si="6"/>
        <v>0</v>
      </c>
      <c r="J73">
        <f t="shared" si="7"/>
        <v>0</v>
      </c>
      <c r="K73">
        <f t="shared" si="8"/>
        <v>0</v>
      </c>
      <c r="L73">
        <f t="shared" si="9"/>
        <v>1</v>
      </c>
      <c r="M73">
        <f t="shared" si="10"/>
        <v>0</v>
      </c>
      <c r="N73">
        <f t="shared" si="11"/>
        <v>0</v>
      </c>
    </row>
    <row r="74" spans="1:14" x14ac:dyDescent="0.35">
      <c r="A74" t="s">
        <v>656</v>
      </c>
      <c r="B74" t="s">
        <v>1824</v>
      </c>
      <c r="C74" s="7" t="s">
        <v>9</v>
      </c>
      <c r="D74" t="s">
        <v>97</v>
      </c>
      <c r="E74" t="s">
        <v>1818</v>
      </c>
      <c r="F74" t="s">
        <v>1760</v>
      </c>
      <c r="I74">
        <f t="shared" si="6"/>
        <v>0</v>
      </c>
      <c r="J74">
        <f t="shared" si="7"/>
        <v>0</v>
      </c>
      <c r="K74">
        <f t="shared" si="8"/>
        <v>1</v>
      </c>
      <c r="L74">
        <f t="shared" si="9"/>
        <v>0</v>
      </c>
      <c r="M74">
        <f t="shared" si="10"/>
        <v>0</v>
      </c>
      <c r="N74">
        <f t="shared" si="11"/>
        <v>0</v>
      </c>
    </row>
    <row r="75" spans="1:14" x14ac:dyDescent="0.35">
      <c r="A75" t="s">
        <v>656</v>
      </c>
      <c r="B75" t="s">
        <v>1824</v>
      </c>
      <c r="C75" s="7" t="s">
        <v>9</v>
      </c>
      <c r="D75" t="s">
        <v>97</v>
      </c>
      <c r="E75" t="s">
        <v>1816</v>
      </c>
      <c r="F75" t="s">
        <v>1760</v>
      </c>
      <c r="I75">
        <f t="shared" si="6"/>
        <v>0</v>
      </c>
      <c r="J75">
        <f t="shared" si="7"/>
        <v>0</v>
      </c>
      <c r="K75">
        <f t="shared" si="8"/>
        <v>1</v>
      </c>
      <c r="L75">
        <f t="shared" si="9"/>
        <v>0</v>
      </c>
      <c r="M75">
        <f t="shared" si="10"/>
        <v>0</v>
      </c>
      <c r="N75">
        <f t="shared" si="11"/>
        <v>0</v>
      </c>
    </row>
    <row r="76" spans="1:14" x14ac:dyDescent="0.35">
      <c r="A76" t="s">
        <v>212</v>
      </c>
      <c r="B76" t="s">
        <v>1827</v>
      </c>
      <c r="C76" s="7" t="s">
        <v>9</v>
      </c>
      <c r="D76" t="s">
        <v>215</v>
      </c>
      <c r="E76" t="s">
        <v>1828</v>
      </c>
      <c r="F76" t="s">
        <v>1754</v>
      </c>
      <c r="I76">
        <f t="shared" si="6"/>
        <v>0</v>
      </c>
      <c r="J76">
        <f t="shared" si="7"/>
        <v>0</v>
      </c>
      <c r="K76">
        <f t="shared" si="8"/>
        <v>0</v>
      </c>
      <c r="L76">
        <f t="shared" si="9"/>
        <v>1</v>
      </c>
      <c r="M76">
        <f t="shared" si="10"/>
        <v>0</v>
      </c>
      <c r="N76">
        <f t="shared" si="11"/>
        <v>0</v>
      </c>
    </row>
    <row r="77" spans="1:14" x14ac:dyDescent="0.35">
      <c r="A77" t="s">
        <v>212</v>
      </c>
      <c r="B77" t="s">
        <v>1827</v>
      </c>
      <c r="C77" s="7" t="s">
        <v>9</v>
      </c>
      <c r="D77" t="s">
        <v>215</v>
      </c>
      <c r="E77" t="s">
        <v>1829</v>
      </c>
      <c r="F77" t="s">
        <v>1754</v>
      </c>
      <c r="I77">
        <f t="shared" si="6"/>
        <v>0</v>
      </c>
      <c r="J77">
        <f t="shared" si="7"/>
        <v>0</v>
      </c>
      <c r="K77">
        <f t="shared" si="8"/>
        <v>0</v>
      </c>
      <c r="L77">
        <f t="shared" si="9"/>
        <v>1</v>
      </c>
      <c r="M77">
        <f t="shared" si="10"/>
        <v>0</v>
      </c>
      <c r="N77">
        <f t="shared" si="11"/>
        <v>0</v>
      </c>
    </row>
    <row r="78" spans="1:14" x14ac:dyDescent="0.35">
      <c r="A78" t="s">
        <v>212</v>
      </c>
      <c r="B78" t="s">
        <v>1827</v>
      </c>
      <c r="C78" s="7" t="s">
        <v>9</v>
      </c>
      <c r="D78" t="s">
        <v>215</v>
      </c>
      <c r="E78" t="s">
        <v>1830</v>
      </c>
      <c r="F78" t="s">
        <v>1754</v>
      </c>
      <c r="I78">
        <f t="shared" si="6"/>
        <v>0</v>
      </c>
      <c r="J78">
        <f t="shared" si="7"/>
        <v>0</v>
      </c>
      <c r="K78">
        <f t="shared" si="8"/>
        <v>0</v>
      </c>
      <c r="L78">
        <f t="shared" si="9"/>
        <v>1</v>
      </c>
      <c r="M78">
        <f t="shared" si="10"/>
        <v>0</v>
      </c>
      <c r="N78">
        <f t="shared" si="11"/>
        <v>0</v>
      </c>
    </row>
    <row r="79" spans="1:14" x14ac:dyDescent="0.35">
      <c r="A79" t="s">
        <v>956</v>
      </c>
      <c r="B79" t="s">
        <v>1831</v>
      </c>
      <c r="C79" s="7" t="s">
        <v>9</v>
      </c>
      <c r="D79" t="s">
        <v>206</v>
      </c>
      <c r="E79" t="s">
        <v>1832</v>
      </c>
      <c r="F79" t="s">
        <v>1754</v>
      </c>
      <c r="G79" t="s">
        <v>1833</v>
      </c>
      <c r="H79" t="s">
        <v>1834</v>
      </c>
      <c r="I79">
        <f t="shared" si="6"/>
        <v>0</v>
      </c>
      <c r="J79">
        <f t="shared" si="7"/>
        <v>0</v>
      </c>
      <c r="K79">
        <f t="shared" si="8"/>
        <v>0</v>
      </c>
      <c r="L79">
        <f t="shared" si="9"/>
        <v>1</v>
      </c>
      <c r="M79">
        <f t="shared" si="10"/>
        <v>0</v>
      </c>
      <c r="N79">
        <f t="shared" si="11"/>
        <v>1</v>
      </c>
    </row>
    <row r="80" spans="1:14" x14ac:dyDescent="0.35">
      <c r="A80" t="s">
        <v>956</v>
      </c>
      <c r="B80" t="s">
        <v>1831</v>
      </c>
      <c r="C80" s="7" t="s">
        <v>9</v>
      </c>
      <c r="D80" t="s">
        <v>206</v>
      </c>
      <c r="E80" t="s">
        <v>1835</v>
      </c>
      <c r="F80" t="s">
        <v>1754</v>
      </c>
      <c r="G80" t="s">
        <v>1833</v>
      </c>
      <c r="H80" t="s">
        <v>1834</v>
      </c>
      <c r="I80">
        <f t="shared" si="6"/>
        <v>0</v>
      </c>
      <c r="J80">
        <f t="shared" si="7"/>
        <v>0</v>
      </c>
      <c r="K80">
        <f t="shared" si="8"/>
        <v>0</v>
      </c>
      <c r="L80">
        <f t="shared" si="9"/>
        <v>1</v>
      </c>
      <c r="M80">
        <f t="shared" si="10"/>
        <v>0</v>
      </c>
      <c r="N80">
        <f t="shared" si="11"/>
        <v>1</v>
      </c>
    </row>
    <row r="81" spans="1:14" x14ac:dyDescent="0.35">
      <c r="A81" t="s">
        <v>956</v>
      </c>
      <c r="B81" t="s">
        <v>1831</v>
      </c>
      <c r="C81" s="7" t="s">
        <v>9</v>
      </c>
      <c r="D81" t="s">
        <v>206</v>
      </c>
      <c r="E81" t="s">
        <v>1836</v>
      </c>
      <c r="F81" t="s">
        <v>1754</v>
      </c>
      <c r="G81" t="s">
        <v>1833</v>
      </c>
      <c r="H81" t="s">
        <v>1834</v>
      </c>
      <c r="I81">
        <f t="shared" si="6"/>
        <v>0</v>
      </c>
      <c r="J81">
        <f t="shared" si="7"/>
        <v>0</v>
      </c>
      <c r="K81">
        <f t="shared" si="8"/>
        <v>0</v>
      </c>
      <c r="L81">
        <f t="shared" si="9"/>
        <v>1</v>
      </c>
      <c r="M81">
        <f t="shared" si="10"/>
        <v>0</v>
      </c>
      <c r="N81">
        <f t="shared" si="11"/>
        <v>1</v>
      </c>
    </row>
    <row r="82" spans="1:14" x14ac:dyDescent="0.35">
      <c r="A82" t="s">
        <v>861</v>
      </c>
      <c r="B82" t="s">
        <v>1837</v>
      </c>
      <c r="C82" s="7" t="s">
        <v>9</v>
      </c>
      <c r="D82" t="s">
        <v>97</v>
      </c>
      <c r="E82" t="s">
        <v>1838</v>
      </c>
      <c r="F82" t="s">
        <v>1760</v>
      </c>
      <c r="I82">
        <f t="shared" si="6"/>
        <v>0</v>
      </c>
      <c r="J82">
        <f t="shared" si="7"/>
        <v>0</v>
      </c>
      <c r="K82">
        <f t="shared" si="8"/>
        <v>1</v>
      </c>
      <c r="L82">
        <f t="shared" si="9"/>
        <v>0</v>
      </c>
      <c r="M82">
        <f t="shared" si="10"/>
        <v>0</v>
      </c>
      <c r="N82">
        <f t="shared" si="11"/>
        <v>0</v>
      </c>
    </row>
    <row r="83" spans="1:14" x14ac:dyDescent="0.35">
      <c r="A83" t="s">
        <v>861</v>
      </c>
      <c r="B83" t="s">
        <v>1837</v>
      </c>
      <c r="C83" s="7" t="s">
        <v>9</v>
      </c>
      <c r="D83" t="s">
        <v>97</v>
      </c>
      <c r="E83" t="s">
        <v>1839</v>
      </c>
      <c r="F83" t="s">
        <v>1760</v>
      </c>
      <c r="I83">
        <f t="shared" si="6"/>
        <v>0</v>
      </c>
      <c r="J83">
        <f t="shared" si="7"/>
        <v>0</v>
      </c>
      <c r="K83">
        <f t="shared" si="8"/>
        <v>1</v>
      </c>
      <c r="L83">
        <f t="shared" si="9"/>
        <v>0</v>
      </c>
      <c r="M83">
        <f t="shared" si="10"/>
        <v>0</v>
      </c>
      <c r="N83">
        <f t="shared" si="11"/>
        <v>0</v>
      </c>
    </row>
    <row r="84" spans="1:14" x14ac:dyDescent="0.35">
      <c r="A84" t="s">
        <v>861</v>
      </c>
      <c r="B84" t="s">
        <v>1837</v>
      </c>
      <c r="C84" s="7" t="s">
        <v>9</v>
      </c>
      <c r="D84" t="s">
        <v>97</v>
      </c>
      <c r="E84" t="s">
        <v>1813</v>
      </c>
      <c r="F84" t="s">
        <v>1760</v>
      </c>
      <c r="I84">
        <f t="shared" si="6"/>
        <v>0</v>
      </c>
      <c r="J84">
        <f t="shared" si="7"/>
        <v>0</v>
      </c>
      <c r="K84">
        <f t="shared" si="8"/>
        <v>1</v>
      </c>
      <c r="L84">
        <f t="shared" si="9"/>
        <v>0</v>
      </c>
      <c r="M84">
        <f t="shared" si="10"/>
        <v>0</v>
      </c>
      <c r="N84">
        <f t="shared" si="11"/>
        <v>0</v>
      </c>
    </row>
    <row r="85" spans="1:14" x14ac:dyDescent="0.35">
      <c r="A85" t="s">
        <v>861</v>
      </c>
      <c r="B85" t="s">
        <v>1837</v>
      </c>
      <c r="C85" s="7" t="s">
        <v>9</v>
      </c>
      <c r="D85" t="s">
        <v>97</v>
      </c>
      <c r="E85" t="s">
        <v>1823</v>
      </c>
      <c r="F85" t="s">
        <v>1760</v>
      </c>
      <c r="I85">
        <f t="shared" si="6"/>
        <v>0</v>
      </c>
      <c r="J85">
        <f t="shared" si="7"/>
        <v>0</v>
      </c>
      <c r="K85">
        <f t="shared" si="8"/>
        <v>1</v>
      </c>
      <c r="L85">
        <f t="shared" si="9"/>
        <v>0</v>
      </c>
      <c r="M85">
        <f t="shared" si="10"/>
        <v>0</v>
      </c>
      <c r="N85">
        <f t="shared" si="11"/>
        <v>0</v>
      </c>
    </row>
    <row r="86" spans="1:14" x14ac:dyDescent="0.35">
      <c r="A86" t="s">
        <v>861</v>
      </c>
      <c r="B86" t="s">
        <v>1837</v>
      </c>
      <c r="C86" s="7" t="s">
        <v>9</v>
      </c>
      <c r="D86" t="s">
        <v>97</v>
      </c>
      <c r="E86" t="s">
        <v>1821</v>
      </c>
      <c r="F86" t="s">
        <v>1760</v>
      </c>
      <c r="I86">
        <f t="shared" si="6"/>
        <v>0</v>
      </c>
      <c r="J86">
        <f t="shared" si="7"/>
        <v>0</v>
      </c>
      <c r="K86">
        <f t="shared" si="8"/>
        <v>1</v>
      </c>
      <c r="L86">
        <f t="shared" si="9"/>
        <v>0</v>
      </c>
      <c r="M86">
        <f t="shared" si="10"/>
        <v>0</v>
      </c>
      <c r="N86">
        <f t="shared" si="11"/>
        <v>0</v>
      </c>
    </row>
    <row r="87" spans="1:14" x14ac:dyDescent="0.35">
      <c r="A87" t="s">
        <v>861</v>
      </c>
      <c r="B87" t="s">
        <v>1837</v>
      </c>
      <c r="C87" s="7" t="s">
        <v>9</v>
      </c>
      <c r="D87" t="s">
        <v>97</v>
      </c>
      <c r="E87" t="s">
        <v>1840</v>
      </c>
      <c r="F87" t="s">
        <v>1760</v>
      </c>
      <c r="I87">
        <f t="shared" si="6"/>
        <v>0</v>
      </c>
      <c r="J87">
        <f t="shared" si="7"/>
        <v>0</v>
      </c>
      <c r="K87">
        <f t="shared" si="8"/>
        <v>1</v>
      </c>
      <c r="L87">
        <f t="shared" si="9"/>
        <v>0</v>
      </c>
      <c r="M87">
        <f t="shared" si="10"/>
        <v>0</v>
      </c>
      <c r="N87">
        <f t="shared" si="11"/>
        <v>0</v>
      </c>
    </row>
    <row r="88" spans="1:14" x14ac:dyDescent="0.35">
      <c r="A88" t="s">
        <v>861</v>
      </c>
      <c r="B88" t="s">
        <v>1837</v>
      </c>
      <c r="C88" s="7" t="s">
        <v>9</v>
      </c>
      <c r="D88" t="s">
        <v>97</v>
      </c>
      <c r="E88" t="s">
        <v>1841</v>
      </c>
      <c r="F88" t="s">
        <v>1760</v>
      </c>
      <c r="I88">
        <f t="shared" si="6"/>
        <v>0</v>
      </c>
      <c r="J88">
        <f t="shared" si="7"/>
        <v>0</v>
      </c>
      <c r="K88">
        <f t="shared" si="8"/>
        <v>1</v>
      </c>
      <c r="L88">
        <f t="shared" si="9"/>
        <v>0</v>
      </c>
      <c r="M88">
        <f t="shared" si="10"/>
        <v>0</v>
      </c>
      <c r="N88">
        <f t="shared" si="11"/>
        <v>0</v>
      </c>
    </row>
    <row r="89" spans="1:14" x14ac:dyDescent="0.35">
      <c r="A89" t="s">
        <v>861</v>
      </c>
      <c r="B89" t="s">
        <v>1837</v>
      </c>
      <c r="C89" s="7" t="s">
        <v>9</v>
      </c>
      <c r="D89" t="s">
        <v>97</v>
      </c>
      <c r="E89" t="s">
        <v>1842</v>
      </c>
      <c r="F89" t="s">
        <v>1760</v>
      </c>
      <c r="I89">
        <f t="shared" si="6"/>
        <v>0</v>
      </c>
      <c r="J89">
        <f t="shared" si="7"/>
        <v>0</v>
      </c>
      <c r="K89">
        <f t="shared" si="8"/>
        <v>1</v>
      </c>
      <c r="L89">
        <f t="shared" si="9"/>
        <v>0</v>
      </c>
      <c r="M89">
        <f t="shared" si="10"/>
        <v>0</v>
      </c>
      <c r="N89">
        <f t="shared" si="11"/>
        <v>0</v>
      </c>
    </row>
    <row r="90" spans="1:14" x14ac:dyDescent="0.35">
      <c r="A90" t="s">
        <v>861</v>
      </c>
      <c r="B90" t="s">
        <v>1837</v>
      </c>
      <c r="C90" s="7" t="s">
        <v>9</v>
      </c>
      <c r="D90" t="s">
        <v>97</v>
      </c>
      <c r="E90" t="s">
        <v>1822</v>
      </c>
      <c r="F90" t="s">
        <v>1760</v>
      </c>
      <c r="I90">
        <f t="shared" si="6"/>
        <v>0</v>
      </c>
      <c r="J90">
        <f t="shared" si="7"/>
        <v>0</v>
      </c>
      <c r="K90">
        <f t="shared" si="8"/>
        <v>1</v>
      </c>
      <c r="L90">
        <f t="shared" si="9"/>
        <v>0</v>
      </c>
      <c r="M90">
        <f t="shared" si="10"/>
        <v>0</v>
      </c>
      <c r="N90">
        <f t="shared" si="11"/>
        <v>0</v>
      </c>
    </row>
    <row r="91" spans="1:14" x14ac:dyDescent="0.35">
      <c r="A91" t="s">
        <v>861</v>
      </c>
      <c r="B91" t="s">
        <v>1837</v>
      </c>
      <c r="C91" s="7" t="s">
        <v>9</v>
      </c>
      <c r="D91" t="s">
        <v>97</v>
      </c>
      <c r="E91" t="s">
        <v>1843</v>
      </c>
      <c r="F91" t="s">
        <v>1760</v>
      </c>
      <c r="I91">
        <f t="shared" si="6"/>
        <v>0</v>
      </c>
      <c r="J91">
        <f t="shared" si="7"/>
        <v>0</v>
      </c>
      <c r="K91">
        <f t="shared" si="8"/>
        <v>1</v>
      </c>
      <c r="L91">
        <f t="shared" si="9"/>
        <v>0</v>
      </c>
      <c r="M91">
        <f t="shared" si="10"/>
        <v>0</v>
      </c>
      <c r="N91">
        <f t="shared" si="11"/>
        <v>0</v>
      </c>
    </row>
    <row r="92" spans="1:14" x14ac:dyDescent="0.35">
      <c r="A92" t="s">
        <v>1188</v>
      </c>
      <c r="B92" t="s">
        <v>1844</v>
      </c>
      <c r="C92" s="7" t="s">
        <v>9</v>
      </c>
      <c r="D92" t="s">
        <v>1189</v>
      </c>
      <c r="E92" t="s">
        <v>1845</v>
      </c>
      <c r="F92" t="s">
        <v>1754</v>
      </c>
      <c r="I92">
        <f t="shared" si="6"/>
        <v>0</v>
      </c>
      <c r="J92">
        <f t="shared" si="7"/>
        <v>0</v>
      </c>
      <c r="K92">
        <f t="shared" si="8"/>
        <v>0</v>
      </c>
      <c r="L92">
        <f t="shared" si="9"/>
        <v>1</v>
      </c>
      <c r="M92">
        <f t="shared" si="10"/>
        <v>0</v>
      </c>
      <c r="N92">
        <f t="shared" si="11"/>
        <v>0</v>
      </c>
    </row>
    <row r="93" spans="1:14" x14ac:dyDescent="0.35">
      <c r="A93" t="s">
        <v>1188</v>
      </c>
      <c r="B93" t="s">
        <v>1844</v>
      </c>
      <c r="C93" s="7" t="s">
        <v>9</v>
      </c>
      <c r="D93" t="s">
        <v>1189</v>
      </c>
      <c r="E93" t="s">
        <v>1846</v>
      </c>
      <c r="F93" t="s">
        <v>1760</v>
      </c>
      <c r="I93">
        <f t="shared" si="6"/>
        <v>0</v>
      </c>
      <c r="J93">
        <f t="shared" si="7"/>
        <v>0</v>
      </c>
      <c r="K93">
        <f t="shared" si="8"/>
        <v>1</v>
      </c>
      <c r="L93">
        <f t="shared" si="9"/>
        <v>0</v>
      </c>
      <c r="M93">
        <f t="shared" si="10"/>
        <v>0</v>
      </c>
      <c r="N93">
        <f t="shared" si="11"/>
        <v>0</v>
      </c>
    </row>
    <row r="94" spans="1:14" x14ac:dyDescent="0.35">
      <c r="A94" t="s">
        <v>1188</v>
      </c>
      <c r="B94" t="s">
        <v>1844</v>
      </c>
      <c r="C94" s="7" t="s">
        <v>9</v>
      </c>
      <c r="D94" t="s">
        <v>1189</v>
      </c>
      <c r="E94" t="s">
        <v>1847</v>
      </c>
      <c r="F94" t="s">
        <v>1754</v>
      </c>
      <c r="I94">
        <f t="shared" si="6"/>
        <v>0</v>
      </c>
      <c r="J94">
        <f t="shared" si="7"/>
        <v>0</v>
      </c>
      <c r="K94">
        <f t="shared" si="8"/>
        <v>0</v>
      </c>
      <c r="L94">
        <f t="shared" si="9"/>
        <v>1</v>
      </c>
      <c r="M94">
        <f t="shared" si="10"/>
        <v>0</v>
      </c>
      <c r="N94">
        <f t="shared" si="11"/>
        <v>0</v>
      </c>
    </row>
    <row r="95" spans="1:14" x14ac:dyDescent="0.35">
      <c r="A95" t="s">
        <v>1377</v>
      </c>
      <c r="B95" t="s">
        <v>1848</v>
      </c>
      <c r="C95" s="7" t="s">
        <v>9</v>
      </c>
      <c r="D95" t="s">
        <v>55</v>
      </c>
      <c r="E95" t="s">
        <v>1849</v>
      </c>
      <c r="F95" t="s">
        <v>1754</v>
      </c>
      <c r="I95">
        <f t="shared" si="6"/>
        <v>0</v>
      </c>
      <c r="J95">
        <f t="shared" si="7"/>
        <v>0</v>
      </c>
      <c r="K95">
        <f t="shared" si="8"/>
        <v>0</v>
      </c>
      <c r="L95">
        <f t="shared" si="9"/>
        <v>1</v>
      </c>
      <c r="M95">
        <f t="shared" si="10"/>
        <v>0</v>
      </c>
      <c r="N95">
        <f t="shared" si="11"/>
        <v>0</v>
      </c>
    </row>
    <row r="96" spans="1:14" x14ac:dyDescent="0.35">
      <c r="A96" t="s">
        <v>906</v>
      </c>
      <c r="B96" t="s">
        <v>1850</v>
      </c>
      <c r="C96" s="7" t="s">
        <v>6</v>
      </c>
      <c r="D96" t="s">
        <v>907</v>
      </c>
      <c r="E96" t="s">
        <v>1851</v>
      </c>
      <c r="F96" t="s">
        <v>1805</v>
      </c>
      <c r="G96" t="s">
        <v>1852</v>
      </c>
      <c r="H96" t="s">
        <v>1738</v>
      </c>
      <c r="I96">
        <f t="shared" si="6"/>
        <v>0</v>
      </c>
      <c r="J96">
        <f t="shared" si="7"/>
        <v>1</v>
      </c>
      <c r="K96">
        <f t="shared" si="8"/>
        <v>0</v>
      </c>
      <c r="L96">
        <f t="shared" si="9"/>
        <v>0</v>
      </c>
      <c r="M96">
        <f t="shared" si="10"/>
        <v>0</v>
      </c>
      <c r="N96">
        <f t="shared" si="11"/>
        <v>1</v>
      </c>
    </row>
    <row r="97" spans="1:14" x14ac:dyDescent="0.35">
      <c r="A97" t="s">
        <v>906</v>
      </c>
      <c r="B97" t="s">
        <v>1850</v>
      </c>
      <c r="C97" s="7" t="s">
        <v>10</v>
      </c>
      <c r="D97" t="s">
        <v>907</v>
      </c>
      <c r="E97" t="s">
        <v>1849</v>
      </c>
      <c r="F97" t="s">
        <v>1754</v>
      </c>
      <c r="G97" t="s">
        <v>1852</v>
      </c>
      <c r="H97" t="s">
        <v>1738</v>
      </c>
      <c r="I97">
        <f t="shared" si="6"/>
        <v>0</v>
      </c>
      <c r="J97">
        <f t="shared" si="7"/>
        <v>0</v>
      </c>
      <c r="K97">
        <f t="shared" si="8"/>
        <v>0</v>
      </c>
      <c r="L97">
        <f t="shared" si="9"/>
        <v>1</v>
      </c>
      <c r="M97">
        <f t="shared" si="10"/>
        <v>0</v>
      </c>
      <c r="N97">
        <f t="shared" si="11"/>
        <v>1</v>
      </c>
    </row>
    <row r="98" spans="1:14" x14ac:dyDescent="0.35">
      <c r="A98" t="s">
        <v>1020</v>
      </c>
      <c r="B98" t="s">
        <v>1850</v>
      </c>
      <c r="C98" s="7" t="s">
        <v>6</v>
      </c>
      <c r="D98" t="s">
        <v>111</v>
      </c>
      <c r="E98" t="s">
        <v>1851</v>
      </c>
      <c r="F98" t="s">
        <v>1805</v>
      </c>
      <c r="I98">
        <f t="shared" si="6"/>
        <v>0</v>
      </c>
      <c r="J98">
        <f t="shared" si="7"/>
        <v>1</v>
      </c>
      <c r="K98">
        <f t="shared" si="8"/>
        <v>0</v>
      </c>
      <c r="L98">
        <f t="shared" si="9"/>
        <v>0</v>
      </c>
      <c r="M98">
        <f t="shared" si="10"/>
        <v>0</v>
      </c>
      <c r="N98">
        <f t="shared" si="11"/>
        <v>0</v>
      </c>
    </row>
    <row r="99" spans="1:14" x14ac:dyDescent="0.35">
      <c r="A99" t="s">
        <v>1020</v>
      </c>
      <c r="B99" t="s">
        <v>1850</v>
      </c>
      <c r="C99" s="7" t="s">
        <v>6</v>
      </c>
      <c r="D99" t="s">
        <v>111</v>
      </c>
      <c r="E99" t="s">
        <v>1849</v>
      </c>
      <c r="F99" t="s">
        <v>1754</v>
      </c>
      <c r="I99">
        <f t="shared" si="6"/>
        <v>0</v>
      </c>
      <c r="J99">
        <f t="shared" si="7"/>
        <v>0</v>
      </c>
      <c r="K99">
        <f t="shared" si="8"/>
        <v>0</v>
      </c>
      <c r="L99">
        <f t="shared" si="9"/>
        <v>1</v>
      </c>
      <c r="M99">
        <f t="shared" si="10"/>
        <v>0</v>
      </c>
      <c r="N99">
        <f t="shared" si="11"/>
        <v>0</v>
      </c>
    </row>
    <row r="100" spans="1:14" x14ac:dyDescent="0.35">
      <c r="A100" t="s">
        <v>1070</v>
      </c>
      <c r="B100" t="s">
        <v>1853</v>
      </c>
      <c r="C100" s="7" t="s">
        <v>6</v>
      </c>
      <c r="D100" t="s">
        <v>92</v>
      </c>
      <c r="E100" t="s">
        <v>1838</v>
      </c>
      <c r="F100" t="s">
        <v>1760</v>
      </c>
      <c r="I100">
        <f t="shared" si="6"/>
        <v>0</v>
      </c>
      <c r="J100">
        <f t="shared" si="7"/>
        <v>0</v>
      </c>
      <c r="K100">
        <f t="shared" si="8"/>
        <v>1</v>
      </c>
      <c r="L100">
        <f t="shared" si="9"/>
        <v>0</v>
      </c>
      <c r="M100">
        <f t="shared" si="10"/>
        <v>0</v>
      </c>
      <c r="N100">
        <f t="shared" si="11"/>
        <v>0</v>
      </c>
    </row>
    <row r="101" spans="1:14" x14ac:dyDescent="0.35">
      <c r="A101" t="s">
        <v>1070</v>
      </c>
      <c r="B101" t="s">
        <v>1853</v>
      </c>
      <c r="C101" s="7" t="s">
        <v>6</v>
      </c>
      <c r="D101" t="s">
        <v>92</v>
      </c>
      <c r="E101" t="s">
        <v>1854</v>
      </c>
      <c r="F101" t="s">
        <v>1754</v>
      </c>
      <c r="I101">
        <f t="shared" si="6"/>
        <v>0</v>
      </c>
      <c r="J101">
        <f t="shared" si="7"/>
        <v>0</v>
      </c>
      <c r="K101">
        <f t="shared" si="8"/>
        <v>0</v>
      </c>
      <c r="L101">
        <f t="shared" si="9"/>
        <v>1</v>
      </c>
      <c r="M101">
        <f t="shared" si="10"/>
        <v>0</v>
      </c>
      <c r="N101">
        <f t="shared" si="11"/>
        <v>0</v>
      </c>
    </row>
    <row r="102" spans="1:14" x14ac:dyDescent="0.35">
      <c r="A102" t="s">
        <v>1704</v>
      </c>
      <c r="B102" t="s">
        <v>1855</v>
      </c>
      <c r="C102" s="7" t="s">
        <v>6</v>
      </c>
      <c r="D102" t="s">
        <v>55</v>
      </c>
      <c r="E102" t="s">
        <v>1822</v>
      </c>
      <c r="F102" t="s">
        <v>1760</v>
      </c>
      <c r="I102">
        <f t="shared" si="6"/>
        <v>0</v>
      </c>
      <c r="J102">
        <f t="shared" si="7"/>
        <v>0</v>
      </c>
      <c r="K102">
        <f t="shared" si="8"/>
        <v>1</v>
      </c>
      <c r="L102">
        <f t="shared" si="9"/>
        <v>0</v>
      </c>
      <c r="M102">
        <f t="shared" si="10"/>
        <v>0</v>
      </c>
      <c r="N102">
        <f t="shared" si="11"/>
        <v>0</v>
      </c>
    </row>
    <row r="103" spans="1:14" x14ac:dyDescent="0.35">
      <c r="A103" t="s">
        <v>1704</v>
      </c>
      <c r="B103" t="s">
        <v>1855</v>
      </c>
      <c r="C103" s="7" t="s">
        <v>6</v>
      </c>
      <c r="D103" t="s">
        <v>55</v>
      </c>
      <c r="E103" t="s">
        <v>1821</v>
      </c>
      <c r="F103" t="s">
        <v>1760</v>
      </c>
      <c r="I103">
        <f t="shared" si="6"/>
        <v>0</v>
      </c>
      <c r="J103">
        <f t="shared" si="7"/>
        <v>0</v>
      </c>
      <c r="K103">
        <f t="shared" si="8"/>
        <v>1</v>
      </c>
      <c r="L103">
        <f t="shared" si="9"/>
        <v>0</v>
      </c>
      <c r="M103">
        <f t="shared" si="10"/>
        <v>0</v>
      </c>
      <c r="N103">
        <f t="shared" si="11"/>
        <v>0</v>
      </c>
    </row>
    <row r="104" spans="1:14" x14ac:dyDescent="0.35">
      <c r="A104" t="s">
        <v>1704</v>
      </c>
      <c r="B104" t="s">
        <v>1855</v>
      </c>
      <c r="C104" s="7" t="s">
        <v>6</v>
      </c>
      <c r="D104" t="s">
        <v>55</v>
      </c>
      <c r="E104" t="s">
        <v>1856</v>
      </c>
      <c r="F104" t="s">
        <v>1760</v>
      </c>
      <c r="I104">
        <f t="shared" si="6"/>
        <v>0</v>
      </c>
      <c r="J104">
        <f t="shared" si="7"/>
        <v>0</v>
      </c>
      <c r="K104">
        <f t="shared" si="8"/>
        <v>1</v>
      </c>
      <c r="L104">
        <f t="shared" si="9"/>
        <v>0</v>
      </c>
      <c r="M104">
        <f t="shared" si="10"/>
        <v>0</v>
      </c>
      <c r="N104">
        <f t="shared" si="11"/>
        <v>0</v>
      </c>
    </row>
    <row r="105" spans="1:14" x14ac:dyDescent="0.35">
      <c r="A105" t="s">
        <v>1359</v>
      </c>
      <c r="B105" t="s">
        <v>1857</v>
      </c>
      <c r="C105" s="7" t="s">
        <v>6</v>
      </c>
      <c r="D105" t="s">
        <v>55</v>
      </c>
      <c r="E105" t="s">
        <v>1858</v>
      </c>
      <c r="F105" t="s">
        <v>1760</v>
      </c>
      <c r="I105">
        <f t="shared" si="6"/>
        <v>0</v>
      </c>
      <c r="J105">
        <f t="shared" si="7"/>
        <v>0</v>
      </c>
      <c r="K105">
        <f t="shared" si="8"/>
        <v>1</v>
      </c>
      <c r="L105">
        <f t="shared" si="9"/>
        <v>0</v>
      </c>
      <c r="M105">
        <f t="shared" si="10"/>
        <v>0</v>
      </c>
      <c r="N105">
        <f t="shared" si="11"/>
        <v>0</v>
      </c>
    </row>
    <row r="106" spans="1:14" x14ac:dyDescent="0.35">
      <c r="A106" t="s">
        <v>1359</v>
      </c>
      <c r="B106" t="s">
        <v>1857</v>
      </c>
      <c r="C106" s="7" t="s">
        <v>10</v>
      </c>
      <c r="D106" t="s">
        <v>55</v>
      </c>
      <c r="E106" t="s">
        <v>1843</v>
      </c>
      <c r="F106" t="s">
        <v>1760</v>
      </c>
      <c r="I106">
        <f t="shared" si="6"/>
        <v>0</v>
      </c>
      <c r="J106">
        <f t="shared" si="7"/>
        <v>0</v>
      </c>
      <c r="K106">
        <f t="shared" si="8"/>
        <v>1</v>
      </c>
      <c r="L106">
        <f t="shared" si="9"/>
        <v>0</v>
      </c>
      <c r="M106">
        <f t="shared" si="10"/>
        <v>0</v>
      </c>
      <c r="N106">
        <f t="shared" si="11"/>
        <v>0</v>
      </c>
    </row>
    <row r="107" spans="1:14" x14ac:dyDescent="0.35">
      <c r="A107" t="s">
        <v>1359</v>
      </c>
      <c r="B107" t="s">
        <v>1857</v>
      </c>
      <c r="C107" s="7" t="s">
        <v>6</v>
      </c>
      <c r="D107" t="s">
        <v>55</v>
      </c>
      <c r="E107" t="s">
        <v>1842</v>
      </c>
      <c r="F107" t="s">
        <v>1760</v>
      </c>
      <c r="I107">
        <f t="shared" si="6"/>
        <v>0</v>
      </c>
      <c r="J107">
        <f t="shared" si="7"/>
        <v>0</v>
      </c>
      <c r="K107">
        <f t="shared" si="8"/>
        <v>1</v>
      </c>
      <c r="L107">
        <f t="shared" si="9"/>
        <v>0</v>
      </c>
      <c r="M107">
        <f t="shared" si="10"/>
        <v>0</v>
      </c>
      <c r="N107">
        <f t="shared" si="11"/>
        <v>0</v>
      </c>
    </row>
    <row r="108" spans="1:14" x14ac:dyDescent="0.35">
      <c r="A108" t="s">
        <v>405</v>
      </c>
      <c r="B108" t="s">
        <v>1859</v>
      </c>
      <c r="C108" s="7" t="s">
        <v>6</v>
      </c>
      <c r="D108" t="s">
        <v>55</v>
      </c>
      <c r="E108" t="s">
        <v>1860</v>
      </c>
      <c r="F108" t="s">
        <v>1754</v>
      </c>
      <c r="I108">
        <f t="shared" si="6"/>
        <v>0</v>
      </c>
      <c r="J108">
        <f t="shared" si="7"/>
        <v>0</v>
      </c>
      <c r="K108">
        <f t="shared" si="8"/>
        <v>0</v>
      </c>
      <c r="L108">
        <f t="shared" si="9"/>
        <v>1</v>
      </c>
      <c r="M108">
        <f t="shared" si="10"/>
        <v>0</v>
      </c>
      <c r="N108">
        <f t="shared" si="11"/>
        <v>0</v>
      </c>
    </row>
    <row r="109" spans="1:14" x14ac:dyDescent="0.35">
      <c r="A109" t="s">
        <v>405</v>
      </c>
      <c r="B109" t="s">
        <v>1859</v>
      </c>
      <c r="C109" s="7" t="s">
        <v>6</v>
      </c>
      <c r="D109" t="s">
        <v>55</v>
      </c>
      <c r="E109" t="s">
        <v>1829</v>
      </c>
      <c r="F109" t="s">
        <v>1754</v>
      </c>
      <c r="I109">
        <f t="shared" si="6"/>
        <v>0</v>
      </c>
      <c r="J109">
        <f t="shared" si="7"/>
        <v>0</v>
      </c>
      <c r="K109">
        <f t="shared" si="8"/>
        <v>0</v>
      </c>
      <c r="L109">
        <f t="shared" si="9"/>
        <v>1</v>
      </c>
      <c r="M109">
        <f t="shared" si="10"/>
        <v>0</v>
      </c>
      <c r="N109">
        <f t="shared" si="11"/>
        <v>0</v>
      </c>
    </row>
    <row r="110" spans="1:14" x14ac:dyDescent="0.35">
      <c r="A110" t="s">
        <v>405</v>
      </c>
      <c r="B110" t="s">
        <v>1859</v>
      </c>
      <c r="C110" s="7" t="s">
        <v>6</v>
      </c>
      <c r="D110" t="s">
        <v>55</v>
      </c>
      <c r="E110" t="s">
        <v>1828</v>
      </c>
      <c r="F110" t="s">
        <v>1754</v>
      </c>
      <c r="I110">
        <f t="shared" si="6"/>
        <v>0</v>
      </c>
      <c r="J110">
        <f t="shared" si="7"/>
        <v>0</v>
      </c>
      <c r="K110">
        <f t="shared" si="8"/>
        <v>0</v>
      </c>
      <c r="L110">
        <f t="shared" si="9"/>
        <v>1</v>
      </c>
      <c r="M110">
        <f t="shared" si="10"/>
        <v>0</v>
      </c>
      <c r="N110">
        <f t="shared" si="11"/>
        <v>0</v>
      </c>
    </row>
    <row r="111" spans="1:14" x14ac:dyDescent="0.35">
      <c r="A111" t="s">
        <v>617</v>
      </c>
      <c r="B111" t="s">
        <v>1861</v>
      </c>
      <c r="C111" s="7" t="s">
        <v>10</v>
      </c>
      <c r="D111" t="s">
        <v>55</v>
      </c>
      <c r="E111" t="s">
        <v>1807</v>
      </c>
      <c r="F111" t="s">
        <v>1754</v>
      </c>
      <c r="I111">
        <f t="shared" si="6"/>
        <v>0</v>
      </c>
      <c r="J111">
        <f t="shared" si="7"/>
        <v>0</v>
      </c>
      <c r="K111">
        <f t="shared" si="8"/>
        <v>0</v>
      </c>
      <c r="L111">
        <f t="shared" si="9"/>
        <v>1</v>
      </c>
      <c r="M111">
        <f t="shared" si="10"/>
        <v>0</v>
      </c>
      <c r="N111">
        <f t="shared" si="11"/>
        <v>0</v>
      </c>
    </row>
    <row r="112" spans="1:14" x14ac:dyDescent="0.35">
      <c r="A112" t="s">
        <v>617</v>
      </c>
      <c r="B112" t="s">
        <v>1861</v>
      </c>
      <c r="C112" s="7" t="s">
        <v>6</v>
      </c>
      <c r="D112" t="s">
        <v>55</v>
      </c>
      <c r="E112" t="s">
        <v>1806</v>
      </c>
      <c r="F112" t="s">
        <v>1754</v>
      </c>
      <c r="I112">
        <f t="shared" si="6"/>
        <v>0</v>
      </c>
      <c r="J112">
        <f t="shared" si="7"/>
        <v>0</v>
      </c>
      <c r="K112">
        <f t="shared" si="8"/>
        <v>0</v>
      </c>
      <c r="L112">
        <f t="shared" si="9"/>
        <v>1</v>
      </c>
      <c r="M112">
        <f t="shared" si="10"/>
        <v>0</v>
      </c>
      <c r="N112">
        <f t="shared" si="11"/>
        <v>0</v>
      </c>
    </row>
    <row r="113" spans="1:14" x14ac:dyDescent="0.35">
      <c r="A113" t="s">
        <v>1384</v>
      </c>
      <c r="B113" t="s">
        <v>1725</v>
      </c>
      <c r="C113" s="7" t="s">
        <v>6</v>
      </c>
      <c r="D113" t="s">
        <v>55</v>
      </c>
      <c r="E113" t="s">
        <v>1836</v>
      </c>
      <c r="F113" t="s">
        <v>1754</v>
      </c>
      <c r="G113" t="s">
        <v>1728</v>
      </c>
      <c r="H113" t="s">
        <v>1729</v>
      </c>
      <c r="I113">
        <f t="shared" si="6"/>
        <v>0</v>
      </c>
      <c r="J113">
        <f t="shared" si="7"/>
        <v>0</v>
      </c>
      <c r="K113">
        <f t="shared" si="8"/>
        <v>0</v>
      </c>
      <c r="L113">
        <f t="shared" si="9"/>
        <v>1</v>
      </c>
      <c r="M113">
        <f t="shared" si="10"/>
        <v>0</v>
      </c>
      <c r="N113">
        <f t="shared" si="11"/>
        <v>1</v>
      </c>
    </row>
    <row r="114" spans="1:14" x14ac:dyDescent="0.35">
      <c r="A114" t="s">
        <v>1384</v>
      </c>
      <c r="B114" t="s">
        <v>1725</v>
      </c>
      <c r="C114" s="7" t="s">
        <v>6</v>
      </c>
      <c r="D114" t="s">
        <v>55</v>
      </c>
      <c r="E114" t="s">
        <v>1835</v>
      </c>
      <c r="F114" t="s">
        <v>1754</v>
      </c>
      <c r="G114" t="s">
        <v>1728</v>
      </c>
      <c r="H114" t="s">
        <v>1729</v>
      </c>
      <c r="I114">
        <f t="shared" si="6"/>
        <v>0</v>
      </c>
      <c r="J114">
        <f t="shared" si="7"/>
        <v>0</v>
      </c>
      <c r="K114">
        <f t="shared" si="8"/>
        <v>0</v>
      </c>
      <c r="L114">
        <f t="shared" si="9"/>
        <v>1</v>
      </c>
      <c r="M114">
        <f t="shared" si="10"/>
        <v>0</v>
      </c>
      <c r="N114">
        <f t="shared" si="11"/>
        <v>1</v>
      </c>
    </row>
    <row r="115" spans="1:14" x14ac:dyDescent="0.35">
      <c r="A115" t="s">
        <v>156</v>
      </c>
      <c r="B115" t="s">
        <v>1862</v>
      </c>
      <c r="C115" s="7" t="s">
        <v>6</v>
      </c>
      <c r="D115" t="s">
        <v>158</v>
      </c>
      <c r="E115" t="s">
        <v>1840</v>
      </c>
      <c r="F115" t="s">
        <v>1760</v>
      </c>
      <c r="I115">
        <f t="shared" si="6"/>
        <v>0</v>
      </c>
      <c r="J115">
        <f t="shared" si="7"/>
        <v>0</v>
      </c>
      <c r="K115">
        <f t="shared" si="8"/>
        <v>1</v>
      </c>
      <c r="L115">
        <f t="shared" si="9"/>
        <v>0</v>
      </c>
      <c r="M115">
        <f t="shared" si="10"/>
        <v>0</v>
      </c>
      <c r="N115">
        <f t="shared" si="11"/>
        <v>0</v>
      </c>
    </row>
    <row r="116" spans="1:14" x14ac:dyDescent="0.35">
      <c r="A116" t="s">
        <v>1475</v>
      </c>
      <c r="B116" t="s">
        <v>1863</v>
      </c>
      <c r="C116" s="7" t="s">
        <v>6</v>
      </c>
      <c r="D116" t="s">
        <v>55</v>
      </c>
      <c r="E116" t="s">
        <v>1828</v>
      </c>
      <c r="F116" t="s">
        <v>1754</v>
      </c>
      <c r="I116">
        <f t="shared" si="6"/>
        <v>0</v>
      </c>
      <c r="J116">
        <f t="shared" si="7"/>
        <v>0</v>
      </c>
      <c r="K116">
        <f t="shared" si="8"/>
        <v>0</v>
      </c>
      <c r="L116">
        <f t="shared" si="9"/>
        <v>1</v>
      </c>
      <c r="M116">
        <f t="shared" si="10"/>
        <v>0</v>
      </c>
      <c r="N116">
        <f t="shared" si="11"/>
        <v>0</v>
      </c>
    </row>
    <row r="117" spans="1:14" x14ac:dyDescent="0.35">
      <c r="A117" t="s">
        <v>1475</v>
      </c>
      <c r="B117" t="s">
        <v>1863</v>
      </c>
      <c r="C117" s="7" t="s">
        <v>6</v>
      </c>
      <c r="D117" t="s">
        <v>55</v>
      </c>
      <c r="E117" t="s">
        <v>1806</v>
      </c>
      <c r="F117" t="s">
        <v>1754</v>
      </c>
      <c r="I117">
        <f t="shared" si="6"/>
        <v>0</v>
      </c>
      <c r="J117">
        <f t="shared" si="7"/>
        <v>0</v>
      </c>
      <c r="K117">
        <f t="shared" si="8"/>
        <v>0</v>
      </c>
      <c r="L117">
        <f t="shared" si="9"/>
        <v>1</v>
      </c>
      <c r="M117">
        <f t="shared" si="10"/>
        <v>0</v>
      </c>
      <c r="N117">
        <f t="shared" si="11"/>
        <v>0</v>
      </c>
    </row>
    <row r="118" spans="1:14" x14ac:dyDescent="0.35">
      <c r="A118" t="s">
        <v>1475</v>
      </c>
      <c r="B118" t="s">
        <v>1863</v>
      </c>
      <c r="C118" s="7" t="s">
        <v>6</v>
      </c>
      <c r="D118" t="s">
        <v>55</v>
      </c>
      <c r="E118" t="s">
        <v>1807</v>
      </c>
      <c r="F118" t="s">
        <v>1754</v>
      </c>
      <c r="I118">
        <f t="shared" si="6"/>
        <v>0</v>
      </c>
      <c r="J118">
        <f t="shared" si="7"/>
        <v>0</v>
      </c>
      <c r="K118">
        <f t="shared" si="8"/>
        <v>0</v>
      </c>
      <c r="L118">
        <f t="shared" si="9"/>
        <v>1</v>
      </c>
      <c r="M118">
        <f t="shared" si="10"/>
        <v>0</v>
      </c>
      <c r="N118">
        <f t="shared" si="11"/>
        <v>0</v>
      </c>
    </row>
    <row r="119" spans="1:14" x14ac:dyDescent="0.35">
      <c r="A119" t="s">
        <v>1264</v>
      </c>
      <c r="B119" t="s">
        <v>1864</v>
      </c>
      <c r="C119" s="7" t="s">
        <v>6</v>
      </c>
      <c r="D119" t="s">
        <v>55</v>
      </c>
      <c r="E119" t="s">
        <v>1865</v>
      </c>
      <c r="F119" t="s">
        <v>1727</v>
      </c>
      <c r="I119">
        <f t="shared" si="6"/>
        <v>0</v>
      </c>
      <c r="J119">
        <f t="shared" si="7"/>
        <v>0</v>
      </c>
      <c r="K119">
        <f t="shared" si="8"/>
        <v>0</v>
      </c>
      <c r="L119">
        <f t="shared" si="9"/>
        <v>0</v>
      </c>
      <c r="M119">
        <f t="shared" si="10"/>
        <v>1</v>
      </c>
      <c r="N119">
        <f t="shared" si="11"/>
        <v>0</v>
      </c>
    </row>
    <row r="120" spans="1:14" x14ac:dyDescent="0.35">
      <c r="A120" t="s">
        <v>498</v>
      </c>
      <c r="B120" t="s">
        <v>1730</v>
      </c>
      <c r="C120" s="7" t="s">
        <v>10</v>
      </c>
      <c r="D120" t="s">
        <v>55</v>
      </c>
      <c r="E120" t="s">
        <v>1866</v>
      </c>
      <c r="F120" t="s">
        <v>1727</v>
      </c>
      <c r="I120">
        <f t="shared" si="6"/>
        <v>0</v>
      </c>
      <c r="J120">
        <f t="shared" si="7"/>
        <v>0</v>
      </c>
      <c r="K120">
        <f t="shared" si="8"/>
        <v>0</v>
      </c>
      <c r="L120">
        <f t="shared" si="9"/>
        <v>0</v>
      </c>
      <c r="M120">
        <f t="shared" si="10"/>
        <v>1</v>
      </c>
      <c r="N120">
        <f t="shared" si="11"/>
        <v>0</v>
      </c>
    </row>
    <row r="121" spans="1:14" x14ac:dyDescent="0.35">
      <c r="A121" t="s">
        <v>498</v>
      </c>
      <c r="B121" t="s">
        <v>1730</v>
      </c>
      <c r="C121" s="7" t="s">
        <v>6</v>
      </c>
      <c r="D121" t="s">
        <v>55</v>
      </c>
      <c r="E121" t="s">
        <v>1867</v>
      </c>
      <c r="F121" t="s">
        <v>1727</v>
      </c>
      <c r="I121">
        <f t="shared" si="6"/>
        <v>0</v>
      </c>
      <c r="J121">
        <f t="shared" si="7"/>
        <v>0</v>
      </c>
      <c r="K121">
        <f t="shared" si="8"/>
        <v>0</v>
      </c>
      <c r="L121">
        <f t="shared" si="9"/>
        <v>0</v>
      </c>
      <c r="M121">
        <f t="shared" si="10"/>
        <v>1</v>
      </c>
      <c r="N121">
        <f t="shared" si="11"/>
        <v>0</v>
      </c>
    </row>
    <row r="122" spans="1:14" x14ac:dyDescent="0.35">
      <c r="A122" t="s">
        <v>498</v>
      </c>
      <c r="B122" t="s">
        <v>1730</v>
      </c>
      <c r="C122" s="7" t="s">
        <v>6</v>
      </c>
      <c r="D122" t="s">
        <v>55</v>
      </c>
      <c r="E122" t="s">
        <v>1868</v>
      </c>
      <c r="F122" t="s">
        <v>1727</v>
      </c>
      <c r="I122">
        <f t="shared" si="6"/>
        <v>0</v>
      </c>
      <c r="J122">
        <f t="shared" si="7"/>
        <v>0</v>
      </c>
      <c r="K122">
        <f t="shared" si="8"/>
        <v>0</v>
      </c>
      <c r="L122">
        <f t="shared" si="9"/>
        <v>0</v>
      </c>
      <c r="M122">
        <f t="shared" si="10"/>
        <v>1</v>
      </c>
      <c r="N122">
        <f t="shared" si="11"/>
        <v>0</v>
      </c>
    </row>
    <row r="123" spans="1:14" x14ac:dyDescent="0.35">
      <c r="A123" t="s">
        <v>772</v>
      </c>
      <c r="B123" t="s">
        <v>1869</v>
      </c>
      <c r="C123" s="7" t="s">
        <v>6</v>
      </c>
      <c r="D123" t="s">
        <v>773</v>
      </c>
      <c r="E123" t="s">
        <v>1870</v>
      </c>
      <c r="F123" t="s">
        <v>1727</v>
      </c>
      <c r="I123">
        <f t="shared" si="6"/>
        <v>0</v>
      </c>
      <c r="J123">
        <f t="shared" si="7"/>
        <v>0</v>
      </c>
      <c r="K123">
        <f t="shared" si="8"/>
        <v>0</v>
      </c>
      <c r="L123">
        <f t="shared" si="9"/>
        <v>0</v>
      </c>
      <c r="M123">
        <f t="shared" si="10"/>
        <v>1</v>
      </c>
      <c r="N123">
        <f t="shared" si="11"/>
        <v>0</v>
      </c>
    </row>
    <row r="124" spans="1:14" x14ac:dyDescent="0.35">
      <c r="A124" t="s">
        <v>1135</v>
      </c>
      <c r="B124" t="s">
        <v>1871</v>
      </c>
      <c r="C124" s="7" t="s">
        <v>6</v>
      </c>
      <c r="D124" t="s">
        <v>55</v>
      </c>
      <c r="E124" t="s">
        <v>1823</v>
      </c>
      <c r="F124" t="s">
        <v>1760</v>
      </c>
      <c r="I124">
        <f t="shared" si="6"/>
        <v>0</v>
      </c>
      <c r="J124">
        <f t="shared" si="7"/>
        <v>0</v>
      </c>
      <c r="K124">
        <f t="shared" si="8"/>
        <v>1</v>
      </c>
      <c r="L124">
        <f t="shared" si="9"/>
        <v>0</v>
      </c>
      <c r="M124">
        <f t="shared" si="10"/>
        <v>0</v>
      </c>
      <c r="N124">
        <f t="shared" si="11"/>
        <v>0</v>
      </c>
    </row>
    <row r="125" spans="1:14" x14ac:dyDescent="0.35">
      <c r="A125" t="s">
        <v>1135</v>
      </c>
      <c r="B125" t="s">
        <v>1871</v>
      </c>
      <c r="C125" s="7" t="s">
        <v>10</v>
      </c>
      <c r="D125" t="s">
        <v>55</v>
      </c>
      <c r="E125" t="s">
        <v>1819</v>
      </c>
      <c r="F125" t="s">
        <v>1760</v>
      </c>
      <c r="I125">
        <f t="shared" si="6"/>
        <v>0</v>
      </c>
      <c r="J125">
        <f t="shared" si="7"/>
        <v>0</v>
      </c>
      <c r="K125">
        <f t="shared" si="8"/>
        <v>1</v>
      </c>
      <c r="L125">
        <f t="shared" si="9"/>
        <v>0</v>
      </c>
      <c r="M125">
        <f t="shared" si="10"/>
        <v>0</v>
      </c>
      <c r="N125">
        <f t="shared" si="11"/>
        <v>0</v>
      </c>
    </row>
    <row r="126" spans="1:14" x14ac:dyDescent="0.35">
      <c r="A126" t="s">
        <v>1135</v>
      </c>
      <c r="B126" t="s">
        <v>1871</v>
      </c>
      <c r="C126" s="7" t="s">
        <v>6</v>
      </c>
      <c r="D126" t="s">
        <v>55</v>
      </c>
      <c r="E126" t="s">
        <v>1822</v>
      </c>
      <c r="F126" t="s">
        <v>1760</v>
      </c>
      <c r="I126">
        <f t="shared" si="6"/>
        <v>0</v>
      </c>
      <c r="J126">
        <f t="shared" si="7"/>
        <v>0</v>
      </c>
      <c r="K126">
        <f t="shared" si="8"/>
        <v>1</v>
      </c>
      <c r="L126">
        <f t="shared" si="9"/>
        <v>0</v>
      </c>
      <c r="M126">
        <f t="shared" si="10"/>
        <v>0</v>
      </c>
      <c r="N126">
        <f t="shared" si="11"/>
        <v>0</v>
      </c>
    </row>
    <row r="127" spans="1:14" x14ac:dyDescent="0.35">
      <c r="A127" t="s">
        <v>1135</v>
      </c>
      <c r="B127" t="s">
        <v>1871</v>
      </c>
      <c r="C127" s="7" t="s">
        <v>6</v>
      </c>
      <c r="D127" t="s">
        <v>55</v>
      </c>
      <c r="E127" t="s">
        <v>1821</v>
      </c>
      <c r="F127" t="s">
        <v>1760</v>
      </c>
      <c r="I127">
        <f t="shared" si="6"/>
        <v>0</v>
      </c>
      <c r="J127">
        <f t="shared" si="7"/>
        <v>0</v>
      </c>
      <c r="K127">
        <f t="shared" si="8"/>
        <v>1</v>
      </c>
      <c r="L127">
        <f t="shared" si="9"/>
        <v>0</v>
      </c>
      <c r="M127">
        <f t="shared" si="10"/>
        <v>0</v>
      </c>
      <c r="N127">
        <f t="shared" si="11"/>
        <v>0</v>
      </c>
    </row>
    <row r="128" spans="1:14" x14ac:dyDescent="0.35">
      <c r="A128" t="s">
        <v>1553</v>
      </c>
      <c r="B128" t="s">
        <v>1732</v>
      </c>
      <c r="C128" s="7" t="s">
        <v>10</v>
      </c>
      <c r="D128" t="s">
        <v>100</v>
      </c>
      <c r="E128" t="s">
        <v>1806</v>
      </c>
      <c r="F128" t="s">
        <v>1754</v>
      </c>
      <c r="I128">
        <f t="shared" si="6"/>
        <v>0</v>
      </c>
      <c r="J128">
        <f t="shared" si="7"/>
        <v>0</v>
      </c>
      <c r="K128">
        <f t="shared" si="8"/>
        <v>0</v>
      </c>
      <c r="L128">
        <f t="shared" si="9"/>
        <v>1</v>
      </c>
      <c r="M128">
        <f t="shared" si="10"/>
        <v>0</v>
      </c>
      <c r="N128">
        <f t="shared" si="11"/>
        <v>0</v>
      </c>
    </row>
    <row r="129" spans="1:14" x14ac:dyDescent="0.35">
      <c r="A129" t="s">
        <v>1553</v>
      </c>
      <c r="B129" t="s">
        <v>1732</v>
      </c>
      <c r="C129" s="7" t="s">
        <v>6</v>
      </c>
      <c r="D129" t="s">
        <v>100</v>
      </c>
      <c r="E129" t="s">
        <v>1807</v>
      </c>
      <c r="F129" t="s">
        <v>1754</v>
      </c>
      <c r="I129">
        <f t="shared" si="6"/>
        <v>0</v>
      </c>
      <c r="J129">
        <f t="shared" si="7"/>
        <v>0</v>
      </c>
      <c r="K129">
        <f t="shared" si="8"/>
        <v>0</v>
      </c>
      <c r="L129">
        <f t="shared" si="9"/>
        <v>1</v>
      </c>
      <c r="M129">
        <f t="shared" si="10"/>
        <v>0</v>
      </c>
      <c r="N129">
        <f t="shared" si="11"/>
        <v>0</v>
      </c>
    </row>
    <row r="130" spans="1:14" x14ac:dyDescent="0.35">
      <c r="A130" t="s">
        <v>1553</v>
      </c>
      <c r="B130" t="s">
        <v>1732</v>
      </c>
      <c r="C130" s="7" t="s">
        <v>6</v>
      </c>
      <c r="D130" t="s">
        <v>100</v>
      </c>
      <c r="E130" t="s">
        <v>1845</v>
      </c>
      <c r="F130" t="s">
        <v>1754</v>
      </c>
      <c r="I130">
        <f t="shared" si="6"/>
        <v>0</v>
      </c>
      <c r="J130">
        <f t="shared" si="7"/>
        <v>0</v>
      </c>
      <c r="K130">
        <f t="shared" si="8"/>
        <v>0</v>
      </c>
      <c r="L130">
        <f t="shared" si="9"/>
        <v>1</v>
      </c>
      <c r="M130">
        <f t="shared" si="10"/>
        <v>0</v>
      </c>
      <c r="N130">
        <f t="shared" si="11"/>
        <v>0</v>
      </c>
    </row>
    <row r="131" spans="1:14" x14ac:dyDescent="0.35">
      <c r="A131" t="s">
        <v>1553</v>
      </c>
      <c r="B131" t="s">
        <v>1732</v>
      </c>
      <c r="C131" s="7" t="s">
        <v>6</v>
      </c>
      <c r="D131" t="s">
        <v>100</v>
      </c>
      <c r="E131" t="s">
        <v>1847</v>
      </c>
      <c r="F131" t="s">
        <v>1754</v>
      </c>
      <c r="I131">
        <f t="shared" ref="I131:I194" si="12">IF($F131=$F$1,1,0)</f>
        <v>0</v>
      </c>
      <c r="J131">
        <f t="shared" ref="J131:J194" si="13">IF($F131=$J$1,1,0)</f>
        <v>0</v>
      </c>
      <c r="K131">
        <f t="shared" ref="K131:K194" si="14">IF($F131=$K$1,1,0)</f>
        <v>0</v>
      </c>
      <c r="L131">
        <f t="shared" ref="L131:L194" si="15">IF($F131=$L$1,1,0)</f>
        <v>1</v>
      </c>
      <c r="M131">
        <f t="shared" ref="M131:M194" si="16">IF($F131=$M$1,1,0)</f>
        <v>0</v>
      </c>
      <c r="N131">
        <f t="shared" ref="N131:N194" si="17">IF($G131&lt;&gt;"",1,0)</f>
        <v>0</v>
      </c>
    </row>
    <row r="132" spans="1:14" x14ac:dyDescent="0.35">
      <c r="A132" t="s">
        <v>1553</v>
      </c>
      <c r="B132" t="s">
        <v>1732</v>
      </c>
      <c r="C132" s="7" t="s">
        <v>10</v>
      </c>
      <c r="D132" t="s">
        <v>100</v>
      </c>
      <c r="E132" t="s">
        <v>1829</v>
      </c>
      <c r="F132" t="s">
        <v>1754</v>
      </c>
      <c r="I132">
        <f t="shared" si="12"/>
        <v>0</v>
      </c>
      <c r="J132">
        <f t="shared" si="13"/>
        <v>0</v>
      </c>
      <c r="K132">
        <f t="shared" si="14"/>
        <v>0</v>
      </c>
      <c r="L132">
        <f t="shared" si="15"/>
        <v>1</v>
      </c>
      <c r="M132">
        <f t="shared" si="16"/>
        <v>0</v>
      </c>
      <c r="N132">
        <f t="shared" si="17"/>
        <v>0</v>
      </c>
    </row>
    <row r="133" spans="1:14" x14ac:dyDescent="0.35">
      <c r="A133" t="s">
        <v>1553</v>
      </c>
      <c r="B133" t="s">
        <v>1732</v>
      </c>
      <c r="C133" s="7" t="s">
        <v>6</v>
      </c>
      <c r="D133" t="s">
        <v>100</v>
      </c>
      <c r="E133" t="s">
        <v>1840</v>
      </c>
      <c r="F133" t="s">
        <v>1760</v>
      </c>
      <c r="I133">
        <f t="shared" si="12"/>
        <v>0</v>
      </c>
      <c r="J133">
        <f t="shared" si="13"/>
        <v>0</v>
      </c>
      <c r="K133">
        <f t="shared" si="14"/>
        <v>1</v>
      </c>
      <c r="L133">
        <f t="shared" si="15"/>
        <v>0</v>
      </c>
      <c r="M133">
        <f t="shared" si="16"/>
        <v>0</v>
      </c>
      <c r="N133">
        <f t="shared" si="17"/>
        <v>0</v>
      </c>
    </row>
    <row r="134" spans="1:14" x14ac:dyDescent="0.35">
      <c r="A134" t="s">
        <v>1553</v>
      </c>
      <c r="B134" t="s">
        <v>1732</v>
      </c>
      <c r="C134" s="7" t="s">
        <v>6</v>
      </c>
      <c r="D134" t="s">
        <v>100</v>
      </c>
      <c r="E134" t="s">
        <v>1872</v>
      </c>
      <c r="F134" t="s">
        <v>1727</v>
      </c>
      <c r="I134">
        <f t="shared" si="12"/>
        <v>0</v>
      </c>
      <c r="J134">
        <f t="shared" si="13"/>
        <v>0</v>
      </c>
      <c r="K134">
        <f t="shared" si="14"/>
        <v>0</v>
      </c>
      <c r="L134">
        <f t="shared" si="15"/>
        <v>0</v>
      </c>
      <c r="M134">
        <f t="shared" si="16"/>
        <v>1</v>
      </c>
      <c r="N134">
        <f t="shared" si="17"/>
        <v>0</v>
      </c>
    </row>
    <row r="135" spans="1:14" x14ac:dyDescent="0.35">
      <c r="A135" t="s">
        <v>432</v>
      </c>
      <c r="B135" t="s">
        <v>1873</v>
      </c>
      <c r="C135" s="7" t="s">
        <v>10</v>
      </c>
      <c r="D135" t="s">
        <v>51</v>
      </c>
      <c r="E135" t="s">
        <v>1874</v>
      </c>
      <c r="F135" t="s">
        <v>1727</v>
      </c>
      <c r="I135">
        <f t="shared" si="12"/>
        <v>0</v>
      </c>
      <c r="J135">
        <f t="shared" si="13"/>
        <v>0</v>
      </c>
      <c r="K135">
        <f t="shared" si="14"/>
        <v>0</v>
      </c>
      <c r="L135">
        <f t="shared" si="15"/>
        <v>0</v>
      </c>
      <c r="M135">
        <f t="shared" si="16"/>
        <v>1</v>
      </c>
      <c r="N135">
        <f t="shared" si="17"/>
        <v>0</v>
      </c>
    </row>
    <row r="136" spans="1:14" x14ac:dyDescent="0.35">
      <c r="A136" t="s">
        <v>432</v>
      </c>
      <c r="B136" t="s">
        <v>1873</v>
      </c>
      <c r="C136" s="7" t="s">
        <v>6</v>
      </c>
      <c r="D136" t="s">
        <v>51</v>
      </c>
      <c r="E136" t="s">
        <v>1875</v>
      </c>
      <c r="F136" t="s">
        <v>1727</v>
      </c>
      <c r="I136">
        <f t="shared" si="12"/>
        <v>0</v>
      </c>
      <c r="J136">
        <f t="shared" si="13"/>
        <v>0</v>
      </c>
      <c r="K136">
        <f t="shared" si="14"/>
        <v>0</v>
      </c>
      <c r="L136">
        <f t="shared" si="15"/>
        <v>0</v>
      </c>
      <c r="M136">
        <f t="shared" si="16"/>
        <v>1</v>
      </c>
      <c r="N136">
        <f t="shared" si="17"/>
        <v>0</v>
      </c>
    </row>
    <row r="137" spans="1:14" x14ac:dyDescent="0.35">
      <c r="A137" t="s">
        <v>658</v>
      </c>
      <c r="B137" t="s">
        <v>1876</v>
      </c>
      <c r="C137" s="7" t="s">
        <v>6</v>
      </c>
      <c r="D137" t="s">
        <v>55</v>
      </c>
      <c r="E137" t="s">
        <v>1849</v>
      </c>
      <c r="F137" t="s">
        <v>1754</v>
      </c>
      <c r="I137">
        <f t="shared" si="12"/>
        <v>0</v>
      </c>
      <c r="J137">
        <f t="shared" si="13"/>
        <v>0</v>
      </c>
      <c r="K137">
        <f t="shared" si="14"/>
        <v>0</v>
      </c>
      <c r="L137">
        <f t="shared" si="15"/>
        <v>1</v>
      </c>
      <c r="M137">
        <f t="shared" si="16"/>
        <v>0</v>
      </c>
      <c r="N137">
        <f t="shared" si="17"/>
        <v>0</v>
      </c>
    </row>
    <row r="138" spans="1:14" x14ac:dyDescent="0.35">
      <c r="A138" t="s">
        <v>658</v>
      </c>
      <c r="B138" t="s">
        <v>1876</v>
      </c>
      <c r="C138" s="7" t="s">
        <v>10</v>
      </c>
      <c r="D138" t="s">
        <v>55</v>
      </c>
      <c r="E138" t="s">
        <v>1877</v>
      </c>
      <c r="F138" t="s">
        <v>1754</v>
      </c>
      <c r="I138">
        <f t="shared" si="12"/>
        <v>0</v>
      </c>
      <c r="J138">
        <f t="shared" si="13"/>
        <v>0</v>
      </c>
      <c r="K138">
        <f t="shared" si="14"/>
        <v>0</v>
      </c>
      <c r="L138">
        <f t="shared" si="15"/>
        <v>1</v>
      </c>
      <c r="M138">
        <f t="shared" si="16"/>
        <v>0</v>
      </c>
      <c r="N138">
        <f t="shared" si="17"/>
        <v>0</v>
      </c>
    </row>
    <row r="139" spans="1:14" x14ac:dyDescent="0.35">
      <c r="A139" t="s">
        <v>593</v>
      </c>
      <c r="B139" t="s">
        <v>1878</v>
      </c>
      <c r="C139" s="7" t="s">
        <v>6</v>
      </c>
      <c r="D139" t="s">
        <v>276</v>
      </c>
      <c r="E139" t="s">
        <v>1807</v>
      </c>
      <c r="F139" t="s">
        <v>1754</v>
      </c>
      <c r="I139">
        <f t="shared" si="12"/>
        <v>0</v>
      </c>
      <c r="J139">
        <f t="shared" si="13"/>
        <v>0</v>
      </c>
      <c r="K139">
        <f t="shared" si="14"/>
        <v>0</v>
      </c>
      <c r="L139">
        <f t="shared" si="15"/>
        <v>1</v>
      </c>
      <c r="M139">
        <f t="shared" si="16"/>
        <v>0</v>
      </c>
      <c r="N139">
        <f t="shared" si="17"/>
        <v>0</v>
      </c>
    </row>
    <row r="140" spans="1:14" x14ac:dyDescent="0.35">
      <c r="A140" t="s">
        <v>593</v>
      </c>
      <c r="B140" t="s">
        <v>1878</v>
      </c>
      <c r="C140" s="7" t="s">
        <v>6</v>
      </c>
      <c r="D140" t="s">
        <v>276</v>
      </c>
      <c r="E140" t="s">
        <v>1806</v>
      </c>
      <c r="F140" t="s">
        <v>1754</v>
      </c>
      <c r="I140">
        <f t="shared" si="12"/>
        <v>0</v>
      </c>
      <c r="J140">
        <f t="shared" si="13"/>
        <v>0</v>
      </c>
      <c r="K140">
        <f t="shared" si="14"/>
        <v>0</v>
      </c>
      <c r="L140">
        <f t="shared" si="15"/>
        <v>1</v>
      </c>
      <c r="M140">
        <f t="shared" si="16"/>
        <v>0</v>
      </c>
      <c r="N140">
        <f t="shared" si="17"/>
        <v>0</v>
      </c>
    </row>
    <row r="141" spans="1:14" x14ac:dyDescent="0.35">
      <c r="A141" t="s">
        <v>48</v>
      </c>
      <c r="B141" t="s">
        <v>1879</v>
      </c>
      <c r="C141" s="7" t="s">
        <v>6</v>
      </c>
      <c r="D141" t="s">
        <v>51</v>
      </c>
      <c r="E141" t="s">
        <v>1870</v>
      </c>
      <c r="F141" t="s">
        <v>1727</v>
      </c>
      <c r="I141">
        <f t="shared" si="12"/>
        <v>0</v>
      </c>
      <c r="J141">
        <f t="shared" si="13"/>
        <v>0</v>
      </c>
      <c r="K141">
        <f t="shared" si="14"/>
        <v>0</v>
      </c>
      <c r="L141">
        <f t="shared" si="15"/>
        <v>0</v>
      </c>
      <c r="M141">
        <f t="shared" si="16"/>
        <v>1</v>
      </c>
      <c r="N141">
        <f t="shared" si="17"/>
        <v>0</v>
      </c>
    </row>
    <row r="142" spans="1:14" x14ac:dyDescent="0.35">
      <c r="A142" t="s">
        <v>664</v>
      </c>
      <c r="B142" t="s">
        <v>1880</v>
      </c>
      <c r="C142" s="7" t="s">
        <v>6</v>
      </c>
      <c r="D142" t="s">
        <v>667</v>
      </c>
      <c r="E142" t="s">
        <v>1814</v>
      </c>
      <c r="F142" t="s">
        <v>1760</v>
      </c>
      <c r="G142" t="s">
        <v>1881</v>
      </c>
      <c r="H142" t="s">
        <v>1738</v>
      </c>
      <c r="I142">
        <f t="shared" si="12"/>
        <v>0</v>
      </c>
      <c r="J142">
        <f t="shared" si="13"/>
        <v>0</v>
      </c>
      <c r="K142">
        <f t="shared" si="14"/>
        <v>1</v>
      </c>
      <c r="L142">
        <f t="shared" si="15"/>
        <v>0</v>
      </c>
      <c r="M142">
        <f t="shared" si="16"/>
        <v>0</v>
      </c>
      <c r="N142">
        <f t="shared" si="17"/>
        <v>1</v>
      </c>
    </row>
    <row r="143" spans="1:14" x14ac:dyDescent="0.35">
      <c r="A143" t="s">
        <v>664</v>
      </c>
      <c r="B143" t="s">
        <v>1880</v>
      </c>
      <c r="C143" s="7" t="s">
        <v>10</v>
      </c>
      <c r="D143" t="s">
        <v>667</v>
      </c>
      <c r="E143" t="s">
        <v>1818</v>
      </c>
      <c r="F143" t="s">
        <v>1760</v>
      </c>
      <c r="G143" t="s">
        <v>1881</v>
      </c>
      <c r="H143" t="s">
        <v>1738</v>
      </c>
      <c r="I143">
        <f t="shared" si="12"/>
        <v>0</v>
      </c>
      <c r="J143">
        <f t="shared" si="13"/>
        <v>0</v>
      </c>
      <c r="K143">
        <f t="shared" si="14"/>
        <v>1</v>
      </c>
      <c r="L143">
        <f t="shared" si="15"/>
        <v>0</v>
      </c>
      <c r="M143">
        <f t="shared" si="16"/>
        <v>0</v>
      </c>
      <c r="N143">
        <f t="shared" si="17"/>
        <v>1</v>
      </c>
    </row>
    <row r="144" spans="1:14" x14ac:dyDescent="0.35">
      <c r="A144" t="s">
        <v>664</v>
      </c>
      <c r="B144" t="s">
        <v>1880</v>
      </c>
      <c r="C144" s="7" t="s">
        <v>6</v>
      </c>
      <c r="D144" t="s">
        <v>667</v>
      </c>
      <c r="E144" t="s">
        <v>1819</v>
      </c>
      <c r="F144" t="s">
        <v>1760</v>
      </c>
      <c r="G144" t="s">
        <v>1881</v>
      </c>
      <c r="H144" t="s">
        <v>1738</v>
      </c>
      <c r="I144">
        <f t="shared" si="12"/>
        <v>0</v>
      </c>
      <c r="J144">
        <f t="shared" si="13"/>
        <v>0</v>
      </c>
      <c r="K144">
        <f t="shared" si="14"/>
        <v>1</v>
      </c>
      <c r="L144">
        <f t="shared" si="15"/>
        <v>0</v>
      </c>
      <c r="M144">
        <f t="shared" si="16"/>
        <v>0</v>
      </c>
      <c r="N144">
        <f t="shared" si="17"/>
        <v>1</v>
      </c>
    </row>
    <row r="145" spans="1:14" x14ac:dyDescent="0.35">
      <c r="A145" t="s">
        <v>664</v>
      </c>
      <c r="B145" t="s">
        <v>1880</v>
      </c>
      <c r="C145" s="7" t="s">
        <v>6</v>
      </c>
      <c r="D145" t="s">
        <v>667</v>
      </c>
      <c r="E145" t="s">
        <v>1813</v>
      </c>
      <c r="F145" t="s">
        <v>1760</v>
      </c>
      <c r="G145" t="s">
        <v>1881</v>
      </c>
      <c r="H145" t="s">
        <v>1738</v>
      </c>
      <c r="I145">
        <f t="shared" si="12"/>
        <v>0</v>
      </c>
      <c r="J145">
        <f t="shared" si="13"/>
        <v>0</v>
      </c>
      <c r="K145">
        <f t="shared" si="14"/>
        <v>1</v>
      </c>
      <c r="L145">
        <f t="shared" si="15"/>
        <v>0</v>
      </c>
      <c r="M145">
        <f t="shared" si="16"/>
        <v>0</v>
      </c>
      <c r="N145">
        <f t="shared" si="17"/>
        <v>1</v>
      </c>
    </row>
    <row r="146" spans="1:14" x14ac:dyDescent="0.35">
      <c r="A146" t="s">
        <v>664</v>
      </c>
      <c r="B146" t="s">
        <v>1880</v>
      </c>
      <c r="C146" s="7" t="s">
        <v>6</v>
      </c>
      <c r="D146" t="s">
        <v>667</v>
      </c>
      <c r="E146" t="s">
        <v>1816</v>
      </c>
      <c r="F146" t="s">
        <v>1760</v>
      </c>
      <c r="G146" t="s">
        <v>1881</v>
      </c>
      <c r="H146" t="s">
        <v>1738</v>
      </c>
      <c r="I146">
        <f t="shared" si="12"/>
        <v>0</v>
      </c>
      <c r="J146">
        <f t="shared" si="13"/>
        <v>0</v>
      </c>
      <c r="K146">
        <f t="shared" si="14"/>
        <v>1</v>
      </c>
      <c r="L146">
        <f t="shared" si="15"/>
        <v>0</v>
      </c>
      <c r="M146">
        <f t="shared" si="16"/>
        <v>0</v>
      </c>
      <c r="N146">
        <f t="shared" si="17"/>
        <v>1</v>
      </c>
    </row>
    <row r="147" spans="1:14" x14ac:dyDescent="0.35">
      <c r="A147" t="s">
        <v>664</v>
      </c>
      <c r="B147" t="s">
        <v>1880</v>
      </c>
      <c r="C147" s="7" t="s">
        <v>6</v>
      </c>
      <c r="D147" t="s">
        <v>667</v>
      </c>
      <c r="E147" t="s">
        <v>1829</v>
      </c>
      <c r="F147" t="s">
        <v>1754</v>
      </c>
      <c r="G147" t="s">
        <v>1881</v>
      </c>
      <c r="H147" t="s">
        <v>1738</v>
      </c>
      <c r="I147">
        <f t="shared" si="12"/>
        <v>0</v>
      </c>
      <c r="J147">
        <f t="shared" si="13"/>
        <v>0</v>
      </c>
      <c r="K147">
        <f t="shared" si="14"/>
        <v>0</v>
      </c>
      <c r="L147">
        <f t="shared" si="15"/>
        <v>1</v>
      </c>
      <c r="M147">
        <f t="shared" si="16"/>
        <v>0</v>
      </c>
      <c r="N147">
        <f t="shared" si="17"/>
        <v>1</v>
      </c>
    </row>
    <row r="148" spans="1:14" x14ac:dyDescent="0.35">
      <c r="A148" t="s">
        <v>664</v>
      </c>
      <c r="B148" t="s">
        <v>1880</v>
      </c>
      <c r="C148" s="7" t="s">
        <v>6</v>
      </c>
      <c r="D148" t="s">
        <v>667</v>
      </c>
      <c r="E148" t="s">
        <v>1882</v>
      </c>
      <c r="F148" t="s">
        <v>1754</v>
      </c>
      <c r="G148" t="s">
        <v>1881</v>
      </c>
      <c r="H148" t="s">
        <v>1738</v>
      </c>
      <c r="I148">
        <f t="shared" si="12"/>
        <v>0</v>
      </c>
      <c r="J148">
        <f t="shared" si="13"/>
        <v>0</v>
      </c>
      <c r="K148">
        <f t="shared" si="14"/>
        <v>0</v>
      </c>
      <c r="L148">
        <f t="shared" si="15"/>
        <v>1</v>
      </c>
      <c r="M148">
        <f t="shared" si="16"/>
        <v>0</v>
      </c>
      <c r="N148">
        <f t="shared" si="17"/>
        <v>1</v>
      </c>
    </row>
    <row r="149" spans="1:14" x14ac:dyDescent="0.35">
      <c r="A149" t="s">
        <v>664</v>
      </c>
      <c r="B149" t="s">
        <v>1880</v>
      </c>
      <c r="C149" s="7" t="s">
        <v>6</v>
      </c>
      <c r="D149" t="s">
        <v>667</v>
      </c>
      <c r="E149" t="s">
        <v>1883</v>
      </c>
      <c r="F149" t="s">
        <v>1754</v>
      </c>
      <c r="G149" t="s">
        <v>1881</v>
      </c>
      <c r="H149" t="s">
        <v>1738</v>
      </c>
      <c r="I149">
        <f t="shared" si="12"/>
        <v>0</v>
      </c>
      <c r="J149">
        <f t="shared" si="13"/>
        <v>0</v>
      </c>
      <c r="K149">
        <f t="shared" si="14"/>
        <v>0</v>
      </c>
      <c r="L149">
        <f t="shared" si="15"/>
        <v>1</v>
      </c>
      <c r="M149">
        <f t="shared" si="16"/>
        <v>0</v>
      </c>
      <c r="N149">
        <f t="shared" si="17"/>
        <v>1</v>
      </c>
    </row>
    <row r="150" spans="1:14" x14ac:dyDescent="0.35">
      <c r="A150" t="s">
        <v>1634</v>
      </c>
      <c r="B150" t="s">
        <v>1884</v>
      </c>
      <c r="C150" s="7" t="s">
        <v>6</v>
      </c>
      <c r="D150" t="s">
        <v>1636</v>
      </c>
      <c r="E150" t="s">
        <v>1885</v>
      </c>
      <c r="F150" t="s">
        <v>1886</v>
      </c>
      <c r="I150">
        <f t="shared" si="12"/>
        <v>0</v>
      </c>
      <c r="J150">
        <f t="shared" si="13"/>
        <v>0</v>
      </c>
      <c r="K150">
        <f t="shared" si="14"/>
        <v>0</v>
      </c>
      <c r="L150">
        <f t="shared" si="15"/>
        <v>0</v>
      </c>
      <c r="M150">
        <f t="shared" si="16"/>
        <v>0</v>
      </c>
      <c r="N150">
        <f t="shared" si="17"/>
        <v>0</v>
      </c>
    </row>
    <row r="151" spans="1:14" x14ac:dyDescent="0.35">
      <c r="A151" t="s">
        <v>1141</v>
      </c>
      <c r="B151" t="s">
        <v>1887</v>
      </c>
      <c r="C151" s="7" t="s">
        <v>6</v>
      </c>
      <c r="D151" t="s">
        <v>276</v>
      </c>
      <c r="E151" t="s">
        <v>1888</v>
      </c>
      <c r="F151" t="s">
        <v>1754</v>
      </c>
      <c r="I151">
        <f t="shared" si="12"/>
        <v>0</v>
      </c>
      <c r="J151">
        <f t="shared" si="13"/>
        <v>0</v>
      </c>
      <c r="K151">
        <f t="shared" si="14"/>
        <v>0</v>
      </c>
      <c r="L151">
        <f t="shared" si="15"/>
        <v>1</v>
      </c>
      <c r="M151">
        <f t="shared" si="16"/>
        <v>0</v>
      </c>
      <c r="N151">
        <f t="shared" si="17"/>
        <v>0</v>
      </c>
    </row>
    <row r="152" spans="1:14" x14ac:dyDescent="0.35">
      <c r="A152" t="s">
        <v>1141</v>
      </c>
      <c r="B152" t="s">
        <v>1887</v>
      </c>
      <c r="C152" s="7" t="s">
        <v>6</v>
      </c>
      <c r="D152" t="s">
        <v>276</v>
      </c>
      <c r="E152" t="s">
        <v>1889</v>
      </c>
      <c r="F152" t="s">
        <v>1754</v>
      </c>
      <c r="I152">
        <f t="shared" si="12"/>
        <v>0</v>
      </c>
      <c r="J152">
        <f t="shared" si="13"/>
        <v>0</v>
      </c>
      <c r="K152">
        <f t="shared" si="14"/>
        <v>0</v>
      </c>
      <c r="L152">
        <f t="shared" si="15"/>
        <v>1</v>
      </c>
      <c r="M152">
        <f t="shared" si="16"/>
        <v>0</v>
      </c>
      <c r="N152">
        <f t="shared" si="17"/>
        <v>0</v>
      </c>
    </row>
    <row r="153" spans="1:14" x14ac:dyDescent="0.35">
      <c r="A153" t="s">
        <v>1190</v>
      </c>
      <c r="B153" t="s">
        <v>1890</v>
      </c>
      <c r="C153" s="7" t="s">
        <v>6</v>
      </c>
      <c r="D153" t="s">
        <v>152</v>
      </c>
      <c r="E153" t="s">
        <v>1849</v>
      </c>
      <c r="F153" t="s">
        <v>1754</v>
      </c>
      <c r="I153">
        <f t="shared" si="12"/>
        <v>0</v>
      </c>
      <c r="J153">
        <f t="shared" si="13"/>
        <v>0</v>
      </c>
      <c r="K153">
        <f t="shared" si="14"/>
        <v>0</v>
      </c>
      <c r="L153">
        <f t="shared" si="15"/>
        <v>1</v>
      </c>
      <c r="M153">
        <f t="shared" si="16"/>
        <v>0</v>
      </c>
      <c r="N153">
        <f t="shared" si="17"/>
        <v>0</v>
      </c>
    </row>
    <row r="154" spans="1:14" x14ac:dyDescent="0.35">
      <c r="A154" t="s">
        <v>387</v>
      </c>
      <c r="B154" t="s">
        <v>1891</v>
      </c>
      <c r="C154" s="7" t="s">
        <v>6</v>
      </c>
      <c r="D154" t="s">
        <v>55</v>
      </c>
      <c r="E154" t="s">
        <v>1842</v>
      </c>
      <c r="F154" t="s">
        <v>1760</v>
      </c>
      <c r="I154">
        <f t="shared" si="12"/>
        <v>0</v>
      </c>
      <c r="J154">
        <f t="shared" si="13"/>
        <v>0</v>
      </c>
      <c r="K154">
        <f t="shared" si="14"/>
        <v>1</v>
      </c>
      <c r="L154">
        <f t="shared" si="15"/>
        <v>0</v>
      </c>
      <c r="M154">
        <f t="shared" si="16"/>
        <v>0</v>
      </c>
      <c r="N154">
        <f t="shared" si="17"/>
        <v>0</v>
      </c>
    </row>
    <row r="155" spans="1:14" x14ac:dyDescent="0.35">
      <c r="A155" t="s">
        <v>387</v>
      </c>
      <c r="B155" t="s">
        <v>1891</v>
      </c>
      <c r="C155" s="7" t="s">
        <v>6</v>
      </c>
      <c r="D155" t="s">
        <v>55</v>
      </c>
      <c r="E155" t="s">
        <v>1843</v>
      </c>
      <c r="F155" t="s">
        <v>1760</v>
      </c>
      <c r="I155">
        <f t="shared" si="12"/>
        <v>0</v>
      </c>
      <c r="J155">
        <f t="shared" si="13"/>
        <v>0</v>
      </c>
      <c r="K155">
        <f t="shared" si="14"/>
        <v>1</v>
      </c>
      <c r="L155">
        <f t="shared" si="15"/>
        <v>0</v>
      </c>
      <c r="M155">
        <f t="shared" si="16"/>
        <v>0</v>
      </c>
      <c r="N155">
        <f t="shared" si="17"/>
        <v>0</v>
      </c>
    </row>
    <row r="156" spans="1:14" x14ac:dyDescent="0.35">
      <c r="A156" t="s">
        <v>387</v>
      </c>
      <c r="B156" t="s">
        <v>1891</v>
      </c>
      <c r="C156" s="7" t="s">
        <v>6</v>
      </c>
      <c r="D156" t="s">
        <v>55</v>
      </c>
      <c r="E156" t="s">
        <v>1892</v>
      </c>
      <c r="F156" t="s">
        <v>1760</v>
      </c>
      <c r="I156">
        <f t="shared" si="12"/>
        <v>0</v>
      </c>
      <c r="J156">
        <f t="shared" si="13"/>
        <v>0</v>
      </c>
      <c r="K156">
        <f t="shared" si="14"/>
        <v>1</v>
      </c>
      <c r="L156">
        <f t="shared" si="15"/>
        <v>0</v>
      </c>
      <c r="M156">
        <f t="shared" si="16"/>
        <v>0</v>
      </c>
      <c r="N156">
        <f t="shared" si="17"/>
        <v>0</v>
      </c>
    </row>
    <row r="157" spans="1:14" x14ac:dyDescent="0.35">
      <c r="A157" t="s">
        <v>1166</v>
      </c>
      <c r="B157" t="s">
        <v>1893</v>
      </c>
      <c r="C157" s="7" t="s">
        <v>6</v>
      </c>
      <c r="D157" t="s">
        <v>92</v>
      </c>
      <c r="E157" t="s">
        <v>1894</v>
      </c>
      <c r="F157" t="s">
        <v>1754</v>
      </c>
      <c r="G157" t="s">
        <v>1895</v>
      </c>
      <c r="H157" t="s">
        <v>1738</v>
      </c>
      <c r="I157">
        <f t="shared" si="12"/>
        <v>0</v>
      </c>
      <c r="J157">
        <f t="shared" si="13"/>
        <v>0</v>
      </c>
      <c r="K157">
        <f t="shared" si="14"/>
        <v>0</v>
      </c>
      <c r="L157">
        <f t="shared" si="15"/>
        <v>1</v>
      </c>
      <c r="M157">
        <f t="shared" si="16"/>
        <v>0</v>
      </c>
      <c r="N157">
        <f t="shared" si="17"/>
        <v>1</v>
      </c>
    </row>
    <row r="158" spans="1:14" x14ac:dyDescent="0.35">
      <c r="A158" t="s">
        <v>1166</v>
      </c>
      <c r="B158" t="s">
        <v>1893</v>
      </c>
      <c r="C158" s="7" t="s">
        <v>6</v>
      </c>
      <c r="D158" t="s">
        <v>92</v>
      </c>
      <c r="E158" t="s">
        <v>1896</v>
      </c>
      <c r="F158" t="s">
        <v>1754</v>
      </c>
      <c r="G158" t="s">
        <v>1895</v>
      </c>
      <c r="H158" t="s">
        <v>1738</v>
      </c>
      <c r="I158">
        <f t="shared" si="12"/>
        <v>0</v>
      </c>
      <c r="J158">
        <f t="shared" si="13"/>
        <v>0</v>
      </c>
      <c r="K158">
        <f t="shared" si="14"/>
        <v>0</v>
      </c>
      <c r="L158">
        <f t="shared" si="15"/>
        <v>1</v>
      </c>
      <c r="M158">
        <f t="shared" si="16"/>
        <v>0</v>
      </c>
      <c r="N158">
        <f t="shared" si="17"/>
        <v>1</v>
      </c>
    </row>
    <row r="159" spans="1:14" x14ac:dyDescent="0.35">
      <c r="A159" t="s">
        <v>1166</v>
      </c>
      <c r="B159" t="s">
        <v>1893</v>
      </c>
      <c r="C159" s="7" t="s">
        <v>6</v>
      </c>
      <c r="D159" t="s">
        <v>92</v>
      </c>
      <c r="E159" t="s">
        <v>1897</v>
      </c>
      <c r="F159" t="s">
        <v>1727</v>
      </c>
      <c r="G159" t="s">
        <v>1895</v>
      </c>
      <c r="H159" t="s">
        <v>1738</v>
      </c>
      <c r="I159">
        <f t="shared" si="12"/>
        <v>0</v>
      </c>
      <c r="J159">
        <f t="shared" si="13"/>
        <v>0</v>
      </c>
      <c r="K159">
        <f t="shared" si="14"/>
        <v>0</v>
      </c>
      <c r="L159">
        <f t="shared" si="15"/>
        <v>0</v>
      </c>
      <c r="M159">
        <f t="shared" si="16"/>
        <v>1</v>
      </c>
      <c r="N159">
        <f t="shared" si="17"/>
        <v>1</v>
      </c>
    </row>
    <row r="160" spans="1:14" x14ac:dyDescent="0.35">
      <c r="A160" t="s">
        <v>1166</v>
      </c>
      <c r="B160" t="s">
        <v>1893</v>
      </c>
      <c r="C160" s="7" t="s">
        <v>6</v>
      </c>
      <c r="D160" t="s">
        <v>92</v>
      </c>
      <c r="E160" t="s">
        <v>1898</v>
      </c>
      <c r="F160" t="s">
        <v>1727</v>
      </c>
      <c r="G160" t="s">
        <v>1895</v>
      </c>
      <c r="H160" t="s">
        <v>1738</v>
      </c>
      <c r="I160">
        <f t="shared" si="12"/>
        <v>0</v>
      </c>
      <c r="J160">
        <f t="shared" si="13"/>
        <v>0</v>
      </c>
      <c r="K160">
        <f t="shared" si="14"/>
        <v>0</v>
      </c>
      <c r="L160">
        <f t="shared" si="15"/>
        <v>0</v>
      </c>
      <c r="M160">
        <f t="shared" si="16"/>
        <v>1</v>
      </c>
      <c r="N160">
        <f t="shared" si="17"/>
        <v>1</v>
      </c>
    </row>
    <row r="161" spans="1:14" x14ac:dyDescent="0.35">
      <c r="A161" t="s">
        <v>1166</v>
      </c>
      <c r="B161" t="s">
        <v>1893</v>
      </c>
      <c r="C161" s="7" t="s">
        <v>6</v>
      </c>
      <c r="D161" t="s">
        <v>92</v>
      </c>
      <c r="E161" t="s">
        <v>1899</v>
      </c>
      <c r="F161" t="s">
        <v>1727</v>
      </c>
      <c r="G161" t="s">
        <v>1895</v>
      </c>
      <c r="H161" t="s">
        <v>1738</v>
      </c>
      <c r="I161">
        <f t="shared" si="12"/>
        <v>0</v>
      </c>
      <c r="J161">
        <f t="shared" si="13"/>
        <v>0</v>
      </c>
      <c r="K161">
        <f t="shared" si="14"/>
        <v>0</v>
      </c>
      <c r="L161">
        <f t="shared" si="15"/>
        <v>0</v>
      </c>
      <c r="M161">
        <f t="shared" si="16"/>
        <v>1</v>
      </c>
      <c r="N161">
        <f t="shared" si="17"/>
        <v>1</v>
      </c>
    </row>
    <row r="162" spans="1:14" x14ac:dyDescent="0.35">
      <c r="A162" t="s">
        <v>1166</v>
      </c>
      <c r="B162" t="s">
        <v>1893</v>
      </c>
      <c r="C162" s="7" t="s">
        <v>6</v>
      </c>
      <c r="D162" t="s">
        <v>92</v>
      </c>
      <c r="E162" t="s">
        <v>1900</v>
      </c>
      <c r="F162" t="s">
        <v>1727</v>
      </c>
      <c r="G162" t="s">
        <v>1895</v>
      </c>
      <c r="H162" t="s">
        <v>1738</v>
      </c>
      <c r="I162">
        <f t="shared" si="12"/>
        <v>0</v>
      </c>
      <c r="J162">
        <f t="shared" si="13"/>
        <v>0</v>
      </c>
      <c r="K162">
        <f t="shared" si="14"/>
        <v>0</v>
      </c>
      <c r="L162">
        <f t="shared" si="15"/>
        <v>0</v>
      </c>
      <c r="M162">
        <f t="shared" si="16"/>
        <v>1</v>
      </c>
      <c r="N162">
        <f t="shared" si="17"/>
        <v>1</v>
      </c>
    </row>
    <row r="163" spans="1:14" x14ac:dyDescent="0.35">
      <c r="A163" t="s">
        <v>1303</v>
      </c>
      <c r="B163" t="s">
        <v>1901</v>
      </c>
      <c r="C163" s="7" t="s">
        <v>6</v>
      </c>
      <c r="D163" t="s">
        <v>773</v>
      </c>
      <c r="E163" t="s">
        <v>1821</v>
      </c>
      <c r="F163" t="s">
        <v>1760</v>
      </c>
      <c r="I163">
        <f t="shared" si="12"/>
        <v>0</v>
      </c>
      <c r="J163">
        <f t="shared" si="13"/>
        <v>0</v>
      </c>
      <c r="K163">
        <f t="shared" si="14"/>
        <v>1</v>
      </c>
      <c r="L163">
        <f t="shared" si="15"/>
        <v>0</v>
      </c>
      <c r="M163">
        <f t="shared" si="16"/>
        <v>0</v>
      </c>
      <c r="N163">
        <f t="shared" si="17"/>
        <v>0</v>
      </c>
    </row>
    <row r="164" spans="1:14" x14ac:dyDescent="0.35">
      <c r="A164" t="s">
        <v>1303</v>
      </c>
      <c r="B164" t="s">
        <v>1901</v>
      </c>
      <c r="C164" s="7" t="s">
        <v>6</v>
      </c>
      <c r="D164" t="s">
        <v>773</v>
      </c>
      <c r="E164" t="s">
        <v>1822</v>
      </c>
      <c r="F164" t="s">
        <v>1760</v>
      </c>
      <c r="I164">
        <f t="shared" si="12"/>
        <v>0</v>
      </c>
      <c r="J164">
        <f t="shared" si="13"/>
        <v>0</v>
      </c>
      <c r="K164">
        <f t="shared" si="14"/>
        <v>1</v>
      </c>
      <c r="L164">
        <f t="shared" si="15"/>
        <v>0</v>
      </c>
      <c r="M164">
        <f t="shared" si="16"/>
        <v>0</v>
      </c>
      <c r="N164">
        <f t="shared" si="17"/>
        <v>0</v>
      </c>
    </row>
    <row r="165" spans="1:14" x14ac:dyDescent="0.35">
      <c r="A165" t="s">
        <v>108</v>
      </c>
      <c r="B165" t="s">
        <v>1902</v>
      </c>
      <c r="C165" s="7" t="s">
        <v>6</v>
      </c>
      <c r="D165" t="s">
        <v>111</v>
      </c>
      <c r="E165" t="s">
        <v>1806</v>
      </c>
      <c r="F165" t="s">
        <v>1754</v>
      </c>
      <c r="I165">
        <f t="shared" si="12"/>
        <v>0</v>
      </c>
      <c r="J165">
        <f t="shared" si="13"/>
        <v>0</v>
      </c>
      <c r="K165">
        <f t="shared" si="14"/>
        <v>0</v>
      </c>
      <c r="L165">
        <f t="shared" si="15"/>
        <v>1</v>
      </c>
      <c r="M165">
        <f t="shared" si="16"/>
        <v>0</v>
      </c>
      <c r="N165">
        <f t="shared" si="17"/>
        <v>0</v>
      </c>
    </row>
    <row r="166" spans="1:14" x14ac:dyDescent="0.35">
      <c r="A166" t="s">
        <v>108</v>
      </c>
      <c r="B166" t="s">
        <v>1902</v>
      </c>
      <c r="C166" s="7" t="s">
        <v>6</v>
      </c>
      <c r="D166" t="s">
        <v>111</v>
      </c>
      <c r="E166" t="s">
        <v>1807</v>
      </c>
      <c r="F166" t="s">
        <v>1754</v>
      </c>
      <c r="I166">
        <f t="shared" si="12"/>
        <v>0</v>
      </c>
      <c r="J166">
        <f t="shared" si="13"/>
        <v>0</v>
      </c>
      <c r="K166">
        <f t="shared" si="14"/>
        <v>0</v>
      </c>
      <c r="L166">
        <f t="shared" si="15"/>
        <v>1</v>
      </c>
      <c r="M166">
        <f t="shared" si="16"/>
        <v>0</v>
      </c>
      <c r="N166">
        <f t="shared" si="17"/>
        <v>0</v>
      </c>
    </row>
    <row r="167" spans="1:14" x14ac:dyDescent="0.35">
      <c r="A167" t="s">
        <v>1336</v>
      </c>
      <c r="B167" t="s">
        <v>1903</v>
      </c>
      <c r="C167" s="7" t="s">
        <v>6</v>
      </c>
      <c r="D167" t="s">
        <v>55</v>
      </c>
      <c r="E167" t="s">
        <v>1904</v>
      </c>
      <c r="F167" t="s">
        <v>1760</v>
      </c>
      <c r="I167">
        <f t="shared" si="12"/>
        <v>0</v>
      </c>
      <c r="J167">
        <f t="shared" si="13"/>
        <v>0</v>
      </c>
      <c r="K167">
        <f t="shared" si="14"/>
        <v>1</v>
      </c>
      <c r="L167">
        <f t="shared" si="15"/>
        <v>0</v>
      </c>
      <c r="M167">
        <f t="shared" si="16"/>
        <v>0</v>
      </c>
      <c r="N167">
        <f t="shared" si="17"/>
        <v>0</v>
      </c>
    </row>
    <row r="168" spans="1:14" x14ac:dyDescent="0.35">
      <c r="A168" t="s">
        <v>1336</v>
      </c>
      <c r="B168" t="s">
        <v>1903</v>
      </c>
      <c r="C168" s="7" t="s">
        <v>6</v>
      </c>
      <c r="D168" t="s">
        <v>55</v>
      </c>
      <c r="E168" t="s">
        <v>1905</v>
      </c>
      <c r="F168" t="s">
        <v>1760</v>
      </c>
      <c r="I168">
        <f t="shared" si="12"/>
        <v>0</v>
      </c>
      <c r="J168">
        <f t="shared" si="13"/>
        <v>0</v>
      </c>
      <c r="K168">
        <f t="shared" si="14"/>
        <v>1</v>
      </c>
      <c r="L168">
        <f t="shared" si="15"/>
        <v>0</v>
      </c>
      <c r="M168">
        <f t="shared" si="16"/>
        <v>0</v>
      </c>
      <c r="N168">
        <f t="shared" si="17"/>
        <v>0</v>
      </c>
    </row>
    <row r="169" spans="1:14" x14ac:dyDescent="0.35">
      <c r="A169" t="s">
        <v>383</v>
      </c>
      <c r="B169" t="s">
        <v>1906</v>
      </c>
      <c r="C169" s="7" t="s">
        <v>6</v>
      </c>
      <c r="D169" t="s">
        <v>97</v>
      </c>
      <c r="E169" t="s">
        <v>1806</v>
      </c>
      <c r="F169" t="s">
        <v>1754</v>
      </c>
      <c r="G169" t="s">
        <v>1907</v>
      </c>
      <c r="H169" t="s">
        <v>1908</v>
      </c>
      <c r="I169">
        <f t="shared" si="12"/>
        <v>0</v>
      </c>
      <c r="J169">
        <f t="shared" si="13"/>
        <v>0</v>
      </c>
      <c r="K169">
        <f t="shared" si="14"/>
        <v>0</v>
      </c>
      <c r="L169">
        <f t="shared" si="15"/>
        <v>1</v>
      </c>
      <c r="M169">
        <f t="shared" si="16"/>
        <v>0</v>
      </c>
      <c r="N169">
        <f t="shared" si="17"/>
        <v>1</v>
      </c>
    </row>
    <row r="170" spans="1:14" x14ac:dyDescent="0.35">
      <c r="A170" t="s">
        <v>383</v>
      </c>
      <c r="B170" t="s">
        <v>1906</v>
      </c>
      <c r="C170" s="7" t="s">
        <v>6</v>
      </c>
      <c r="D170" t="s">
        <v>97</v>
      </c>
      <c r="E170" t="s">
        <v>1807</v>
      </c>
      <c r="F170" t="s">
        <v>1754</v>
      </c>
      <c r="G170" t="s">
        <v>1907</v>
      </c>
      <c r="H170" t="s">
        <v>1908</v>
      </c>
      <c r="I170">
        <f t="shared" si="12"/>
        <v>0</v>
      </c>
      <c r="J170">
        <f t="shared" si="13"/>
        <v>0</v>
      </c>
      <c r="K170">
        <f t="shared" si="14"/>
        <v>0</v>
      </c>
      <c r="L170">
        <f t="shared" si="15"/>
        <v>1</v>
      </c>
      <c r="M170">
        <f t="shared" si="16"/>
        <v>0</v>
      </c>
      <c r="N170">
        <f t="shared" si="17"/>
        <v>1</v>
      </c>
    </row>
    <row r="171" spans="1:14" x14ac:dyDescent="0.35">
      <c r="A171" t="s">
        <v>187</v>
      </c>
      <c r="B171" t="s">
        <v>1909</v>
      </c>
      <c r="C171" s="7" t="s">
        <v>10</v>
      </c>
      <c r="D171" t="s">
        <v>189</v>
      </c>
      <c r="E171" t="s">
        <v>1910</v>
      </c>
      <c r="F171" t="s">
        <v>1754</v>
      </c>
      <c r="I171">
        <f t="shared" si="12"/>
        <v>0</v>
      </c>
      <c r="J171">
        <f t="shared" si="13"/>
        <v>0</v>
      </c>
      <c r="K171">
        <f t="shared" si="14"/>
        <v>0</v>
      </c>
      <c r="L171">
        <f t="shared" si="15"/>
        <v>1</v>
      </c>
      <c r="M171">
        <f t="shared" si="16"/>
        <v>0</v>
      </c>
      <c r="N171">
        <f t="shared" si="17"/>
        <v>0</v>
      </c>
    </row>
    <row r="172" spans="1:14" x14ac:dyDescent="0.35">
      <c r="A172" t="s">
        <v>187</v>
      </c>
      <c r="B172" t="s">
        <v>1909</v>
      </c>
      <c r="C172" s="7" t="s">
        <v>10</v>
      </c>
      <c r="D172" t="s">
        <v>189</v>
      </c>
      <c r="E172" t="s">
        <v>1911</v>
      </c>
      <c r="F172" t="s">
        <v>1754</v>
      </c>
      <c r="I172">
        <f t="shared" si="12"/>
        <v>0</v>
      </c>
      <c r="J172">
        <f t="shared" si="13"/>
        <v>0</v>
      </c>
      <c r="K172">
        <f t="shared" si="14"/>
        <v>0</v>
      </c>
      <c r="L172">
        <f t="shared" si="15"/>
        <v>1</v>
      </c>
      <c r="M172">
        <f t="shared" si="16"/>
        <v>0</v>
      </c>
      <c r="N172">
        <f t="shared" si="17"/>
        <v>0</v>
      </c>
    </row>
    <row r="173" spans="1:14" x14ac:dyDescent="0.35">
      <c r="A173" t="s">
        <v>726</v>
      </c>
      <c r="B173" t="s">
        <v>1912</v>
      </c>
      <c r="C173" s="7" t="s">
        <v>10</v>
      </c>
      <c r="D173" t="s">
        <v>55</v>
      </c>
      <c r="E173" t="s">
        <v>1806</v>
      </c>
      <c r="F173" t="s">
        <v>1754</v>
      </c>
      <c r="I173">
        <f t="shared" si="12"/>
        <v>0</v>
      </c>
      <c r="J173">
        <f t="shared" si="13"/>
        <v>0</v>
      </c>
      <c r="K173">
        <f t="shared" si="14"/>
        <v>0</v>
      </c>
      <c r="L173">
        <f t="shared" si="15"/>
        <v>1</v>
      </c>
      <c r="M173">
        <f t="shared" si="16"/>
        <v>0</v>
      </c>
      <c r="N173">
        <f t="shared" si="17"/>
        <v>0</v>
      </c>
    </row>
    <row r="174" spans="1:14" x14ac:dyDescent="0.35">
      <c r="A174" t="s">
        <v>726</v>
      </c>
      <c r="B174" t="s">
        <v>1912</v>
      </c>
      <c r="C174" s="7" t="s">
        <v>10</v>
      </c>
      <c r="D174" t="s">
        <v>55</v>
      </c>
      <c r="E174" t="s">
        <v>1807</v>
      </c>
      <c r="F174" t="s">
        <v>1754</v>
      </c>
      <c r="I174">
        <f t="shared" si="12"/>
        <v>0</v>
      </c>
      <c r="J174">
        <f t="shared" si="13"/>
        <v>0</v>
      </c>
      <c r="K174">
        <f t="shared" si="14"/>
        <v>0</v>
      </c>
      <c r="L174">
        <f t="shared" si="15"/>
        <v>1</v>
      </c>
      <c r="M174">
        <f t="shared" si="16"/>
        <v>0</v>
      </c>
      <c r="N174">
        <f t="shared" si="17"/>
        <v>0</v>
      </c>
    </row>
    <row r="175" spans="1:14" x14ac:dyDescent="0.35">
      <c r="A175" t="s">
        <v>253</v>
      </c>
      <c r="B175" t="s">
        <v>1913</v>
      </c>
      <c r="C175" s="7" t="s">
        <v>10</v>
      </c>
      <c r="D175" t="s">
        <v>255</v>
      </c>
      <c r="E175" t="s">
        <v>1807</v>
      </c>
      <c r="F175" t="s">
        <v>1754</v>
      </c>
      <c r="I175">
        <f t="shared" si="12"/>
        <v>0</v>
      </c>
      <c r="J175">
        <f t="shared" si="13"/>
        <v>0</v>
      </c>
      <c r="K175">
        <f t="shared" si="14"/>
        <v>0</v>
      </c>
      <c r="L175">
        <f t="shared" si="15"/>
        <v>1</v>
      </c>
      <c r="M175">
        <f t="shared" si="16"/>
        <v>0</v>
      </c>
      <c r="N175">
        <f t="shared" si="17"/>
        <v>0</v>
      </c>
    </row>
    <row r="176" spans="1:14" x14ac:dyDescent="0.35">
      <c r="A176" t="s">
        <v>253</v>
      </c>
      <c r="B176" t="s">
        <v>1913</v>
      </c>
      <c r="C176" s="7" t="s">
        <v>10</v>
      </c>
      <c r="D176" t="s">
        <v>255</v>
      </c>
      <c r="E176" t="s">
        <v>1806</v>
      </c>
      <c r="F176" t="s">
        <v>1754</v>
      </c>
      <c r="I176">
        <f t="shared" si="12"/>
        <v>0</v>
      </c>
      <c r="J176">
        <f t="shared" si="13"/>
        <v>0</v>
      </c>
      <c r="K176">
        <f t="shared" si="14"/>
        <v>0</v>
      </c>
      <c r="L176">
        <f t="shared" si="15"/>
        <v>1</v>
      </c>
      <c r="M176">
        <f t="shared" si="16"/>
        <v>0</v>
      </c>
      <c r="N176">
        <f t="shared" si="17"/>
        <v>0</v>
      </c>
    </row>
    <row r="177" spans="1:14" x14ac:dyDescent="0.35">
      <c r="A177" t="s">
        <v>1159</v>
      </c>
      <c r="B177" t="s">
        <v>1914</v>
      </c>
      <c r="C177" s="7" t="s">
        <v>10</v>
      </c>
      <c r="D177" t="s">
        <v>100</v>
      </c>
      <c r="E177" t="s">
        <v>1825</v>
      </c>
      <c r="F177" t="s">
        <v>1754</v>
      </c>
      <c r="I177">
        <f t="shared" si="12"/>
        <v>0</v>
      </c>
      <c r="J177">
        <f t="shared" si="13"/>
        <v>0</v>
      </c>
      <c r="K177">
        <f t="shared" si="14"/>
        <v>0</v>
      </c>
      <c r="L177">
        <f t="shared" si="15"/>
        <v>1</v>
      </c>
      <c r="M177">
        <f t="shared" si="16"/>
        <v>0</v>
      </c>
      <c r="N177">
        <f t="shared" si="17"/>
        <v>0</v>
      </c>
    </row>
    <row r="178" spans="1:14" x14ac:dyDescent="0.35">
      <c r="A178" t="s">
        <v>1159</v>
      </c>
      <c r="B178" t="s">
        <v>1914</v>
      </c>
      <c r="C178" s="7" t="s">
        <v>10</v>
      </c>
      <c r="D178" t="s">
        <v>100</v>
      </c>
      <c r="E178" t="s">
        <v>1826</v>
      </c>
      <c r="F178" t="s">
        <v>1754</v>
      </c>
      <c r="I178">
        <f t="shared" si="12"/>
        <v>0</v>
      </c>
      <c r="J178">
        <f t="shared" si="13"/>
        <v>0</v>
      </c>
      <c r="K178">
        <f t="shared" si="14"/>
        <v>0</v>
      </c>
      <c r="L178">
        <f t="shared" si="15"/>
        <v>1</v>
      </c>
      <c r="M178">
        <f t="shared" si="16"/>
        <v>0</v>
      </c>
      <c r="N178">
        <f t="shared" si="17"/>
        <v>0</v>
      </c>
    </row>
    <row r="179" spans="1:14" x14ac:dyDescent="0.35">
      <c r="A179" t="s">
        <v>1159</v>
      </c>
      <c r="B179" t="s">
        <v>1914</v>
      </c>
      <c r="C179" s="7" t="s">
        <v>10</v>
      </c>
      <c r="D179" t="s">
        <v>100</v>
      </c>
      <c r="E179" t="s">
        <v>1845</v>
      </c>
      <c r="F179" t="s">
        <v>1754</v>
      </c>
      <c r="I179">
        <f t="shared" si="12"/>
        <v>0</v>
      </c>
      <c r="J179">
        <f t="shared" si="13"/>
        <v>0</v>
      </c>
      <c r="K179">
        <f t="shared" si="14"/>
        <v>0</v>
      </c>
      <c r="L179">
        <f t="shared" si="15"/>
        <v>1</v>
      </c>
      <c r="M179">
        <f t="shared" si="16"/>
        <v>0</v>
      </c>
      <c r="N179">
        <f t="shared" si="17"/>
        <v>0</v>
      </c>
    </row>
    <row r="180" spans="1:14" x14ac:dyDescent="0.35">
      <c r="A180" t="s">
        <v>1159</v>
      </c>
      <c r="B180" t="s">
        <v>1914</v>
      </c>
      <c r="C180" s="7" t="s">
        <v>10</v>
      </c>
      <c r="D180" t="s">
        <v>100</v>
      </c>
      <c r="E180" t="s">
        <v>1847</v>
      </c>
      <c r="F180" t="s">
        <v>1754</v>
      </c>
      <c r="I180">
        <f t="shared" si="12"/>
        <v>0</v>
      </c>
      <c r="J180">
        <f t="shared" si="13"/>
        <v>0</v>
      </c>
      <c r="K180">
        <f t="shared" si="14"/>
        <v>0</v>
      </c>
      <c r="L180">
        <f t="shared" si="15"/>
        <v>1</v>
      </c>
      <c r="M180">
        <f t="shared" si="16"/>
        <v>0</v>
      </c>
      <c r="N180">
        <f t="shared" si="17"/>
        <v>0</v>
      </c>
    </row>
    <row r="181" spans="1:14" x14ac:dyDescent="0.35">
      <c r="A181" t="s">
        <v>1159</v>
      </c>
      <c r="B181" t="s">
        <v>1914</v>
      </c>
      <c r="C181" s="7" t="s">
        <v>10</v>
      </c>
      <c r="D181" t="s">
        <v>100</v>
      </c>
      <c r="E181" t="s">
        <v>1915</v>
      </c>
      <c r="F181" t="s">
        <v>1727</v>
      </c>
      <c r="I181">
        <f t="shared" si="12"/>
        <v>0</v>
      </c>
      <c r="J181">
        <f t="shared" si="13"/>
        <v>0</v>
      </c>
      <c r="K181">
        <f t="shared" si="14"/>
        <v>0</v>
      </c>
      <c r="L181">
        <f t="shared" si="15"/>
        <v>0</v>
      </c>
      <c r="M181">
        <f t="shared" si="16"/>
        <v>1</v>
      </c>
      <c r="N181">
        <f t="shared" si="17"/>
        <v>0</v>
      </c>
    </row>
    <row r="182" spans="1:14" x14ac:dyDescent="0.35">
      <c r="A182" t="s">
        <v>1269</v>
      </c>
      <c r="B182" t="s">
        <v>1916</v>
      </c>
      <c r="C182" s="7" t="s">
        <v>10</v>
      </c>
      <c r="D182" t="s">
        <v>55</v>
      </c>
      <c r="E182" t="s">
        <v>1917</v>
      </c>
      <c r="F182" t="s">
        <v>1754</v>
      </c>
      <c r="G182" t="s">
        <v>1918</v>
      </c>
      <c r="H182" t="s">
        <v>1919</v>
      </c>
      <c r="I182">
        <f t="shared" si="12"/>
        <v>0</v>
      </c>
      <c r="J182">
        <f t="shared" si="13"/>
        <v>0</v>
      </c>
      <c r="K182">
        <f t="shared" si="14"/>
        <v>0</v>
      </c>
      <c r="L182">
        <f t="shared" si="15"/>
        <v>1</v>
      </c>
      <c r="M182">
        <f t="shared" si="16"/>
        <v>0</v>
      </c>
      <c r="N182">
        <f t="shared" si="17"/>
        <v>1</v>
      </c>
    </row>
    <row r="183" spans="1:14" x14ac:dyDescent="0.35">
      <c r="A183" t="s">
        <v>1551</v>
      </c>
      <c r="B183" t="s">
        <v>1920</v>
      </c>
      <c r="C183" s="7" t="s">
        <v>10</v>
      </c>
      <c r="D183" t="s">
        <v>55</v>
      </c>
      <c r="E183" t="s">
        <v>1921</v>
      </c>
      <c r="F183" t="s">
        <v>1727</v>
      </c>
      <c r="I183">
        <f t="shared" si="12"/>
        <v>0</v>
      </c>
      <c r="J183">
        <f t="shared" si="13"/>
        <v>0</v>
      </c>
      <c r="K183">
        <f t="shared" si="14"/>
        <v>0</v>
      </c>
      <c r="L183">
        <f t="shared" si="15"/>
        <v>0</v>
      </c>
      <c r="M183">
        <f t="shared" si="16"/>
        <v>1</v>
      </c>
      <c r="N183">
        <f t="shared" si="17"/>
        <v>0</v>
      </c>
    </row>
    <row r="184" spans="1:14" x14ac:dyDescent="0.35">
      <c r="A184" t="s">
        <v>1551</v>
      </c>
      <c r="B184" t="s">
        <v>1920</v>
      </c>
      <c r="C184" s="7" t="s">
        <v>10</v>
      </c>
      <c r="D184" t="s">
        <v>55</v>
      </c>
      <c r="E184" t="s">
        <v>1922</v>
      </c>
      <c r="F184" t="s">
        <v>1727</v>
      </c>
      <c r="I184">
        <f t="shared" si="12"/>
        <v>0</v>
      </c>
      <c r="J184">
        <f t="shared" si="13"/>
        <v>0</v>
      </c>
      <c r="K184">
        <f t="shared" si="14"/>
        <v>0</v>
      </c>
      <c r="L184">
        <f t="shared" si="15"/>
        <v>0</v>
      </c>
      <c r="M184">
        <f t="shared" si="16"/>
        <v>1</v>
      </c>
      <c r="N184">
        <f t="shared" si="17"/>
        <v>0</v>
      </c>
    </row>
    <row r="185" spans="1:14" x14ac:dyDescent="0.35">
      <c r="A185" t="s">
        <v>1551</v>
      </c>
      <c r="B185" t="s">
        <v>1920</v>
      </c>
      <c r="C185" s="7" t="s">
        <v>10</v>
      </c>
      <c r="D185" t="s">
        <v>55</v>
      </c>
      <c r="E185" t="s">
        <v>1821</v>
      </c>
      <c r="F185" t="s">
        <v>1760</v>
      </c>
      <c r="I185">
        <f t="shared" si="12"/>
        <v>0</v>
      </c>
      <c r="J185">
        <f t="shared" si="13"/>
        <v>0</v>
      </c>
      <c r="K185">
        <f t="shared" si="14"/>
        <v>1</v>
      </c>
      <c r="L185">
        <f t="shared" si="15"/>
        <v>0</v>
      </c>
      <c r="M185">
        <f t="shared" si="16"/>
        <v>0</v>
      </c>
      <c r="N185">
        <f t="shared" si="17"/>
        <v>0</v>
      </c>
    </row>
    <row r="186" spans="1:14" x14ac:dyDescent="0.35">
      <c r="A186" t="s">
        <v>1551</v>
      </c>
      <c r="B186" t="s">
        <v>1920</v>
      </c>
      <c r="C186" s="7" t="s">
        <v>10</v>
      </c>
      <c r="D186" t="s">
        <v>55</v>
      </c>
      <c r="E186" t="s">
        <v>1904</v>
      </c>
      <c r="F186" t="s">
        <v>1760</v>
      </c>
      <c r="I186">
        <f t="shared" si="12"/>
        <v>0</v>
      </c>
      <c r="J186">
        <f t="shared" si="13"/>
        <v>0</v>
      </c>
      <c r="K186">
        <f t="shared" si="14"/>
        <v>1</v>
      </c>
      <c r="L186">
        <f t="shared" si="15"/>
        <v>0</v>
      </c>
      <c r="M186">
        <f t="shared" si="16"/>
        <v>0</v>
      </c>
      <c r="N186">
        <f t="shared" si="17"/>
        <v>0</v>
      </c>
    </row>
    <row r="187" spans="1:14" x14ac:dyDescent="0.35">
      <c r="A187" t="s">
        <v>63</v>
      </c>
      <c r="B187" t="s">
        <v>1923</v>
      </c>
      <c r="C187" s="7" t="s">
        <v>10</v>
      </c>
      <c r="D187" t="s">
        <v>55</v>
      </c>
      <c r="E187" t="s">
        <v>1924</v>
      </c>
      <c r="F187" t="s">
        <v>1727</v>
      </c>
      <c r="I187">
        <f t="shared" si="12"/>
        <v>0</v>
      </c>
      <c r="J187">
        <f t="shared" si="13"/>
        <v>0</v>
      </c>
      <c r="K187">
        <f t="shared" si="14"/>
        <v>0</v>
      </c>
      <c r="L187">
        <f t="shared" si="15"/>
        <v>0</v>
      </c>
      <c r="M187">
        <f t="shared" si="16"/>
        <v>1</v>
      </c>
      <c r="N187">
        <f t="shared" si="17"/>
        <v>0</v>
      </c>
    </row>
    <row r="188" spans="1:14" x14ac:dyDescent="0.35">
      <c r="A188" t="s">
        <v>1596</v>
      </c>
      <c r="B188" t="s">
        <v>1735</v>
      </c>
      <c r="C188" s="7" t="s">
        <v>10</v>
      </c>
      <c r="D188" t="s">
        <v>55</v>
      </c>
      <c r="E188" t="s">
        <v>1925</v>
      </c>
      <c r="F188" t="s">
        <v>1727</v>
      </c>
      <c r="G188" t="s">
        <v>1737</v>
      </c>
      <c r="H188" t="s">
        <v>1738</v>
      </c>
      <c r="I188">
        <f t="shared" si="12"/>
        <v>0</v>
      </c>
      <c r="J188">
        <f t="shared" si="13"/>
        <v>0</v>
      </c>
      <c r="K188">
        <f t="shared" si="14"/>
        <v>0</v>
      </c>
      <c r="L188">
        <f t="shared" si="15"/>
        <v>0</v>
      </c>
      <c r="M188">
        <f t="shared" si="16"/>
        <v>1</v>
      </c>
      <c r="N188">
        <f t="shared" si="17"/>
        <v>1</v>
      </c>
    </row>
    <row r="189" spans="1:14" x14ac:dyDescent="0.35">
      <c r="A189" t="s">
        <v>1596</v>
      </c>
      <c r="B189" t="s">
        <v>1735</v>
      </c>
      <c r="C189" s="7" t="s">
        <v>10</v>
      </c>
      <c r="D189" t="s">
        <v>55</v>
      </c>
      <c r="E189" t="s">
        <v>1926</v>
      </c>
      <c r="F189" t="s">
        <v>1727</v>
      </c>
      <c r="G189" t="s">
        <v>1737</v>
      </c>
      <c r="H189" t="s">
        <v>1738</v>
      </c>
      <c r="I189">
        <f t="shared" si="12"/>
        <v>0</v>
      </c>
      <c r="J189">
        <f t="shared" si="13"/>
        <v>0</v>
      </c>
      <c r="K189">
        <f t="shared" si="14"/>
        <v>0</v>
      </c>
      <c r="L189">
        <f t="shared" si="15"/>
        <v>0</v>
      </c>
      <c r="M189">
        <f t="shared" si="16"/>
        <v>1</v>
      </c>
      <c r="N189">
        <f t="shared" si="17"/>
        <v>1</v>
      </c>
    </row>
    <row r="190" spans="1:14" x14ac:dyDescent="0.35">
      <c r="A190" t="s">
        <v>1596</v>
      </c>
      <c r="B190" t="s">
        <v>1735</v>
      </c>
      <c r="C190" s="7" t="s">
        <v>10</v>
      </c>
      <c r="D190" t="s">
        <v>55</v>
      </c>
      <c r="E190" t="s">
        <v>1874</v>
      </c>
      <c r="F190" t="s">
        <v>1727</v>
      </c>
      <c r="G190" t="s">
        <v>1737</v>
      </c>
      <c r="H190" t="s">
        <v>1738</v>
      </c>
      <c r="I190">
        <f t="shared" si="12"/>
        <v>0</v>
      </c>
      <c r="J190">
        <f t="shared" si="13"/>
        <v>0</v>
      </c>
      <c r="K190">
        <f t="shared" si="14"/>
        <v>0</v>
      </c>
      <c r="L190">
        <f t="shared" si="15"/>
        <v>0</v>
      </c>
      <c r="M190">
        <f t="shared" si="16"/>
        <v>1</v>
      </c>
      <c r="N190">
        <f t="shared" si="17"/>
        <v>1</v>
      </c>
    </row>
    <row r="191" spans="1:14" x14ac:dyDescent="0.35">
      <c r="A191" t="s">
        <v>1596</v>
      </c>
      <c r="B191" t="s">
        <v>1735</v>
      </c>
      <c r="C191" s="7" t="s">
        <v>10</v>
      </c>
      <c r="D191" t="s">
        <v>55</v>
      </c>
      <c r="E191" t="s">
        <v>1875</v>
      </c>
      <c r="F191" t="s">
        <v>1727</v>
      </c>
      <c r="G191" t="s">
        <v>1737</v>
      </c>
      <c r="H191" t="s">
        <v>1738</v>
      </c>
      <c r="I191">
        <f t="shared" si="12"/>
        <v>0</v>
      </c>
      <c r="J191">
        <f t="shared" si="13"/>
        <v>0</v>
      </c>
      <c r="K191">
        <f t="shared" si="14"/>
        <v>0</v>
      </c>
      <c r="L191">
        <f t="shared" si="15"/>
        <v>0</v>
      </c>
      <c r="M191">
        <f t="shared" si="16"/>
        <v>1</v>
      </c>
      <c r="N191">
        <f t="shared" si="17"/>
        <v>1</v>
      </c>
    </row>
    <row r="192" spans="1:14" x14ac:dyDescent="0.35">
      <c r="A192" t="s">
        <v>1667</v>
      </c>
      <c r="B192" t="s">
        <v>1927</v>
      </c>
      <c r="C192" s="7" t="s">
        <v>10</v>
      </c>
      <c r="D192" t="s">
        <v>55</v>
      </c>
      <c r="E192" t="s">
        <v>1928</v>
      </c>
      <c r="F192" t="s">
        <v>1754</v>
      </c>
      <c r="I192">
        <f t="shared" si="12"/>
        <v>0</v>
      </c>
      <c r="J192">
        <f t="shared" si="13"/>
        <v>0</v>
      </c>
      <c r="K192">
        <f t="shared" si="14"/>
        <v>0</v>
      </c>
      <c r="L192">
        <f t="shared" si="15"/>
        <v>1</v>
      </c>
      <c r="M192">
        <f t="shared" si="16"/>
        <v>0</v>
      </c>
      <c r="N192">
        <f t="shared" si="17"/>
        <v>0</v>
      </c>
    </row>
    <row r="193" spans="1:14" x14ac:dyDescent="0.35">
      <c r="A193" t="s">
        <v>1667</v>
      </c>
      <c r="B193" t="s">
        <v>1927</v>
      </c>
      <c r="C193" s="7" t="s">
        <v>10</v>
      </c>
      <c r="D193" t="s">
        <v>55</v>
      </c>
      <c r="E193" t="s">
        <v>1929</v>
      </c>
      <c r="F193" t="s">
        <v>1754</v>
      </c>
      <c r="I193">
        <f t="shared" si="12"/>
        <v>0</v>
      </c>
      <c r="J193">
        <f t="shared" si="13"/>
        <v>0</v>
      </c>
      <c r="K193">
        <f t="shared" si="14"/>
        <v>0</v>
      </c>
      <c r="L193">
        <f t="shared" si="15"/>
        <v>1</v>
      </c>
      <c r="M193">
        <f t="shared" si="16"/>
        <v>0</v>
      </c>
      <c r="N193">
        <f t="shared" si="17"/>
        <v>0</v>
      </c>
    </row>
    <row r="194" spans="1:14" x14ac:dyDescent="0.35">
      <c r="A194" t="s">
        <v>1667</v>
      </c>
      <c r="B194" t="s">
        <v>1927</v>
      </c>
      <c r="C194" s="7" t="s">
        <v>10</v>
      </c>
      <c r="D194" t="s">
        <v>55</v>
      </c>
      <c r="E194" t="s">
        <v>1930</v>
      </c>
      <c r="F194" t="s">
        <v>1754</v>
      </c>
      <c r="I194">
        <f t="shared" si="12"/>
        <v>0</v>
      </c>
      <c r="J194">
        <f t="shared" si="13"/>
        <v>0</v>
      </c>
      <c r="K194">
        <f t="shared" si="14"/>
        <v>0</v>
      </c>
      <c r="L194">
        <f t="shared" si="15"/>
        <v>1</v>
      </c>
      <c r="M194">
        <f t="shared" si="16"/>
        <v>0</v>
      </c>
      <c r="N194">
        <f t="shared" si="17"/>
        <v>0</v>
      </c>
    </row>
    <row r="195" spans="1:14" x14ac:dyDescent="0.35">
      <c r="A195" t="s">
        <v>1667</v>
      </c>
      <c r="B195" t="s">
        <v>1927</v>
      </c>
      <c r="C195" s="7" t="s">
        <v>10</v>
      </c>
      <c r="D195" t="s">
        <v>55</v>
      </c>
      <c r="E195" t="s">
        <v>1931</v>
      </c>
      <c r="F195" t="s">
        <v>1754</v>
      </c>
      <c r="I195">
        <f t="shared" ref="I195:I258" si="18">IF($F195=$F$1,1,0)</f>
        <v>0</v>
      </c>
      <c r="J195">
        <f t="shared" ref="J195:J258" si="19">IF($F195=$J$1,1,0)</f>
        <v>0</v>
      </c>
      <c r="K195">
        <f t="shared" ref="K195:K258" si="20">IF($F195=$K$1,1,0)</f>
        <v>0</v>
      </c>
      <c r="L195">
        <f t="shared" ref="L195:L258" si="21">IF($F195=$L$1,1,0)</f>
        <v>1</v>
      </c>
      <c r="M195">
        <f t="shared" ref="M195:M258" si="22">IF($F195=$M$1,1,0)</f>
        <v>0</v>
      </c>
      <c r="N195">
        <f t="shared" ref="N195:N258" si="23">IF($G195&lt;&gt;"",1,0)</f>
        <v>0</v>
      </c>
    </row>
    <row r="196" spans="1:14" x14ac:dyDescent="0.35">
      <c r="A196" t="s">
        <v>1218</v>
      </c>
      <c r="B196" t="s">
        <v>1739</v>
      </c>
      <c r="C196" s="7" t="s">
        <v>10</v>
      </c>
      <c r="D196" t="s">
        <v>55</v>
      </c>
      <c r="E196" t="s">
        <v>1894</v>
      </c>
      <c r="F196" t="s">
        <v>1754</v>
      </c>
      <c r="I196">
        <f t="shared" si="18"/>
        <v>0</v>
      </c>
      <c r="J196">
        <f t="shared" si="19"/>
        <v>0</v>
      </c>
      <c r="K196">
        <f t="shared" si="20"/>
        <v>0</v>
      </c>
      <c r="L196">
        <f t="shared" si="21"/>
        <v>1</v>
      </c>
      <c r="M196">
        <f t="shared" si="22"/>
        <v>0</v>
      </c>
      <c r="N196">
        <f t="shared" si="23"/>
        <v>0</v>
      </c>
    </row>
    <row r="197" spans="1:14" x14ac:dyDescent="0.35">
      <c r="A197" t="s">
        <v>1218</v>
      </c>
      <c r="B197" t="s">
        <v>1739</v>
      </c>
      <c r="C197" s="7" t="s">
        <v>10</v>
      </c>
      <c r="D197" t="s">
        <v>55</v>
      </c>
      <c r="E197" t="s">
        <v>1896</v>
      </c>
      <c r="F197" t="s">
        <v>1754</v>
      </c>
      <c r="I197">
        <f t="shared" si="18"/>
        <v>0</v>
      </c>
      <c r="J197">
        <f t="shared" si="19"/>
        <v>0</v>
      </c>
      <c r="K197">
        <f t="shared" si="20"/>
        <v>0</v>
      </c>
      <c r="L197">
        <f t="shared" si="21"/>
        <v>1</v>
      </c>
      <c r="M197">
        <f t="shared" si="22"/>
        <v>0</v>
      </c>
      <c r="N197">
        <f t="shared" si="23"/>
        <v>0</v>
      </c>
    </row>
    <row r="198" spans="1:14" x14ac:dyDescent="0.35">
      <c r="A198" t="s">
        <v>1218</v>
      </c>
      <c r="B198" t="s">
        <v>1739</v>
      </c>
      <c r="C198" s="7" t="s">
        <v>10</v>
      </c>
      <c r="D198" t="s">
        <v>55</v>
      </c>
      <c r="E198" t="s">
        <v>1845</v>
      </c>
      <c r="F198" t="s">
        <v>1754</v>
      </c>
      <c r="I198">
        <f t="shared" si="18"/>
        <v>0</v>
      </c>
      <c r="J198">
        <f t="shared" si="19"/>
        <v>0</v>
      </c>
      <c r="K198">
        <f t="shared" si="20"/>
        <v>0</v>
      </c>
      <c r="L198">
        <f t="shared" si="21"/>
        <v>1</v>
      </c>
      <c r="M198">
        <f t="shared" si="22"/>
        <v>0</v>
      </c>
      <c r="N198">
        <f t="shared" si="23"/>
        <v>0</v>
      </c>
    </row>
    <row r="199" spans="1:14" x14ac:dyDescent="0.35">
      <c r="A199" t="s">
        <v>1218</v>
      </c>
      <c r="B199" t="s">
        <v>1739</v>
      </c>
      <c r="C199" s="7" t="s">
        <v>10</v>
      </c>
      <c r="D199" t="s">
        <v>55</v>
      </c>
      <c r="E199" t="s">
        <v>1847</v>
      </c>
      <c r="F199" t="s">
        <v>1754</v>
      </c>
      <c r="I199">
        <f t="shared" si="18"/>
        <v>0</v>
      </c>
      <c r="J199">
        <f t="shared" si="19"/>
        <v>0</v>
      </c>
      <c r="K199">
        <f t="shared" si="20"/>
        <v>0</v>
      </c>
      <c r="L199">
        <f t="shared" si="21"/>
        <v>1</v>
      </c>
      <c r="M199">
        <f t="shared" si="22"/>
        <v>0</v>
      </c>
      <c r="N199">
        <f t="shared" si="23"/>
        <v>0</v>
      </c>
    </row>
    <row r="200" spans="1:14" x14ac:dyDescent="0.35">
      <c r="A200" t="s">
        <v>1218</v>
      </c>
      <c r="B200" t="s">
        <v>1739</v>
      </c>
      <c r="C200" s="7" t="s">
        <v>6</v>
      </c>
      <c r="D200" t="s">
        <v>55</v>
      </c>
      <c r="E200" t="s">
        <v>1932</v>
      </c>
      <c r="F200" t="s">
        <v>1727</v>
      </c>
      <c r="I200">
        <f t="shared" si="18"/>
        <v>0</v>
      </c>
      <c r="J200">
        <f t="shared" si="19"/>
        <v>0</v>
      </c>
      <c r="K200">
        <f t="shared" si="20"/>
        <v>0</v>
      </c>
      <c r="L200">
        <f t="shared" si="21"/>
        <v>0</v>
      </c>
      <c r="M200">
        <f t="shared" si="22"/>
        <v>1</v>
      </c>
      <c r="N200">
        <f t="shared" si="23"/>
        <v>0</v>
      </c>
    </row>
    <row r="201" spans="1:14" x14ac:dyDescent="0.35">
      <c r="A201" t="s">
        <v>265</v>
      </c>
      <c r="B201" t="s">
        <v>1933</v>
      </c>
      <c r="C201" s="7" t="s">
        <v>6</v>
      </c>
      <c r="D201" t="s">
        <v>267</v>
      </c>
      <c r="E201" t="s">
        <v>1870</v>
      </c>
      <c r="F201" t="s">
        <v>1727</v>
      </c>
      <c r="I201">
        <f t="shared" si="18"/>
        <v>0</v>
      </c>
      <c r="J201">
        <f t="shared" si="19"/>
        <v>0</v>
      </c>
      <c r="K201">
        <f t="shared" si="20"/>
        <v>0</v>
      </c>
      <c r="L201">
        <f t="shared" si="21"/>
        <v>0</v>
      </c>
      <c r="M201">
        <f t="shared" si="22"/>
        <v>1</v>
      </c>
      <c r="N201">
        <f t="shared" si="23"/>
        <v>0</v>
      </c>
    </row>
    <row r="202" spans="1:14" x14ac:dyDescent="0.35">
      <c r="A202" t="s">
        <v>1197</v>
      </c>
      <c r="B202" t="s">
        <v>1934</v>
      </c>
      <c r="C202" s="7" t="s">
        <v>6</v>
      </c>
      <c r="D202" t="s">
        <v>55</v>
      </c>
      <c r="E202" t="s">
        <v>1935</v>
      </c>
      <c r="F202" t="s">
        <v>1760</v>
      </c>
      <c r="I202">
        <f t="shared" si="18"/>
        <v>0</v>
      </c>
      <c r="J202">
        <f t="shared" si="19"/>
        <v>0</v>
      </c>
      <c r="K202">
        <f t="shared" si="20"/>
        <v>1</v>
      </c>
      <c r="L202">
        <f t="shared" si="21"/>
        <v>0</v>
      </c>
      <c r="M202">
        <f t="shared" si="22"/>
        <v>0</v>
      </c>
      <c r="N202">
        <f t="shared" si="23"/>
        <v>0</v>
      </c>
    </row>
    <row r="203" spans="1:14" x14ac:dyDescent="0.35">
      <c r="A203" t="s">
        <v>1197</v>
      </c>
      <c r="B203" t="s">
        <v>1934</v>
      </c>
      <c r="C203" s="7" t="s">
        <v>6</v>
      </c>
      <c r="D203" t="s">
        <v>55</v>
      </c>
      <c r="E203" t="s">
        <v>1936</v>
      </c>
      <c r="F203" t="s">
        <v>1760</v>
      </c>
      <c r="I203">
        <f t="shared" si="18"/>
        <v>0</v>
      </c>
      <c r="J203">
        <f t="shared" si="19"/>
        <v>0</v>
      </c>
      <c r="K203">
        <f t="shared" si="20"/>
        <v>1</v>
      </c>
      <c r="L203">
        <f t="shared" si="21"/>
        <v>0</v>
      </c>
      <c r="M203">
        <f t="shared" si="22"/>
        <v>0</v>
      </c>
      <c r="N203">
        <f t="shared" si="23"/>
        <v>0</v>
      </c>
    </row>
    <row r="204" spans="1:14" x14ac:dyDescent="0.35">
      <c r="A204" t="s">
        <v>1197</v>
      </c>
      <c r="B204" t="s">
        <v>1934</v>
      </c>
      <c r="C204" s="7" t="s">
        <v>6</v>
      </c>
      <c r="D204" t="s">
        <v>55</v>
      </c>
      <c r="E204" t="s">
        <v>1937</v>
      </c>
      <c r="F204" t="s">
        <v>1760</v>
      </c>
      <c r="I204">
        <f t="shared" si="18"/>
        <v>0</v>
      </c>
      <c r="J204">
        <f t="shared" si="19"/>
        <v>0</v>
      </c>
      <c r="K204">
        <f t="shared" si="20"/>
        <v>1</v>
      </c>
      <c r="L204">
        <f t="shared" si="21"/>
        <v>0</v>
      </c>
      <c r="M204">
        <f t="shared" si="22"/>
        <v>0</v>
      </c>
      <c r="N204">
        <f t="shared" si="23"/>
        <v>0</v>
      </c>
    </row>
    <row r="205" spans="1:14" x14ac:dyDescent="0.35">
      <c r="A205" t="s">
        <v>1197</v>
      </c>
      <c r="B205" t="s">
        <v>1934</v>
      </c>
      <c r="C205" s="7" t="s">
        <v>6</v>
      </c>
      <c r="D205" t="s">
        <v>55</v>
      </c>
      <c r="E205" t="s">
        <v>1938</v>
      </c>
      <c r="F205" t="s">
        <v>1760</v>
      </c>
      <c r="I205">
        <f t="shared" si="18"/>
        <v>0</v>
      </c>
      <c r="J205">
        <f t="shared" si="19"/>
        <v>0</v>
      </c>
      <c r="K205">
        <f t="shared" si="20"/>
        <v>1</v>
      </c>
      <c r="L205">
        <f t="shared" si="21"/>
        <v>0</v>
      </c>
      <c r="M205">
        <f t="shared" si="22"/>
        <v>0</v>
      </c>
      <c r="N205">
        <f t="shared" si="23"/>
        <v>0</v>
      </c>
    </row>
    <row r="206" spans="1:14" x14ac:dyDescent="0.35">
      <c r="A206" t="s">
        <v>1197</v>
      </c>
      <c r="B206" t="s">
        <v>1934</v>
      </c>
      <c r="C206" s="7" t="s">
        <v>6</v>
      </c>
      <c r="D206" t="s">
        <v>55</v>
      </c>
      <c r="E206" t="s">
        <v>1823</v>
      </c>
      <c r="F206" t="s">
        <v>1760</v>
      </c>
      <c r="I206">
        <f t="shared" si="18"/>
        <v>0</v>
      </c>
      <c r="J206">
        <f t="shared" si="19"/>
        <v>0</v>
      </c>
      <c r="K206">
        <f t="shared" si="20"/>
        <v>1</v>
      </c>
      <c r="L206">
        <f t="shared" si="21"/>
        <v>0</v>
      </c>
      <c r="M206">
        <f t="shared" si="22"/>
        <v>0</v>
      </c>
      <c r="N206">
        <f t="shared" si="23"/>
        <v>0</v>
      </c>
    </row>
    <row r="207" spans="1:14" x14ac:dyDescent="0.35">
      <c r="A207" t="s">
        <v>1197</v>
      </c>
      <c r="B207" t="s">
        <v>1934</v>
      </c>
      <c r="C207" s="7" t="s">
        <v>6</v>
      </c>
      <c r="D207" t="s">
        <v>55</v>
      </c>
      <c r="E207" t="s">
        <v>1822</v>
      </c>
      <c r="F207" t="s">
        <v>1760</v>
      </c>
      <c r="I207">
        <f t="shared" si="18"/>
        <v>0</v>
      </c>
      <c r="J207">
        <f t="shared" si="19"/>
        <v>0</v>
      </c>
      <c r="K207">
        <f t="shared" si="20"/>
        <v>1</v>
      </c>
      <c r="L207">
        <f t="shared" si="21"/>
        <v>0</v>
      </c>
      <c r="M207">
        <f t="shared" si="22"/>
        <v>0</v>
      </c>
      <c r="N207">
        <f t="shared" si="23"/>
        <v>0</v>
      </c>
    </row>
    <row r="208" spans="1:14" x14ac:dyDescent="0.35">
      <c r="A208" t="s">
        <v>1197</v>
      </c>
      <c r="B208" t="s">
        <v>1934</v>
      </c>
      <c r="C208" s="7" t="s">
        <v>6</v>
      </c>
      <c r="D208" t="s">
        <v>55</v>
      </c>
      <c r="E208" t="s">
        <v>1821</v>
      </c>
      <c r="F208" t="s">
        <v>1760</v>
      </c>
      <c r="I208">
        <f t="shared" si="18"/>
        <v>0</v>
      </c>
      <c r="J208">
        <f t="shared" si="19"/>
        <v>0</v>
      </c>
      <c r="K208">
        <f t="shared" si="20"/>
        <v>1</v>
      </c>
      <c r="L208">
        <f t="shared" si="21"/>
        <v>0</v>
      </c>
      <c r="M208">
        <f t="shared" si="22"/>
        <v>0</v>
      </c>
      <c r="N208">
        <f t="shared" si="23"/>
        <v>0</v>
      </c>
    </row>
    <row r="209" spans="1:14" x14ac:dyDescent="0.35">
      <c r="A209" t="s">
        <v>1197</v>
      </c>
      <c r="B209" t="s">
        <v>1934</v>
      </c>
      <c r="C209" s="7" t="s">
        <v>9</v>
      </c>
      <c r="D209" t="s">
        <v>55</v>
      </c>
      <c r="E209" t="s">
        <v>1858</v>
      </c>
      <c r="F209" t="s">
        <v>1760</v>
      </c>
      <c r="I209">
        <f t="shared" si="18"/>
        <v>0</v>
      </c>
      <c r="J209">
        <f t="shared" si="19"/>
        <v>0</v>
      </c>
      <c r="K209">
        <f t="shared" si="20"/>
        <v>1</v>
      </c>
      <c r="L209">
        <f t="shared" si="21"/>
        <v>0</v>
      </c>
      <c r="M209">
        <f t="shared" si="22"/>
        <v>0</v>
      </c>
      <c r="N209">
        <f t="shared" si="23"/>
        <v>0</v>
      </c>
    </row>
    <row r="210" spans="1:14" x14ac:dyDescent="0.35">
      <c r="A210" t="s">
        <v>453</v>
      </c>
      <c r="B210" t="s">
        <v>1939</v>
      </c>
      <c r="C210" s="7" t="s">
        <v>9</v>
      </c>
      <c r="D210" t="s">
        <v>180</v>
      </c>
      <c r="E210" t="s">
        <v>1940</v>
      </c>
      <c r="F210" t="s">
        <v>1754</v>
      </c>
      <c r="I210">
        <f t="shared" si="18"/>
        <v>0</v>
      </c>
      <c r="J210">
        <f t="shared" si="19"/>
        <v>0</v>
      </c>
      <c r="K210">
        <f t="shared" si="20"/>
        <v>0</v>
      </c>
      <c r="L210">
        <f t="shared" si="21"/>
        <v>1</v>
      </c>
      <c r="M210">
        <f t="shared" si="22"/>
        <v>0</v>
      </c>
      <c r="N210">
        <f t="shared" si="23"/>
        <v>0</v>
      </c>
    </row>
    <row r="211" spans="1:14" x14ac:dyDescent="0.35">
      <c r="A211" t="s">
        <v>453</v>
      </c>
      <c r="B211" t="s">
        <v>1939</v>
      </c>
      <c r="C211" s="7" t="s">
        <v>9</v>
      </c>
      <c r="D211" t="s">
        <v>180</v>
      </c>
      <c r="E211" t="s">
        <v>1941</v>
      </c>
      <c r="F211" t="s">
        <v>1754</v>
      </c>
      <c r="I211">
        <f t="shared" si="18"/>
        <v>0</v>
      </c>
      <c r="J211">
        <f t="shared" si="19"/>
        <v>0</v>
      </c>
      <c r="K211">
        <f t="shared" si="20"/>
        <v>0</v>
      </c>
      <c r="L211">
        <f t="shared" si="21"/>
        <v>1</v>
      </c>
      <c r="M211">
        <f t="shared" si="22"/>
        <v>0</v>
      </c>
      <c r="N211">
        <f t="shared" si="23"/>
        <v>0</v>
      </c>
    </row>
    <row r="212" spans="1:14" x14ac:dyDescent="0.35">
      <c r="A212" t="s">
        <v>1659</v>
      </c>
      <c r="B212" t="s">
        <v>1942</v>
      </c>
      <c r="C212" s="7" t="s">
        <v>9</v>
      </c>
      <c r="D212" t="s">
        <v>55</v>
      </c>
      <c r="E212" t="s">
        <v>1829</v>
      </c>
      <c r="F212" t="s">
        <v>1754</v>
      </c>
      <c r="I212">
        <f t="shared" si="18"/>
        <v>0</v>
      </c>
      <c r="J212">
        <f t="shared" si="19"/>
        <v>0</v>
      </c>
      <c r="K212">
        <f t="shared" si="20"/>
        <v>0</v>
      </c>
      <c r="L212">
        <f t="shared" si="21"/>
        <v>1</v>
      </c>
      <c r="M212">
        <f t="shared" si="22"/>
        <v>0</v>
      </c>
      <c r="N212">
        <f t="shared" si="23"/>
        <v>0</v>
      </c>
    </row>
    <row r="213" spans="1:14" x14ac:dyDescent="0.35">
      <c r="A213" t="s">
        <v>1659</v>
      </c>
      <c r="B213" t="s">
        <v>1942</v>
      </c>
      <c r="C213" s="7" t="s">
        <v>9</v>
      </c>
      <c r="D213" t="s">
        <v>55</v>
      </c>
      <c r="E213" t="s">
        <v>1917</v>
      </c>
      <c r="F213" t="s">
        <v>1754</v>
      </c>
      <c r="I213">
        <f t="shared" si="18"/>
        <v>0</v>
      </c>
      <c r="J213">
        <f t="shared" si="19"/>
        <v>0</v>
      </c>
      <c r="K213">
        <f t="shared" si="20"/>
        <v>0</v>
      </c>
      <c r="L213">
        <f t="shared" si="21"/>
        <v>1</v>
      </c>
      <c r="M213">
        <f t="shared" si="22"/>
        <v>0</v>
      </c>
      <c r="N213">
        <f t="shared" si="23"/>
        <v>0</v>
      </c>
    </row>
    <row r="214" spans="1:14" x14ac:dyDescent="0.35">
      <c r="A214" t="s">
        <v>1462</v>
      </c>
      <c r="B214" t="s">
        <v>1943</v>
      </c>
      <c r="C214" s="7" t="s">
        <v>9</v>
      </c>
      <c r="D214" t="s">
        <v>55</v>
      </c>
      <c r="E214" t="s">
        <v>1911</v>
      </c>
      <c r="F214" t="s">
        <v>1754</v>
      </c>
      <c r="I214">
        <f t="shared" si="18"/>
        <v>0</v>
      </c>
      <c r="J214">
        <f t="shared" si="19"/>
        <v>0</v>
      </c>
      <c r="K214">
        <f t="shared" si="20"/>
        <v>0</v>
      </c>
      <c r="L214">
        <f t="shared" si="21"/>
        <v>1</v>
      </c>
      <c r="M214">
        <f t="shared" si="22"/>
        <v>0</v>
      </c>
      <c r="N214">
        <f t="shared" si="23"/>
        <v>0</v>
      </c>
    </row>
    <row r="215" spans="1:14" x14ac:dyDescent="0.35">
      <c r="A215" t="s">
        <v>1462</v>
      </c>
      <c r="B215" t="s">
        <v>1943</v>
      </c>
      <c r="C215" s="7" t="s">
        <v>9</v>
      </c>
      <c r="D215" t="s">
        <v>55</v>
      </c>
      <c r="E215" t="s">
        <v>1910</v>
      </c>
      <c r="F215" t="s">
        <v>1754</v>
      </c>
      <c r="I215">
        <f t="shared" si="18"/>
        <v>0</v>
      </c>
      <c r="J215">
        <f t="shared" si="19"/>
        <v>0</v>
      </c>
      <c r="K215">
        <f t="shared" si="20"/>
        <v>0</v>
      </c>
      <c r="L215">
        <f t="shared" si="21"/>
        <v>1</v>
      </c>
      <c r="M215">
        <f t="shared" si="22"/>
        <v>0</v>
      </c>
      <c r="N215">
        <f t="shared" si="23"/>
        <v>0</v>
      </c>
    </row>
    <row r="216" spans="1:14" x14ac:dyDescent="0.35">
      <c r="A216" t="s">
        <v>1462</v>
      </c>
      <c r="B216" t="s">
        <v>1943</v>
      </c>
      <c r="C216" s="7" t="s">
        <v>9</v>
      </c>
      <c r="D216" t="s">
        <v>55</v>
      </c>
      <c r="E216" t="s">
        <v>1944</v>
      </c>
      <c r="F216" t="s">
        <v>1754</v>
      </c>
      <c r="I216">
        <f t="shared" si="18"/>
        <v>0</v>
      </c>
      <c r="J216">
        <f t="shared" si="19"/>
        <v>0</v>
      </c>
      <c r="K216">
        <f t="shared" si="20"/>
        <v>0</v>
      </c>
      <c r="L216">
        <f t="shared" si="21"/>
        <v>1</v>
      </c>
      <c r="M216">
        <f t="shared" si="22"/>
        <v>0</v>
      </c>
      <c r="N216">
        <f t="shared" si="23"/>
        <v>0</v>
      </c>
    </row>
    <row r="217" spans="1:14" x14ac:dyDescent="0.35">
      <c r="A217" t="s">
        <v>1462</v>
      </c>
      <c r="B217" t="s">
        <v>1943</v>
      </c>
      <c r="C217" s="7" t="s">
        <v>9</v>
      </c>
      <c r="D217" t="s">
        <v>55</v>
      </c>
      <c r="E217" t="s">
        <v>1945</v>
      </c>
      <c r="F217" t="s">
        <v>1754</v>
      </c>
      <c r="I217">
        <f t="shared" si="18"/>
        <v>0</v>
      </c>
      <c r="J217">
        <f t="shared" si="19"/>
        <v>0</v>
      </c>
      <c r="K217">
        <f t="shared" si="20"/>
        <v>0</v>
      </c>
      <c r="L217">
        <f t="shared" si="21"/>
        <v>1</v>
      </c>
      <c r="M217">
        <f t="shared" si="22"/>
        <v>0</v>
      </c>
      <c r="N217">
        <f t="shared" si="23"/>
        <v>0</v>
      </c>
    </row>
    <row r="218" spans="1:14" x14ac:dyDescent="0.35">
      <c r="A218" t="s">
        <v>1462</v>
      </c>
      <c r="B218" t="s">
        <v>1943</v>
      </c>
      <c r="C218" s="7" t="s">
        <v>9</v>
      </c>
      <c r="D218" t="s">
        <v>55</v>
      </c>
      <c r="E218" t="s">
        <v>1946</v>
      </c>
      <c r="F218" t="s">
        <v>1754</v>
      </c>
      <c r="I218">
        <f t="shared" si="18"/>
        <v>0</v>
      </c>
      <c r="J218">
        <f t="shared" si="19"/>
        <v>0</v>
      </c>
      <c r="K218">
        <f t="shared" si="20"/>
        <v>0</v>
      </c>
      <c r="L218">
        <f t="shared" si="21"/>
        <v>1</v>
      </c>
      <c r="M218">
        <f t="shared" si="22"/>
        <v>0</v>
      </c>
      <c r="N218">
        <f t="shared" si="23"/>
        <v>0</v>
      </c>
    </row>
    <row r="219" spans="1:14" x14ac:dyDescent="0.35">
      <c r="A219" t="s">
        <v>1947</v>
      </c>
      <c r="B219" t="s">
        <v>1948</v>
      </c>
      <c r="C219" s="7" t="s">
        <v>9</v>
      </c>
      <c r="D219" t="s">
        <v>55</v>
      </c>
      <c r="E219" t="s">
        <v>1838</v>
      </c>
      <c r="F219" t="s">
        <v>1760</v>
      </c>
      <c r="I219">
        <f t="shared" si="18"/>
        <v>0</v>
      </c>
      <c r="J219">
        <f t="shared" si="19"/>
        <v>0</v>
      </c>
      <c r="K219">
        <f t="shared" si="20"/>
        <v>1</v>
      </c>
      <c r="L219">
        <f t="shared" si="21"/>
        <v>0</v>
      </c>
      <c r="M219">
        <f t="shared" si="22"/>
        <v>0</v>
      </c>
      <c r="N219">
        <f t="shared" si="23"/>
        <v>0</v>
      </c>
    </row>
    <row r="220" spans="1:14" x14ac:dyDescent="0.35">
      <c r="A220" t="s">
        <v>1947</v>
      </c>
      <c r="B220" t="s">
        <v>1948</v>
      </c>
      <c r="C220" s="7" t="s">
        <v>9</v>
      </c>
      <c r="D220" t="s">
        <v>55</v>
      </c>
      <c r="E220" t="s">
        <v>1807</v>
      </c>
      <c r="F220" t="s">
        <v>1754</v>
      </c>
      <c r="I220">
        <f t="shared" si="18"/>
        <v>0</v>
      </c>
      <c r="J220">
        <f t="shared" si="19"/>
        <v>0</v>
      </c>
      <c r="K220">
        <f t="shared" si="20"/>
        <v>0</v>
      </c>
      <c r="L220">
        <f t="shared" si="21"/>
        <v>1</v>
      </c>
      <c r="M220">
        <f t="shared" si="22"/>
        <v>0</v>
      </c>
      <c r="N220">
        <f t="shared" si="23"/>
        <v>0</v>
      </c>
    </row>
    <row r="221" spans="1:14" x14ac:dyDescent="0.35">
      <c r="A221" t="s">
        <v>1947</v>
      </c>
      <c r="B221" t="s">
        <v>1948</v>
      </c>
      <c r="C221" s="7" t="s">
        <v>9</v>
      </c>
      <c r="D221" t="s">
        <v>55</v>
      </c>
      <c r="E221" t="s">
        <v>1806</v>
      </c>
      <c r="F221" t="s">
        <v>1754</v>
      </c>
      <c r="I221">
        <f t="shared" si="18"/>
        <v>0</v>
      </c>
      <c r="J221">
        <f t="shared" si="19"/>
        <v>0</v>
      </c>
      <c r="K221">
        <f t="shared" si="20"/>
        <v>0</v>
      </c>
      <c r="L221">
        <f t="shared" si="21"/>
        <v>1</v>
      </c>
      <c r="M221">
        <f t="shared" si="22"/>
        <v>0</v>
      </c>
      <c r="N221">
        <f t="shared" si="23"/>
        <v>0</v>
      </c>
    </row>
    <row r="222" spans="1:14" x14ac:dyDescent="0.35">
      <c r="A222" t="s">
        <v>1947</v>
      </c>
      <c r="B222" t="s">
        <v>1948</v>
      </c>
      <c r="C222" s="7" t="s">
        <v>9</v>
      </c>
      <c r="D222" t="s">
        <v>55</v>
      </c>
      <c r="E222" t="s">
        <v>1843</v>
      </c>
      <c r="F222" t="s">
        <v>1760</v>
      </c>
      <c r="I222">
        <f t="shared" si="18"/>
        <v>0</v>
      </c>
      <c r="J222">
        <f t="shared" si="19"/>
        <v>0</v>
      </c>
      <c r="K222">
        <f t="shared" si="20"/>
        <v>1</v>
      </c>
      <c r="L222">
        <f t="shared" si="21"/>
        <v>0</v>
      </c>
      <c r="M222">
        <f t="shared" si="22"/>
        <v>0</v>
      </c>
      <c r="N222">
        <f t="shared" si="23"/>
        <v>0</v>
      </c>
    </row>
    <row r="223" spans="1:14" x14ac:dyDescent="0.35">
      <c r="A223" t="s">
        <v>298</v>
      </c>
      <c r="B223" t="s">
        <v>1949</v>
      </c>
      <c r="C223" s="7" t="s">
        <v>9</v>
      </c>
      <c r="D223" t="s">
        <v>51</v>
      </c>
      <c r="E223" t="s">
        <v>1806</v>
      </c>
      <c r="F223" t="s">
        <v>1754</v>
      </c>
      <c r="I223">
        <f t="shared" si="18"/>
        <v>0</v>
      </c>
      <c r="J223">
        <f t="shared" si="19"/>
        <v>0</v>
      </c>
      <c r="K223">
        <f t="shared" si="20"/>
        <v>0</v>
      </c>
      <c r="L223">
        <f t="shared" si="21"/>
        <v>1</v>
      </c>
      <c r="M223">
        <f t="shared" si="22"/>
        <v>0</v>
      </c>
      <c r="N223">
        <f t="shared" si="23"/>
        <v>0</v>
      </c>
    </row>
    <row r="224" spans="1:14" x14ac:dyDescent="0.35">
      <c r="A224" t="s">
        <v>298</v>
      </c>
      <c r="B224" t="s">
        <v>1949</v>
      </c>
      <c r="C224" s="7" t="s">
        <v>9</v>
      </c>
      <c r="D224" t="s">
        <v>51</v>
      </c>
      <c r="E224" t="s">
        <v>1807</v>
      </c>
      <c r="F224" t="s">
        <v>1754</v>
      </c>
      <c r="I224">
        <f t="shared" si="18"/>
        <v>0</v>
      </c>
      <c r="J224">
        <f t="shared" si="19"/>
        <v>0</v>
      </c>
      <c r="K224">
        <f t="shared" si="20"/>
        <v>0</v>
      </c>
      <c r="L224">
        <f t="shared" si="21"/>
        <v>1</v>
      </c>
      <c r="M224">
        <f t="shared" si="22"/>
        <v>0</v>
      </c>
      <c r="N224">
        <f t="shared" si="23"/>
        <v>0</v>
      </c>
    </row>
    <row r="225" spans="1:14" x14ac:dyDescent="0.35">
      <c r="A225" t="s">
        <v>298</v>
      </c>
      <c r="B225" t="s">
        <v>1949</v>
      </c>
      <c r="C225" s="7" t="s">
        <v>9</v>
      </c>
      <c r="D225" t="s">
        <v>51</v>
      </c>
      <c r="E225" t="s">
        <v>1883</v>
      </c>
      <c r="F225" t="s">
        <v>1754</v>
      </c>
      <c r="I225">
        <f t="shared" si="18"/>
        <v>0</v>
      </c>
      <c r="J225">
        <f t="shared" si="19"/>
        <v>0</v>
      </c>
      <c r="K225">
        <f t="shared" si="20"/>
        <v>0</v>
      </c>
      <c r="L225">
        <f t="shared" si="21"/>
        <v>1</v>
      </c>
      <c r="M225">
        <f t="shared" si="22"/>
        <v>0</v>
      </c>
      <c r="N225">
        <f t="shared" si="23"/>
        <v>0</v>
      </c>
    </row>
    <row r="226" spans="1:14" x14ac:dyDescent="0.35">
      <c r="A226" t="s">
        <v>298</v>
      </c>
      <c r="B226" t="s">
        <v>1949</v>
      </c>
      <c r="C226" s="7" t="s">
        <v>9</v>
      </c>
      <c r="D226" t="s">
        <v>51</v>
      </c>
      <c r="E226" t="s">
        <v>1882</v>
      </c>
      <c r="F226" t="s">
        <v>1754</v>
      </c>
      <c r="I226">
        <f t="shared" si="18"/>
        <v>0</v>
      </c>
      <c r="J226">
        <f t="shared" si="19"/>
        <v>0</v>
      </c>
      <c r="K226">
        <f t="shared" si="20"/>
        <v>0</v>
      </c>
      <c r="L226">
        <f t="shared" si="21"/>
        <v>1</v>
      </c>
      <c r="M226">
        <f t="shared" si="22"/>
        <v>0</v>
      </c>
      <c r="N226">
        <f t="shared" si="23"/>
        <v>0</v>
      </c>
    </row>
    <row r="227" spans="1:14" x14ac:dyDescent="0.35">
      <c r="A227" t="s">
        <v>1037</v>
      </c>
      <c r="B227" t="s">
        <v>1740</v>
      </c>
      <c r="C227" s="7" t="s">
        <v>9</v>
      </c>
      <c r="D227" t="s">
        <v>97</v>
      </c>
      <c r="E227" t="s">
        <v>1950</v>
      </c>
      <c r="F227" t="s">
        <v>1754</v>
      </c>
      <c r="G227" t="s">
        <v>1741</v>
      </c>
      <c r="H227" t="s">
        <v>1742</v>
      </c>
      <c r="I227">
        <f t="shared" si="18"/>
        <v>0</v>
      </c>
      <c r="J227">
        <f t="shared" si="19"/>
        <v>0</v>
      </c>
      <c r="K227">
        <f t="shared" si="20"/>
        <v>0</v>
      </c>
      <c r="L227">
        <f t="shared" si="21"/>
        <v>1</v>
      </c>
      <c r="M227">
        <f t="shared" si="22"/>
        <v>0</v>
      </c>
      <c r="N227">
        <f t="shared" si="23"/>
        <v>1</v>
      </c>
    </row>
    <row r="228" spans="1:14" x14ac:dyDescent="0.35">
      <c r="A228" t="s">
        <v>1037</v>
      </c>
      <c r="B228" t="s">
        <v>1740</v>
      </c>
      <c r="C228" s="7" t="s">
        <v>9</v>
      </c>
      <c r="D228" t="s">
        <v>97</v>
      </c>
      <c r="E228" t="s">
        <v>1951</v>
      </c>
      <c r="F228" t="s">
        <v>1754</v>
      </c>
      <c r="G228" t="s">
        <v>1741</v>
      </c>
      <c r="H228" t="s">
        <v>1742</v>
      </c>
      <c r="I228">
        <f t="shared" si="18"/>
        <v>0</v>
      </c>
      <c r="J228">
        <f t="shared" si="19"/>
        <v>0</v>
      </c>
      <c r="K228">
        <f t="shared" si="20"/>
        <v>0</v>
      </c>
      <c r="L228">
        <f t="shared" si="21"/>
        <v>1</v>
      </c>
      <c r="M228">
        <f t="shared" si="22"/>
        <v>0</v>
      </c>
      <c r="N228">
        <f t="shared" si="23"/>
        <v>1</v>
      </c>
    </row>
    <row r="229" spans="1:14" x14ac:dyDescent="0.35">
      <c r="A229" t="s">
        <v>1037</v>
      </c>
      <c r="B229" t="s">
        <v>1740</v>
      </c>
      <c r="C229" s="7" t="s">
        <v>9</v>
      </c>
      <c r="D229" t="s">
        <v>97</v>
      </c>
      <c r="E229" t="s">
        <v>1952</v>
      </c>
      <c r="F229" t="s">
        <v>1754</v>
      </c>
      <c r="G229" t="s">
        <v>1741</v>
      </c>
      <c r="H229" t="s">
        <v>1742</v>
      </c>
      <c r="I229">
        <f t="shared" si="18"/>
        <v>0</v>
      </c>
      <c r="J229">
        <f t="shared" si="19"/>
        <v>0</v>
      </c>
      <c r="K229">
        <f t="shared" si="20"/>
        <v>0</v>
      </c>
      <c r="L229">
        <f t="shared" si="21"/>
        <v>1</v>
      </c>
      <c r="M229">
        <f t="shared" si="22"/>
        <v>0</v>
      </c>
      <c r="N229">
        <f t="shared" si="23"/>
        <v>1</v>
      </c>
    </row>
    <row r="230" spans="1:14" x14ac:dyDescent="0.35">
      <c r="A230" t="s">
        <v>1037</v>
      </c>
      <c r="B230" t="s">
        <v>1740</v>
      </c>
      <c r="C230" s="7" t="s">
        <v>9</v>
      </c>
      <c r="D230" t="s">
        <v>97</v>
      </c>
      <c r="E230" t="s">
        <v>1915</v>
      </c>
      <c r="F230" t="s">
        <v>1727</v>
      </c>
      <c r="G230" t="s">
        <v>1741</v>
      </c>
      <c r="H230" t="s">
        <v>1742</v>
      </c>
      <c r="I230">
        <f t="shared" si="18"/>
        <v>0</v>
      </c>
      <c r="J230">
        <f t="shared" si="19"/>
        <v>0</v>
      </c>
      <c r="K230">
        <f t="shared" si="20"/>
        <v>0</v>
      </c>
      <c r="L230">
        <f t="shared" si="21"/>
        <v>0</v>
      </c>
      <c r="M230">
        <f t="shared" si="22"/>
        <v>1</v>
      </c>
      <c r="N230">
        <f t="shared" si="23"/>
        <v>1</v>
      </c>
    </row>
    <row r="231" spans="1:14" x14ac:dyDescent="0.35">
      <c r="A231" t="s">
        <v>1037</v>
      </c>
      <c r="B231" t="s">
        <v>1740</v>
      </c>
      <c r="C231" s="7" t="s">
        <v>9</v>
      </c>
      <c r="D231" t="s">
        <v>97</v>
      </c>
      <c r="E231" t="s">
        <v>1953</v>
      </c>
      <c r="F231" t="s">
        <v>1754</v>
      </c>
      <c r="G231" t="s">
        <v>1741</v>
      </c>
      <c r="H231" t="s">
        <v>1742</v>
      </c>
      <c r="I231">
        <f t="shared" si="18"/>
        <v>0</v>
      </c>
      <c r="J231">
        <f t="shared" si="19"/>
        <v>0</v>
      </c>
      <c r="K231">
        <f t="shared" si="20"/>
        <v>0</v>
      </c>
      <c r="L231">
        <f t="shared" si="21"/>
        <v>1</v>
      </c>
      <c r="M231">
        <f t="shared" si="22"/>
        <v>0</v>
      </c>
      <c r="N231">
        <f t="shared" si="23"/>
        <v>1</v>
      </c>
    </row>
    <row r="232" spans="1:14" x14ac:dyDescent="0.35">
      <c r="A232" t="s">
        <v>1600</v>
      </c>
      <c r="B232" t="s">
        <v>1954</v>
      </c>
      <c r="C232" s="7" t="s">
        <v>9</v>
      </c>
      <c r="D232" t="s">
        <v>1601</v>
      </c>
      <c r="E232" t="s">
        <v>1955</v>
      </c>
      <c r="F232" t="s">
        <v>1760</v>
      </c>
      <c r="I232">
        <f t="shared" si="18"/>
        <v>0</v>
      </c>
      <c r="J232">
        <f t="shared" si="19"/>
        <v>0</v>
      </c>
      <c r="K232">
        <f t="shared" si="20"/>
        <v>1</v>
      </c>
      <c r="L232">
        <f t="shared" si="21"/>
        <v>0</v>
      </c>
      <c r="M232">
        <f t="shared" si="22"/>
        <v>0</v>
      </c>
      <c r="N232">
        <f t="shared" si="23"/>
        <v>0</v>
      </c>
    </row>
    <row r="233" spans="1:14" x14ac:dyDescent="0.35">
      <c r="A233" t="s">
        <v>1600</v>
      </c>
      <c r="B233" t="s">
        <v>1954</v>
      </c>
      <c r="C233" s="7" t="s">
        <v>9</v>
      </c>
      <c r="D233" t="s">
        <v>1601</v>
      </c>
      <c r="E233" t="s">
        <v>1956</v>
      </c>
      <c r="F233" t="s">
        <v>1760</v>
      </c>
      <c r="I233">
        <f t="shared" si="18"/>
        <v>0</v>
      </c>
      <c r="J233">
        <f t="shared" si="19"/>
        <v>0</v>
      </c>
      <c r="K233">
        <f t="shared" si="20"/>
        <v>1</v>
      </c>
      <c r="L233">
        <f t="shared" si="21"/>
        <v>0</v>
      </c>
      <c r="M233">
        <f t="shared" si="22"/>
        <v>0</v>
      </c>
      <c r="N233">
        <f t="shared" si="23"/>
        <v>0</v>
      </c>
    </row>
    <row r="234" spans="1:14" x14ac:dyDescent="0.35">
      <c r="A234" t="s">
        <v>1600</v>
      </c>
      <c r="B234" t="s">
        <v>1954</v>
      </c>
      <c r="C234" s="7" t="s">
        <v>9</v>
      </c>
      <c r="D234" t="s">
        <v>1601</v>
      </c>
      <c r="E234" t="s">
        <v>1856</v>
      </c>
      <c r="F234" t="s">
        <v>1760</v>
      </c>
      <c r="I234">
        <f t="shared" si="18"/>
        <v>0</v>
      </c>
      <c r="J234">
        <f t="shared" si="19"/>
        <v>0</v>
      </c>
      <c r="K234">
        <f t="shared" si="20"/>
        <v>1</v>
      </c>
      <c r="L234">
        <f t="shared" si="21"/>
        <v>0</v>
      </c>
      <c r="M234">
        <f t="shared" si="22"/>
        <v>0</v>
      </c>
      <c r="N234">
        <f t="shared" si="23"/>
        <v>0</v>
      </c>
    </row>
    <row r="235" spans="1:14" x14ac:dyDescent="0.35">
      <c r="A235" t="s">
        <v>1600</v>
      </c>
      <c r="B235" t="s">
        <v>1954</v>
      </c>
      <c r="C235" s="7" t="s">
        <v>9</v>
      </c>
      <c r="D235" t="s">
        <v>1601</v>
      </c>
      <c r="E235" t="s">
        <v>1957</v>
      </c>
      <c r="F235" t="s">
        <v>1760</v>
      </c>
      <c r="I235">
        <f t="shared" si="18"/>
        <v>0</v>
      </c>
      <c r="J235">
        <f t="shared" si="19"/>
        <v>0</v>
      </c>
      <c r="K235">
        <f t="shared" si="20"/>
        <v>1</v>
      </c>
      <c r="L235">
        <f t="shared" si="21"/>
        <v>0</v>
      </c>
      <c r="M235">
        <f t="shared" si="22"/>
        <v>0</v>
      </c>
      <c r="N235">
        <f t="shared" si="23"/>
        <v>0</v>
      </c>
    </row>
    <row r="236" spans="1:14" x14ac:dyDescent="0.35">
      <c r="A236" t="s">
        <v>1600</v>
      </c>
      <c r="B236" t="s">
        <v>1954</v>
      </c>
      <c r="C236" s="7" t="s">
        <v>9</v>
      </c>
      <c r="D236" t="s">
        <v>1601</v>
      </c>
      <c r="E236" t="s">
        <v>1958</v>
      </c>
      <c r="F236" t="s">
        <v>1760</v>
      </c>
      <c r="I236">
        <f t="shared" si="18"/>
        <v>0</v>
      </c>
      <c r="J236">
        <f t="shared" si="19"/>
        <v>0</v>
      </c>
      <c r="K236">
        <f t="shared" si="20"/>
        <v>1</v>
      </c>
      <c r="L236">
        <f t="shared" si="21"/>
        <v>0</v>
      </c>
      <c r="M236">
        <f t="shared" si="22"/>
        <v>0</v>
      </c>
      <c r="N236">
        <f t="shared" si="23"/>
        <v>0</v>
      </c>
    </row>
    <row r="237" spans="1:14" x14ac:dyDescent="0.35">
      <c r="A237" t="s">
        <v>1600</v>
      </c>
      <c r="B237" t="s">
        <v>1954</v>
      </c>
      <c r="C237" s="7" t="s">
        <v>9</v>
      </c>
      <c r="D237" t="s">
        <v>1601</v>
      </c>
      <c r="E237" t="s">
        <v>1959</v>
      </c>
      <c r="F237" t="s">
        <v>1760</v>
      </c>
      <c r="I237">
        <f t="shared" si="18"/>
        <v>0</v>
      </c>
      <c r="J237">
        <f t="shared" si="19"/>
        <v>0</v>
      </c>
      <c r="K237">
        <f t="shared" si="20"/>
        <v>1</v>
      </c>
      <c r="L237">
        <f t="shared" si="21"/>
        <v>0</v>
      </c>
      <c r="M237">
        <f t="shared" si="22"/>
        <v>0</v>
      </c>
      <c r="N237">
        <f t="shared" si="23"/>
        <v>0</v>
      </c>
    </row>
    <row r="238" spans="1:14" x14ac:dyDescent="0.35">
      <c r="A238" t="s">
        <v>877</v>
      </c>
      <c r="B238" t="s">
        <v>1960</v>
      </c>
      <c r="C238" s="7" t="s">
        <v>9</v>
      </c>
      <c r="D238" t="s">
        <v>55</v>
      </c>
      <c r="E238" t="s">
        <v>1961</v>
      </c>
      <c r="F238" t="s">
        <v>1805</v>
      </c>
      <c r="I238">
        <f t="shared" si="18"/>
        <v>0</v>
      </c>
      <c r="J238">
        <f t="shared" si="19"/>
        <v>1</v>
      </c>
      <c r="K238">
        <f t="shared" si="20"/>
        <v>0</v>
      </c>
      <c r="L238">
        <f t="shared" si="21"/>
        <v>0</v>
      </c>
      <c r="M238">
        <f t="shared" si="22"/>
        <v>0</v>
      </c>
      <c r="N238">
        <f t="shared" si="23"/>
        <v>0</v>
      </c>
    </row>
    <row r="239" spans="1:14" x14ac:dyDescent="0.35">
      <c r="A239" t="s">
        <v>877</v>
      </c>
      <c r="B239" t="s">
        <v>1960</v>
      </c>
      <c r="C239" s="7" t="s">
        <v>9</v>
      </c>
      <c r="D239" t="s">
        <v>55</v>
      </c>
      <c r="E239" t="s">
        <v>1904</v>
      </c>
      <c r="F239" t="s">
        <v>1760</v>
      </c>
      <c r="I239">
        <f t="shared" si="18"/>
        <v>0</v>
      </c>
      <c r="J239">
        <f t="shared" si="19"/>
        <v>0</v>
      </c>
      <c r="K239">
        <f t="shared" si="20"/>
        <v>1</v>
      </c>
      <c r="L239">
        <f t="shared" si="21"/>
        <v>0</v>
      </c>
      <c r="M239">
        <f t="shared" si="22"/>
        <v>0</v>
      </c>
      <c r="N239">
        <f t="shared" si="23"/>
        <v>0</v>
      </c>
    </row>
    <row r="240" spans="1:14" x14ac:dyDescent="0.35">
      <c r="A240" t="s">
        <v>1168</v>
      </c>
      <c r="B240" t="s">
        <v>1962</v>
      </c>
      <c r="C240" s="7" t="s">
        <v>9</v>
      </c>
      <c r="D240" t="s">
        <v>97</v>
      </c>
      <c r="E240" t="s">
        <v>1963</v>
      </c>
      <c r="F240" t="s">
        <v>1760</v>
      </c>
      <c r="G240" t="s">
        <v>1964</v>
      </c>
      <c r="H240" t="s">
        <v>1965</v>
      </c>
      <c r="I240">
        <f t="shared" si="18"/>
        <v>0</v>
      </c>
      <c r="J240">
        <f t="shared" si="19"/>
        <v>0</v>
      </c>
      <c r="K240">
        <f t="shared" si="20"/>
        <v>1</v>
      </c>
      <c r="L240">
        <f t="shared" si="21"/>
        <v>0</v>
      </c>
      <c r="M240">
        <f t="shared" si="22"/>
        <v>0</v>
      </c>
      <c r="N240">
        <f t="shared" si="23"/>
        <v>1</v>
      </c>
    </row>
    <row r="241" spans="1:14" x14ac:dyDescent="0.35">
      <c r="A241" t="s">
        <v>1168</v>
      </c>
      <c r="B241" t="s">
        <v>1962</v>
      </c>
      <c r="C241" s="7" t="s">
        <v>9</v>
      </c>
      <c r="D241" t="s">
        <v>97</v>
      </c>
      <c r="E241" t="s">
        <v>1966</v>
      </c>
      <c r="F241" t="s">
        <v>1754</v>
      </c>
      <c r="G241" t="s">
        <v>1964</v>
      </c>
      <c r="H241" t="s">
        <v>1965</v>
      </c>
      <c r="I241">
        <f t="shared" si="18"/>
        <v>0</v>
      </c>
      <c r="J241">
        <f t="shared" si="19"/>
        <v>0</v>
      </c>
      <c r="K241">
        <f t="shared" si="20"/>
        <v>0</v>
      </c>
      <c r="L241">
        <f t="shared" si="21"/>
        <v>1</v>
      </c>
      <c r="M241">
        <f t="shared" si="22"/>
        <v>0</v>
      </c>
      <c r="N241">
        <f t="shared" si="23"/>
        <v>1</v>
      </c>
    </row>
    <row r="242" spans="1:14" x14ac:dyDescent="0.35">
      <c r="A242" t="s">
        <v>1168</v>
      </c>
      <c r="B242" t="s">
        <v>1962</v>
      </c>
      <c r="C242" s="7" t="s">
        <v>9</v>
      </c>
      <c r="D242" t="s">
        <v>97</v>
      </c>
      <c r="E242" t="s">
        <v>1967</v>
      </c>
      <c r="F242" t="s">
        <v>1760</v>
      </c>
      <c r="G242" t="s">
        <v>1964</v>
      </c>
      <c r="H242" t="s">
        <v>1965</v>
      </c>
      <c r="I242">
        <f t="shared" si="18"/>
        <v>0</v>
      </c>
      <c r="J242">
        <f t="shared" si="19"/>
        <v>0</v>
      </c>
      <c r="K242">
        <f t="shared" si="20"/>
        <v>1</v>
      </c>
      <c r="L242">
        <f t="shared" si="21"/>
        <v>0</v>
      </c>
      <c r="M242">
        <f t="shared" si="22"/>
        <v>0</v>
      </c>
      <c r="N242">
        <f t="shared" si="23"/>
        <v>1</v>
      </c>
    </row>
    <row r="243" spans="1:14" x14ac:dyDescent="0.35">
      <c r="A243" t="s">
        <v>1168</v>
      </c>
      <c r="B243" t="s">
        <v>1962</v>
      </c>
      <c r="C243" s="7" t="s">
        <v>9</v>
      </c>
      <c r="D243" t="s">
        <v>97</v>
      </c>
      <c r="E243" t="s">
        <v>1968</v>
      </c>
      <c r="F243" t="s">
        <v>1760</v>
      </c>
      <c r="G243" t="s">
        <v>1964</v>
      </c>
      <c r="H243" t="s">
        <v>1965</v>
      </c>
      <c r="I243">
        <f t="shared" si="18"/>
        <v>0</v>
      </c>
      <c r="J243">
        <f t="shared" si="19"/>
        <v>0</v>
      </c>
      <c r="K243">
        <f t="shared" si="20"/>
        <v>1</v>
      </c>
      <c r="L243">
        <f t="shared" si="21"/>
        <v>0</v>
      </c>
      <c r="M243">
        <f t="shared" si="22"/>
        <v>0</v>
      </c>
      <c r="N243">
        <f t="shared" si="23"/>
        <v>1</v>
      </c>
    </row>
    <row r="244" spans="1:14" x14ac:dyDescent="0.35">
      <c r="A244" t="s">
        <v>147</v>
      </c>
      <c r="B244" t="s">
        <v>1969</v>
      </c>
      <c r="C244" s="7" t="s">
        <v>9</v>
      </c>
      <c r="D244" t="s">
        <v>149</v>
      </c>
      <c r="E244" t="s">
        <v>1904</v>
      </c>
      <c r="F244" t="s">
        <v>1760</v>
      </c>
      <c r="I244">
        <f t="shared" si="18"/>
        <v>0</v>
      </c>
      <c r="J244">
        <f t="shared" si="19"/>
        <v>0</v>
      </c>
      <c r="K244">
        <f t="shared" si="20"/>
        <v>1</v>
      </c>
      <c r="L244">
        <f t="shared" si="21"/>
        <v>0</v>
      </c>
      <c r="M244">
        <f t="shared" si="22"/>
        <v>0</v>
      </c>
      <c r="N244">
        <f t="shared" si="23"/>
        <v>0</v>
      </c>
    </row>
    <row r="245" spans="1:14" x14ac:dyDescent="0.35">
      <c r="A245" t="s">
        <v>147</v>
      </c>
      <c r="B245" t="s">
        <v>1969</v>
      </c>
      <c r="C245" s="7" t="s">
        <v>9</v>
      </c>
      <c r="D245" t="s">
        <v>149</v>
      </c>
      <c r="E245" t="s">
        <v>1905</v>
      </c>
      <c r="F245" t="s">
        <v>1760</v>
      </c>
      <c r="I245">
        <f t="shared" si="18"/>
        <v>0</v>
      </c>
      <c r="J245">
        <f t="shared" si="19"/>
        <v>0</v>
      </c>
      <c r="K245">
        <f t="shared" si="20"/>
        <v>1</v>
      </c>
      <c r="L245">
        <f t="shared" si="21"/>
        <v>0</v>
      </c>
      <c r="M245">
        <f t="shared" si="22"/>
        <v>0</v>
      </c>
      <c r="N245">
        <f t="shared" si="23"/>
        <v>0</v>
      </c>
    </row>
    <row r="246" spans="1:14" x14ac:dyDescent="0.35">
      <c r="A246" t="s">
        <v>1321</v>
      </c>
      <c r="B246" t="s">
        <v>1970</v>
      </c>
      <c r="C246" s="7" t="s">
        <v>9</v>
      </c>
      <c r="D246" t="s">
        <v>55</v>
      </c>
      <c r="E246" t="s">
        <v>1828</v>
      </c>
      <c r="F246" t="s">
        <v>1754</v>
      </c>
      <c r="I246">
        <f t="shared" si="18"/>
        <v>0</v>
      </c>
      <c r="J246">
        <f t="shared" si="19"/>
        <v>0</v>
      </c>
      <c r="K246">
        <f t="shared" si="20"/>
        <v>0</v>
      </c>
      <c r="L246">
        <f t="shared" si="21"/>
        <v>1</v>
      </c>
      <c r="M246">
        <f t="shared" si="22"/>
        <v>0</v>
      </c>
      <c r="N246">
        <f t="shared" si="23"/>
        <v>0</v>
      </c>
    </row>
    <row r="247" spans="1:14" x14ac:dyDescent="0.35">
      <c r="A247" t="s">
        <v>1321</v>
      </c>
      <c r="B247" t="s">
        <v>1970</v>
      </c>
      <c r="C247" s="7" t="s">
        <v>9</v>
      </c>
      <c r="D247" t="s">
        <v>55</v>
      </c>
      <c r="E247" t="s">
        <v>1860</v>
      </c>
      <c r="F247" t="s">
        <v>1754</v>
      </c>
      <c r="I247">
        <f t="shared" si="18"/>
        <v>0</v>
      </c>
      <c r="J247">
        <f t="shared" si="19"/>
        <v>0</v>
      </c>
      <c r="K247">
        <f t="shared" si="20"/>
        <v>0</v>
      </c>
      <c r="L247">
        <f t="shared" si="21"/>
        <v>1</v>
      </c>
      <c r="M247">
        <f t="shared" si="22"/>
        <v>0</v>
      </c>
      <c r="N247">
        <f t="shared" si="23"/>
        <v>0</v>
      </c>
    </row>
    <row r="248" spans="1:14" x14ac:dyDescent="0.35">
      <c r="A248" t="s">
        <v>234</v>
      </c>
      <c r="B248" t="s">
        <v>1971</v>
      </c>
      <c r="C248" s="7" t="s">
        <v>9</v>
      </c>
      <c r="D248" t="s">
        <v>235</v>
      </c>
      <c r="E248" t="s">
        <v>1972</v>
      </c>
      <c r="F248" t="s">
        <v>1760</v>
      </c>
      <c r="I248">
        <f t="shared" si="18"/>
        <v>0</v>
      </c>
      <c r="J248">
        <f t="shared" si="19"/>
        <v>0</v>
      </c>
      <c r="K248">
        <f t="shared" si="20"/>
        <v>1</v>
      </c>
      <c r="L248">
        <f t="shared" si="21"/>
        <v>0</v>
      </c>
      <c r="M248">
        <f t="shared" si="22"/>
        <v>0</v>
      </c>
      <c r="N248">
        <f t="shared" si="23"/>
        <v>0</v>
      </c>
    </row>
    <row r="249" spans="1:14" x14ac:dyDescent="0.35">
      <c r="A249" t="s">
        <v>1237</v>
      </c>
      <c r="B249" t="s">
        <v>1973</v>
      </c>
      <c r="C249" s="7" t="s">
        <v>9</v>
      </c>
      <c r="D249" t="s">
        <v>92</v>
      </c>
      <c r="E249" t="s">
        <v>1883</v>
      </c>
      <c r="F249" t="s">
        <v>1754</v>
      </c>
      <c r="I249">
        <f t="shared" si="18"/>
        <v>0</v>
      </c>
      <c r="J249">
        <f t="shared" si="19"/>
        <v>0</v>
      </c>
      <c r="K249">
        <f t="shared" si="20"/>
        <v>0</v>
      </c>
      <c r="L249">
        <f t="shared" si="21"/>
        <v>1</v>
      </c>
      <c r="M249">
        <f t="shared" si="22"/>
        <v>0</v>
      </c>
      <c r="N249">
        <f t="shared" si="23"/>
        <v>0</v>
      </c>
    </row>
    <row r="250" spans="1:14" x14ac:dyDescent="0.35">
      <c r="A250" t="s">
        <v>1237</v>
      </c>
      <c r="B250" t="s">
        <v>1973</v>
      </c>
      <c r="C250" s="7" t="s">
        <v>9</v>
      </c>
      <c r="D250" t="s">
        <v>92</v>
      </c>
      <c r="E250" t="s">
        <v>1882</v>
      </c>
      <c r="F250" t="s">
        <v>1754</v>
      </c>
      <c r="I250">
        <f t="shared" si="18"/>
        <v>0</v>
      </c>
      <c r="J250">
        <f t="shared" si="19"/>
        <v>0</v>
      </c>
      <c r="K250">
        <f t="shared" si="20"/>
        <v>0</v>
      </c>
      <c r="L250">
        <f t="shared" si="21"/>
        <v>1</v>
      </c>
      <c r="M250">
        <f t="shared" si="22"/>
        <v>0</v>
      </c>
      <c r="N250">
        <f t="shared" si="23"/>
        <v>0</v>
      </c>
    </row>
    <row r="251" spans="1:14" x14ac:dyDescent="0.35">
      <c r="A251" t="s">
        <v>1671</v>
      </c>
      <c r="B251" t="s">
        <v>1974</v>
      </c>
      <c r="C251" s="7" t="s">
        <v>9</v>
      </c>
      <c r="D251" t="s">
        <v>55</v>
      </c>
      <c r="E251" t="s">
        <v>1963</v>
      </c>
      <c r="F251" t="s">
        <v>1760</v>
      </c>
      <c r="I251">
        <f t="shared" si="18"/>
        <v>0</v>
      </c>
      <c r="J251">
        <f t="shared" si="19"/>
        <v>0</v>
      </c>
      <c r="K251">
        <f t="shared" si="20"/>
        <v>1</v>
      </c>
      <c r="L251">
        <f t="shared" si="21"/>
        <v>0</v>
      </c>
      <c r="M251">
        <f t="shared" si="22"/>
        <v>0</v>
      </c>
      <c r="N251">
        <f t="shared" si="23"/>
        <v>0</v>
      </c>
    </row>
    <row r="252" spans="1:14" x14ac:dyDescent="0.35">
      <c r="A252" t="s">
        <v>1671</v>
      </c>
      <c r="B252" t="s">
        <v>1974</v>
      </c>
      <c r="C252" s="7" t="s">
        <v>9</v>
      </c>
      <c r="D252" t="s">
        <v>55</v>
      </c>
      <c r="E252" t="s">
        <v>1860</v>
      </c>
      <c r="F252" t="s">
        <v>1754</v>
      </c>
      <c r="I252">
        <f t="shared" si="18"/>
        <v>0</v>
      </c>
      <c r="J252">
        <f t="shared" si="19"/>
        <v>0</v>
      </c>
      <c r="K252">
        <f t="shared" si="20"/>
        <v>0</v>
      </c>
      <c r="L252">
        <f t="shared" si="21"/>
        <v>1</v>
      </c>
      <c r="M252">
        <f t="shared" si="22"/>
        <v>0</v>
      </c>
      <c r="N252">
        <f t="shared" si="23"/>
        <v>0</v>
      </c>
    </row>
    <row r="253" spans="1:14" x14ac:dyDescent="0.35">
      <c r="A253" t="s">
        <v>233</v>
      </c>
      <c r="B253" t="s">
        <v>1975</v>
      </c>
      <c r="C253" s="7" t="s">
        <v>9</v>
      </c>
      <c r="D253" t="s">
        <v>55</v>
      </c>
      <c r="E253" t="s">
        <v>1806</v>
      </c>
      <c r="F253" t="s">
        <v>1754</v>
      </c>
      <c r="I253">
        <f t="shared" si="18"/>
        <v>0</v>
      </c>
      <c r="J253">
        <f t="shared" si="19"/>
        <v>0</v>
      </c>
      <c r="K253">
        <f t="shared" si="20"/>
        <v>0</v>
      </c>
      <c r="L253">
        <f t="shared" si="21"/>
        <v>1</v>
      </c>
      <c r="M253">
        <f t="shared" si="22"/>
        <v>0</v>
      </c>
      <c r="N253">
        <f t="shared" si="23"/>
        <v>0</v>
      </c>
    </row>
    <row r="254" spans="1:14" x14ac:dyDescent="0.35">
      <c r="A254" t="s">
        <v>233</v>
      </c>
      <c r="B254" t="s">
        <v>1975</v>
      </c>
      <c r="C254" s="7" t="s">
        <v>9</v>
      </c>
      <c r="D254" t="s">
        <v>55</v>
      </c>
      <c r="E254" t="s">
        <v>1807</v>
      </c>
      <c r="F254" t="s">
        <v>1754</v>
      </c>
      <c r="I254">
        <f t="shared" si="18"/>
        <v>0</v>
      </c>
      <c r="J254">
        <f t="shared" si="19"/>
        <v>0</v>
      </c>
      <c r="K254">
        <f t="shared" si="20"/>
        <v>0</v>
      </c>
      <c r="L254">
        <f t="shared" si="21"/>
        <v>1</v>
      </c>
      <c r="M254">
        <f t="shared" si="22"/>
        <v>0</v>
      </c>
      <c r="N254">
        <f t="shared" si="23"/>
        <v>0</v>
      </c>
    </row>
    <row r="255" spans="1:14" x14ac:dyDescent="0.35">
      <c r="A255" t="s">
        <v>233</v>
      </c>
      <c r="B255" t="s">
        <v>1975</v>
      </c>
      <c r="C255" s="7" t="s">
        <v>9</v>
      </c>
      <c r="D255" t="s">
        <v>55</v>
      </c>
      <c r="E255" t="s">
        <v>1945</v>
      </c>
      <c r="F255" t="s">
        <v>1754</v>
      </c>
      <c r="I255">
        <f t="shared" si="18"/>
        <v>0</v>
      </c>
      <c r="J255">
        <f t="shared" si="19"/>
        <v>0</v>
      </c>
      <c r="K255">
        <f t="shared" si="20"/>
        <v>0</v>
      </c>
      <c r="L255">
        <f t="shared" si="21"/>
        <v>1</v>
      </c>
      <c r="M255">
        <f t="shared" si="22"/>
        <v>0</v>
      </c>
      <c r="N255">
        <f t="shared" si="23"/>
        <v>0</v>
      </c>
    </row>
    <row r="256" spans="1:14" x14ac:dyDescent="0.35">
      <c r="A256" t="s">
        <v>233</v>
      </c>
      <c r="B256" t="s">
        <v>1975</v>
      </c>
      <c r="C256" s="7" t="s">
        <v>9</v>
      </c>
      <c r="D256" t="s">
        <v>55</v>
      </c>
      <c r="E256" t="s">
        <v>1836</v>
      </c>
      <c r="F256" t="s">
        <v>1754</v>
      </c>
      <c r="I256">
        <f t="shared" si="18"/>
        <v>0</v>
      </c>
      <c r="J256">
        <f t="shared" si="19"/>
        <v>0</v>
      </c>
      <c r="K256">
        <f t="shared" si="20"/>
        <v>0</v>
      </c>
      <c r="L256">
        <f t="shared" si="21"/>
        <v>1</v>
      </c>
      <c r="M256">
        <f t="shared" si="22"/>
        <v>0</v>
      </c>
      <c r="N256">
        <f t="shared" si="23"/>
        <v>0</v>
      </c>
    </row>
    <row r="257" spans="1:14" x14ac:dyDescent="0.35">
      <c r="A257" t="s">
        <v>852</v>
      </c>
      <c r="B257" t="s">
        <v>1976</v>
      </c>
      <c r="C257" s="7" t="s">
        <v>9</v>
      </c>
      <c r="D257" t="s">
        <v>558</v>
      </c>
      <c r="E257" t="s">
        <v>1849</v>
      </c>
      <c r="F257" t="s">
        <v>1754</v>
      </c>
      <c r="G257" t="s">
        <v>1977</v>
      </c>
      <c r="H257" t="s">
        <v>1978</v>
      </c>
      <c r="I257">
        <f t="shared" si="18"/>
        <v>0</v>
      </c>
      <c r="J257">
        <f t="shared" si="19"/>
        <v>0</v>
      </c>
      <c r="K257">
        <f t="shared" si="20"/>
        <v>0</v>
      </c>
      <c r="L257">
        <f t="shared" si="21"/>
        <v>1</v>
      </c>
      <c r="M257">
        <f t="shared" si="22"/>
        <v>0</v>
      </c>
      <c r="N257">
        <f t="shared" si="23"/>
        <v>1</v>
      </c>
    </row>
    <row r="258" spans="1:14" x14ac:dyDescent="0.35">
      <c r="A258" t="s">
        <v>852</v>
      </c>
      <c r="B258" t="s">
        <v>1976</v>
      </c>
      <c r="C258" s="7" t="s">
        <v>9</v>
      </c>
      <c r="D258" t="s">
        <v>558</v>
      </c>
      <c r="E258" t="s">
        <v>1877</v>
      </c>
      <c r="F258" t="s">
        <v>1754</v>
      </c>
      <c r="G258" t="s">
        <v>1977</v>
      </c>
      <c r="H258" t="s">
        <v>1978</v>
      </c>
      <c r="I258">
        <f t="shared" si="18"/>
        <v>0</v>
      </c>
      <c r="J258">
        <f t="shared" si="19"/>
        <v>0</v>
      </c>
      <c r="K258">
        <f t="shared" si="20"/>
        <v>0</v>
      </c>
      <c r="L258">
        <f t="shared" si="21"/>
        <v>1</v>
      </c>
      <c r="M258">
        <f t="shared" si="22"/>
        <v>0</v>
      </c>
      <c r="N258">
        <f t="shared" si="23"/>
        <v>1</v>
      </c>
    </row>
    <row r="259" spans="1:14" x14ac:dyDescent="0.35">
      <c r="A259" t="s">
        <v>483</v>
      </c>
      <c r="B259" t="s">
        <v>1743</v>
      </c>
      <c r="C259" s="7" t="s">
        <v>9</v>
      </c>
      <c r="D259" t="s">
        <v>55</v>
      </c>
      <c r="E259" t="s">
        <v>1804</v>
      </c>
      <c r="F259" t="s">
        <v>1805</v>
      </c>
      <c r="I259">
        <f t="shared" ref="I259:I322" si="24">IF($F259=$F$1,1,0)</f>
        <v>0</v>
      </c>
      <c r="J259">
        <f t="shared" ref="J259:J322" si="25">IF($F259=$J$1,1,0)</f>
        <v>1</v>
      </c>
      <c r="K259">
        <f t="shared" ref="K259:K322" si="26">IF($F259=$K$1,1,0)</f>
        <v>0</v>
      </c>
      <c r="L259">
        <f t="shared" ref="L259:L322" si="27">IF($F259=$L$1,1,0)</f>
        <v>0</v>
      </c>
      <c r="M259">
        <f t="shared" ref="M259:M322" si="28">IF($F259=$M$1,1,0)</f>
        <v>0</v>
      </c>
      <c r="N259">
        <f t="shared" ref="N259:N322" si="29">IF($G259&lt;&gt;"",1,0)</f>
        <v>0</v>
      </c>
    </row>
    <row r="260" spans="1:14" x14ac:dyDescent="0.35">
      <c r="A260" t="s">
        <v>1375</v>
      </c>
      <c r="B260" t="s">
        <v>1979</v>
      </c>
      <c r="C260" s="7" t="s">
        <v>9</v>
      </c>
      <c r="D260" t="s">
        <v>55</v>
      </c>
      <c r="E260" t="s">
        <v>1980</v>
      </c>
      <c r="F260" t="s">
        <v>1805</v>
      </c>
      <c r="I260">
        <f t="shared" si="24"/>
        <v>0</v>
      </c>
      <c r="J260">
        <f t="shared" si="25"/>
        <v>1</v>
      </c>
      <c r="K260">
        <f t="shared" si="26"/>
        <v>0</v>
      </c>
      <c r="L260">
        <f t="shared" si="27"/>
        <v>0</v>
      </c>
      <c r="M260">
        <f t="shared" si="28"/>
        <v>0</v>
      </c>
      <c r="N260">
        <f t="shared" si="29"/>
        <v>0</v>
      </c>
    </row>
    <row r="261" spans="1:14" x14ac:dyDescent="0.35">
      <c r="A261" t="s">
        <v>1375</v>
      </c>
      <c r="B261" t="s">
        <v>1979</v>
      </c>
      <c r="C261" s="7" t="s">
        <v>9</v>
      </c>
      <c r="D261" t="s">
        <v>55</v>
      </c>
      <c r="E261" t="s">
        <v>1877</v>
      </c>
      <c r="F261" t="s">
        <v>1754</v>
      </c>
      <c r="I261">
        <f t="shared" si="24"/>
        <v>0</v>
      </c>
      <c r="J261">
        <f t="shared" si="25"/>
        <v>0</v>
      </c>
      <c r="K261">
        <f t="shared" si="26"/>
        <v>0</v>
      </c>
      <c r="L261">
        <f t="shared" si="27"/>
        <v>1</v>
      </c>
      <c r="M261">
        <f t="shared" si="28"/>
        <v>0</v>
      </c>
      <c r="N261">
        <f t="shared" si="29"/>
        <v>0</v>
      </c>
    </row>
    <row r="262" spans="1:14" x14ac:dyDescent="0.35">
      <c r="A262" t="s">
        <v>668</v>
      </c>
      <c r="B262" t="s">
        <v>1981</v>
      </c>
      <c r="C262" s="7" t="s">
        <v>9</v>
      </c>
      <c r="D262" t="s">
        <v>180</v>
      </c>
      <c r="E262" t="s">
        <v>1821</v>
      </c>
      <c r="F262" t="s">
        <v>1760</v>
      </c>
      <c r="I262">
        <f t="shared" si="24"/>
        <v>0</v>
      </c>
      <c r="J262">
        <f t="shared" si="25"/>
        <v>0</v>
      </c>
      <c r="K262">
        <f t="shared" si="26"/>
        <v>1</v>
      </c>
      <c r="L262">
        <f t="shared" si="27"/>
        <v>0</v>
      </c>
      <c r="M262">
        <f t="shared" si="28"/>
        <v>0</v>
      </c>
      <c r="N262">
        <f t="shared" si="29"/>
        <v>0</v>
      </c>
    </row>
    <row r="263" spans="1:14" x14ac:dyDescent="0.35">
      <c r="A263" t="s">
        <v>849</v>
      </c>
      <c r="B263" t="s">
        <v>1982</v>
      </c>
      <c r="C263" s="7" t="s">
        <v>9</v>
      </c>
      <c r="D263" t="s">
        <v>851</v>
      </c>
      <c r="E263" t="s">
        <v>1806</v>
      </c>
      <c r="F263" t="s">
        <v>1754</v>
      </c>
      <c r="I263">
        <f t="shared" si="24"/>
        <v>0</v>
      </c>
      <c r="J263">
        <f t="shared" si="25"/>
        <v>0</v>
      </c>
      <c r="K263">
        <f t="shared" si="26"/>
        <v>0</v>
      </c>
      <c r="L263">
        <f t="shared" si="27"/>
        <v>1</v>
      </c>
      <c r="M263">
        <f t="shared" si="28"/>
        <v>0</v>
      </c>
      <c r="N263">
        <f t="shared" si="29"/>
        <v>0</v>
      </c>
    </row>
    <row r="264" spans="1:14" x14ac:dyDescent="0.35">
      <c r="A264" t="s">
        <v>849</v>
      </c>
      <c r="B264" t="s">
        <v>1982</v>
      </c>
      <c r="C264" s="7" t="s">
        <v>9</v>
      </c>
      <c r="D264" t="s">
        <v>851</v>
      </c>
      <c r="E264" t="s">
        <v>1807</v>
      </c>
      <c r="F264" t="s">
        <v>1754</v>
      </c>
      <c r="I264">
        <f t="shared" si="24"/>
        <v>0</v>
      </c>
      <c r="J264">
        <f t="shared" si="25"/>
        <v>0</v>
      </c>
      <c r="K264">
        <f t="shared" si="26"/>
        <v>0</v>
      </c>
      <c r="L264">
        <f t="shared" si="27"/>
        <v>1</v>
      </c>
      <c r="M264">
        <f t="shared" si="28"/>
        <v>0</v>
      </c>
      <c r="N264">
        <f t="shared" si="29"/>
        <v>0</v>
      </c>
    </row>
    <row r="265" spans="1:14" x14ac:dyDescent="0.35">
      <c r="A265" t="s">
        <v>227</v>
      </c>
      <c r="B265" t="s">
        <v>1983</v>
      </c>
      <c r="C265" s="7" t="s">
        <v>9</v>
      </c>
      <c r="D265" t="s">
        <v>55</v>
      </c>
      <c r="E265" t="s">
        <v>1984</v>
      </c>
      <c r="F265" t="s">
        <v>1727</v>
      </c>
      <c r="I265">
        <f t="shared" si="24"/>
        <v>0</v>
      </c>
      <c r="J265">
        <f t="shared" si="25"/>
        <v>0</v>
      </c>
      <c r="K265">
        <f t="shared" si="26"/>
        <v>0</v>
      </c>
      <c r="L265">
        <f t="shared" si="27"/>
        <v>0</v>
      </c>
      <c r="M265">
        <f t="shared" si="28"/>
        <v>1</v>
      </c>
      <c r="N265">
        <f t="shared" si="29"/>
        <v>0</v>
      </c>
    </row>
    <row r="266" spans="1:14" x14ac:dyDescent="0.35">
      <c r="A266" t="s">
        <v>1116</v>
      </c>
      <c r="B266" t="s">
        <v>1985</v>
      </c>
      <c r="C266" s="7" t="s">
        <v>6</v>
      </c>
      <c r="D266" t="s">
        <v>152</v>
      </c>
      <c r="E266" t="s">
        <v>1806</v>
      </c>
      <c r="F266" t="s">
        <v>1754</v>
      </c>
      <c r="I266">
        <f t="shared" si="24"/>
        <v>0</v>
      </c>
      <c r="J266">
        <f t="shared" si="25"/>
        <v>0</v>
      </c>
      <c r="K266">
        <f t="shared" si="26"/>
        <v>0</v>
      </c>
      <c r="L266">
        <f t="shared" si="27"/>
        <v>1</v>
      </c>
      <c r="M266">
        <f t="shared" si="28"/>
        <v>0</v>
      </c>
      <c r="N266">
        <f t="shared" si="29"/>
        <v>0</v>
      </c>
    </row>
    <row r="267" spans="1:14" x14ac:dyDescent="0.35">
      <c r="A267" t="s">
        <v>1116</v>
      </c>
      <c r="B267" t="s">
        <v>1985</v>
      </c>
      <c r="C267" s="7" t="s">
        <v>6</v>
      </c>
      <c r="D267" t="s">
        <v>152</v>
      </c>
      <c r="E267" t="s">
        <v>1807</v>
      </c>
      <c r="F267" t="s">
        <v>1754</v>
      </c>
      <c r="I267">
        <f t="shared" si="24"/>
        <v>0</v>
      </c>
      <c r="J267">
        <f t="shared" si="25"/>
        <v>0</v>
      </c>
      <c r="K267">
        <f t="shared" si="26"/>
        <v>0</v>
      </c>
      <c r="L267">
        <f t="shared" si="27"/>
        <v>1</v>
      </c>
      <c r="M267">
        <f t="shared" si="28"/>
        <v>0</v>
      </c>
      <c r="N267">
        <f t="shared" si="29"/>
        <v>0</v>
      </c>
    </row>
    <row r="268" spans="1:14" x14ac:dyDescent="0.35">
      <c r="A268" t="s">
        <v>1116</v>
      </c>
      <c r="B268" t="s">
        <v>1985</v>
      </c>
      <c r="C268" s="7" t="s">
        <v>6</v>
      </c>
      <c r="D268" t="s">
        <v>152</v>
      </c>
      <c r="E268" t="s">
        <v>1980</v>
      </c>
      <c r="F268" t="s">
        <v>1805</v>
      </c>
      <c r="I268">
        <f t="shared" si="24"/>
        <v>0</v>
      </c>
      <c r="J268">
        <f t="shared" si="25"/>
        <v>1</v>
      </c>
      <c r="K268">
        <f t="shared" si="26"/>
        <v>0</v>
      </c>
      <c r="L268">
        <f t="shared" si="27"/>
        <v>0</v>
      </c>
      <c r="M268">
        <f t="shared" si="28"/>
        <v>0</v>
      </c>
      <c r="N268">
        <f t="shared" si="29"/>
        <v>0</v>
      </c>
    </row>
    <row r="269" spans="1:14" x14ac:dyDescent="0.35">
      <c r="A269" t="s">
        <v>70</v>
      </c>
      <c r="B269" t="s">
        <v>1986</v>
      </c>
      <c r="C269" s="7" t="s">
        <v>6</v>
      </c>
      <c r="D269" t="s">
        <v>55</v>
      </c>
      <c r="E269" t="s">
        <v>1822</v>
      </c>
      <c r="F269" t="s">
        <v>1760</v>
      </c>
      <c r="I269">
        <f t="shared" si="24"/>
        <v>0</v>
      </c>
      <c r="J269">
        <f t="shared" si="25"/>
        <v>0</v>
      </c>
      <c r="K269">
        <f t="shared" si="26"/>
        <v>1</v>
      </c>
      <c r="L269">
        <f t="shared" si="27"/>
        <v>0</v>
      </c>
      <c r="M269">
        <f t="shared" si="28"/>
        <v>0</v>
      </c>
      <c r="N269">
        <f t="shared" si="29"/>
        <v>0</v>
      </c>
    </row>
    <row r="270" spans="1:14" x14ac:dyDescent="0.35">
      <c r="A270" t="s">
        <v>70</v>
      </c>
      <c r="B270" t="s">
        <v>1986</v>
      </c>
      <c r="C270" s="7" t="s">
        <v>10</v>
      </c>
      <c r="D270" t="s">
        <v>55</v>
      </c>
      <c r="E270" t="s">
        <v>1807</v>
      </c>
      <c r="F270" t="s">
        <v>1754</v>
      </c>
      <c r="I270">
        <f t="shared" si="24"/>
        <v>0</v>
      </c>
      <c r="J270">
        <f t="shared" si="25"/>
        <v>0</v>
      </c>
      <c r="K270">
        <f t="shared" si="26"/>
        <v>0</v>
      </c>
      <c r="L270">
        <f t="shared" si="27"/>
        <v>1</v>
      </c>
      <c r="M270">
        <f t="shared" si="28"/>
        <v>0</v>
      </c>
      <c r="N270">
        <f t="shared" si="29"/>
        <v>0</v>
      </c>
    </row>
    <row r="271" spans="1:14" x14ac:dyDescent="0.35">
      <c r="A271" t="s">
        <v>70</v>
      </c>
      <c r="B271" t="s">
        <v>1986</v>
      </c>
      <c r="C271" s="7" t="s">
        <v>6</v>
      </c>
      <c r="D271" t="s">
        <v>55</v>
      </c>
      <c r="E271" t="s">
        <v>1806</v>
      </c>
      <c r="F271" t="s">
        <v>1754</v>
      </c>
      <c r="I271">
        <f t="shared" si="24"/>
        <v>0</v>
      </c>
      <c r="J271">
        <f t="shared" si="25"/>
        <v>0</v>
      </c>
      <c r="K271">
        <f t="shared" si="26"/>
        <v>0</v>
      </c>
      <c r="L271">
        <f t="shared" si="27"/>
        <v>1</v>
      </c>
      <c r="M271">
        <f t="shared" si="28"/>
        <v>0</v>
      </c>
      <c r="N271">
        <f t="shared" si="29"/>
        <v>0</v>
      </c>
    </row>
    <row r="272" spans="1:14" x14ac:dyDescent="0.35">
      <c r="A272" t="s">
        <v>1365</v>
      </c>
      <c r="B272" t="s">
        <v>1987</v>
      </c>
      <c r="C272" s="7" t="s">
        <v>6</v>
      </c>
      <c r="D272" t="s">
        <v>51</v>
      </c>
      <c r="E272" t="s">
        <v>1988</v>
      </c>
      <c r="F272" t="s">
        <v>1805</v>
      </c>
      <c r="I272">
        <f t="shared" si="24"/>
        <v>0</v>
      </c>
      <c r="J272">
        <f t="shared" si="25"/>
        <v>1</v>
      </c>
      <c r="K272">
        <f t="shared" si="26"/>
        <v>0</v>
      </c>
      <c r="L272">
        <f t="shared" si="27"/>
        <v>0</v>
      </c>
      <c r="M272">
        <f t="shared" si="28"/>
        <v>0</v>
      </c>
      <c r="N272">
        <f t="shared" si="29"/>
        <v>0</v>
      </c>
    </row>
    <row r="273" spans="1:14" x14ac:dyDescent="0.35">
      <c r="A273" t="s">
        <v>854</v>
      </c>
      <c r="B273" t="s">
        <v>1989</v>
      </c>
      <c r="C273" s="7" t="s">
        <v>6</v>
      </c>
      <c r="D273" t="s">
        <v>55</v>
      </c>
      <c r="E273" t="s">
        <v>1821</v>
      </c>
      <c r="F273" t="s">
        <v>1760</v>
      </c>
      <c r="I273">
        <f t="shared" si="24"/>
        <v>0</v>
      </c>
      <c r="J273">
        <f t="shared" si="25"/>
        <v>0</v>
      </c>
      <c r="K273">
        <f t="shared" si="26"/>
        <v>1</v>
      </c>
      <c r="L273">
        <f t="shared" si="27"/>
        <v>0</v>
      </c>
      <c r="M273">
        <f t="shared" si="28"/>
        <v>0</v>
      </c>
      <c r="N273">
        <f t="shared" si="29"/>
        <v>0</v>
      </c>
    </row>
    <row r="274" spans="1:14" x14ac:dyDescent="0.35">
      <c r="A274" t="s">
        <v>1527</v>
      </c>
      <c r="B274" t="s">
        <v>1990</v>
      </c>
      <c r="C274" s="7" t="s">
        <v>10</v>
      </c>
      <c r="D274" t="s">
        <v>100</v>
      </c>
      <c r="E274" t="s">
        <v>1991</v>
      </c>
      <c r="F274" t="s">
        <v>1754</v>
      </c>
      <c r="I274">
        <f t="shared" si="24"/>
        <v>0</v>
      </c>
      <c r="J274">
        <f t="shared" si="25"/>
        <v>0</v>
      </c>
      <c r="K274">
        <f t="shared" si="26"/>
        <v>0</v>
      </c>
      <c r="L274">
        <f t="shared" si="27"/>
        <v>1</v>
      </c>
      <c r="M274">
        <f t="shared" si="28"/>
        <v>0</v>
      </c>
      <c r="N274">
        <f t="shared" si="29"/>
        <v>0</v>
      </c>
    </row>
    <row r="275" spans="1:14" x14ac:dyDescent="0.35">
      <c r="A275" t="s">
        <v>1527</v>
      </c>
      <c r="B275" t="s">
        <v>1990</v>
      </c>
      <c r="C275" s="7" t="s">
        <v>6</v>
      </c>
      <c r="D275" t="s">
        <v>100</v>
      </c>
      <c r="E275" t="s">
        <v>1832</v>
      </c>
      <c r="F275" t="s">
        <v>1754</v>
      </c>
      <c r="I275">
        <f t="shared" si="24"/>
        <v>0</v>
      </c>
      <c r="J275">
        <f t="shared" si="25"/>
        <v>0</v>
      </c>
      <c r="K275">
        <f t="shared" si="26"/>
        <v>0</v>
      </c>
      <c r="L275">
        <f t="shared" si="27"/>
        <v>1</v>
      </c>
      <c r="M275">
        <f t="shared" si="28"/>
        <v>0</v>
      </c>
      <c r="N275">
        <f t="shared" si="29"/>
        <v>0</v>
      </c>
    </row>
    <row r="276" spans="1:14" x14ac:dyDescent="0.35">
      <c r="A276" t="s">
        <v>1527</v>
      </c>
      <c r="B276" t="s">
        <v>1990</v>
      </c>
      <c r="C276" s="7" t="s">
        <v>6</v>
      </c>
      <c r="D276" t="s">
        <v>100</v>
      </c>
      <c r="E276" t="s">
        <v>1992</v>
      </c>
      <c r="F276" t="s">
        <v>1754</v>
      </c>
      <c r="I276">
        <f t="shared" si="24"/>
        <v>0</v>
      </c>
      <c r="J276">
        <f t="shared" si="25"/>
        <v>0</v>
      </c>
      <c r="K276">
        <f t="shared" si="26"/>
        <v>0</v>
      </c>
      <c r="L276">
        <f t="shared" si="27"/>
        <v>1</v>
      </c>
      <c r="M276">
        <f t="shared" si="28"/>
        <v>0</v>
      </c>
      <c r="N276">
        <f t="shared" si="29"/>
        <v>0</v>
      </c>
    </row>
    <row r="277" spans="1:14" x14ac:dyDescent="0.35">
      <c r="A277" t="s">
        <v>1527</v>
      </c>
      <c r="B277" t="s">
        <v>1990</v>
      </c>
      <c r="C277" s="7" t="s">
        <v>6</v>
      </c>
      <c r="D277" t="s">
        <v>100</v>
      </c>
      <c r="E277" t="s">
        <v>1993</v>
      </c>
      <c r="F277" t="s">
        <v>1754</v>
      </c>
      <c r="I277">
        <f t="shared" si="24"/>
        <v>0</v>
      </c>
      <c r="J277">
        <f t="shared" si="25"/>
        <v>0</v>
      </c>
      <c r="K277">
        <f t="shared" si="26"/>
        <v>0</v>
      </c>
      <c r="L277">
        <f t="shared" si="27"/>
        <v>1</v>
      </c>
      <c r="M277">
        <f t="shared" si="28"/>
        <v>0</v>
      </c>
      <c r="N277">
        <f t="shared" si="29"/>
        <v>0</v>
      </c>
    </row>
    <row r="278" spans="1:14" x14ac:dyDescent="0.35">
      <c r="A278" t="s">
        <v>1527</v>
      </c>
      <c r="B278" t="s">
        <v>1990</v>
      </c>
      <c r="C278" s="7" t="s">
        <v>6</v>
      </c>
      <c r="D278" t="s">
        <v>100</v>
      </c>
      <c r="E278" t="s">
        <v>1836</v>
      </c>
      <c r="F278" t="s">
        <v>1754</v>
      </c>
      <c r="I278">
        <f t="shared" si="24"/>
        <v>0</v>
      </c>
      <c r="J278">
        <f t="shared" si="25"/>
        <v>0</v>
      </c>
      <c r="K278">
        <f t="shared" si="26"/>
        <v>0</v>
      </c>
      <c r="L278">
        <f t="shared" si="27"/>
        <v>1</v>
      </c>
      <c r="M278">
        <f t="shared" si="28"/>
        <v>0</v>
      </c>
      <c r="N278">
        <f t="shared" si="29"/>
        <v>0</v>
      </c>
    </row>
    <row r="279" spans="1:14" x14ac:dyDescent="0.35">
      <c r="A279" t="s">
        <v>1527</v>
      </c>
      <c r="B279" t="s">
        <v>1990</v>
      </c>
      <c r="C279" s="7" t="s">
        <v>6</v>
      </c>
      <c r="D279" t="s">
        <v>100</v>
      </c>
      <c r="E279" t="s">
        <v>1994</v>
      </c>
      <c r="F279" t="s">
        <v>1754</v>
      </c>
      <c r="I279">
        <f t="shared" si="24"/>
        <v>0</v>
      </c>
      <c r="J279">
        <f t="shared" si="25"/>
        <v>0</v>
      </c>
      <c r="K279">
        <f t="shared" si="26"/>
        <v>0</v>
      </c>
      <c r="L279">
        <f t="shared" si="27"/>
        <v>1</v>
      </c>
      <c r="M279">
        <f t="shared" si="28"/>
        <v>0</v>
      </c>
      <c r="N279">
        <f t="shared" si="29"/>
        <v>0</v>
      </c>
    </row>
    <row r="280" spans="1:14" x14ac:dyDescent="0.35">
      <c r="A280" t="s">
        <v>1497</v>
      </c>
      <c r="B280" t="s">
        <v>1995</v>
      </c>
      <c r="C280" s="7" t="s">
        <v>6</v>
      </c>
      <c r="D280" t="s">
        <v>1499</v>
      </c>
      <c r="E280" t="s">
        <v>1996</v>
      </c>
      <c r="F280" t="s">
        <v>1886</v>
      </c>
      <c r="I280">
        <f t="shared" si="24"/>
        <v>0</v>
      </c>
      <c r="J280">
        <f t="shared" si="25"/>
        <v>0</v>
      </c>
      <c r="K280">
        <f t="shared" si="26"/>
        <v>0</v>
      </c>
      <c r="L280">
        <f t="shared" si="27"/>
        <v>0</v>
      </c>
      <c r="M280">
        <f t="shared" si="28"/>
        <v>0</v>
      </c>
      <c r="N280">
        <f t="shared" si="29"/>
        <v>0</v>
      </c>
    </row>
    <row r="281" spans="1:14" x14ac:dyDescent="0.35">
      <c r="A281" t="s">
        <v>1497</v>
      </c>
      <c r="B281" t="s">
        <v>1995</v>
      </c>
      <c r="C281" s="7" t="s">
        <v>6</v>
      </c>
      <c r="D281" t="s">
        <v>1499</v>
      </c>
      <c r="E281" t="s">
        <v>1997</v>
      </c>
      <c r="F281" t="s">
        <v>1886</v>
      </c>
      <c r="I281">
        <f t="shared" si="24"/>
        <v>0</v>
      </c>
      <c r="J281">
        <f t="shared" si="25"/>
        <v>0</v>
      </c>
      <c r="K281">
        <f t="shared" si="26"/>
        <v>0</v>
      </c>
      <c r="L281">
        <f t="shared" si="27"/>
        <v>0</v>
      </c>
      <c r="M281">
        <f t="shared" si="28"/>
        <v>0</v>
      </c>
      <c r="N281">
        <f t="shared" si="29"/>
        <v>0</v>
      </c>
    </row>
    <row r="282" spans="1:14" x14ac:dyDescent="0.35">
      <c r="A282" t="s">
        <v>1497</v>
      </c>
      <c r="B282" t="s">
        <v>1995</v>
      </c>
      <c r="C282" s="7" t="s">
        <v>6</v>
      </c>
      <c r="D282" t="s">
        <v>1499</v>
      </c>
      <c r="E282" t="s">
        <v>1998</v>
      </c>
      <c r="F282" t="s">
        <v>1886</v>
      </c>
      <c r="I282">
        <f t="shared" si="24"/>
        <v>0</v>
      </c>
      <c r="J282">
        <f t="shared" si="25"/>
        <v>0</v>
      </c>
      <c r="K282">
        <f t="shared" si="26"/>
        <v>0</v>
      </c>
      <c r="L282">
        <f t="shared" si="27"/>
        <v>0</v>
      </c>
      <c r="M282">
        <f t="shared" si="28"/>
        <v>0</v>
      </c>
      <c r="N282">
        <f t="shared" si="29"/>
        <v>0</v>
      </c>
    </row>
    <row r="283" spans="1:14" x14ac:dyDescent="0.35">
      <c r="A283" t="s">
        <v>1497</v>
      </c>
      <c r="B283" t="s">
        <v>1995</v>
      </c>
      <c r="C283" s="7" t="s">
        <v>6</v>
      </c>
      <c r="D283" t="s">
        <v>1499</v>
      </c>
      <c r="E283" t="s">
        <v>1999</v>
      </c>
      <c r="F283" t="s">
        <v>1886</v>
      </c>
      <c r="I283">
        <f t="shared" si="24"/>
        <v>0</v>
      </c>
      <c r="J283">
        <f t="shared" si="25"/>
        <v>0</v>
      </c>
      <c r="K283">
        <f t="shared" si="26"/>
        <v>0</v>
      </c>
      <c r="L283">
        <f t="shared" si="27"/>
        <v>0</v>
      </c>
      <c r="M283">
        <f t="shared" si="28"/>
        <v>0</v>
      </c>
      <c r="N283">
        <f t="shared" si="29"/>
        <v>0</v>
      </c>
    </row>
    <row r="284" spans="1:14" x14ac:dyDescent="0.35">
      <c r="A284" t="s">
        <v>1497</v>
      </c>
      <c r="B284" t="s">
        <v>1995</v>
      </c>
      <c r="C284" s="7" t="s">
        <v>6</v>
      </c>
      <c r="D284" t="s">
        <v>1499</v>
      </c>
      <c r="E284" t="s">
        <v>2000</v>
      </c>
      <c r="F284" t="s">
        <v>1886</v>
      </c>
      <c r="I284">
        <f t="shared" si="24"/>
        <v>0</v>
      </c>
      <c r="J284">
        <f t="shared" si="25"/>
        <v>0</v>
      </c>
      <c r="K284">
        <f t="shared" si="26"/>
        <v>0</v>
      </c>
      <c r="L284">
        <f t="shared" si="27"/>
        <v>0</v>
      </c>
      <c r="M284">
        <f t="shared" si="28"/>
        <v>0</v>
      </c>
      <c r="N284">
        <f t="shared" si="29"/>
        <v>0</v>
      </c>
    </row>
    <row r="285" spans="1:14" x14ac:dyDescent="0.35">
      <c r="A285" t="s">
        <v>858</v>
      </c>
      <c r="B285" t="s">
        <v>2001</v>
      </c>
      <c r="C285" s="7" t="s">
        <v>6</v>
      </c>
      <c r="D285" t="s">
        <v>97</v>
      </c>
      <c r="E285" t="s">
        <v>1894</v>
      </c>
      <c r="F285" t="s">
        <v>1754</v>
      </c>
      <c r="I285">
        <f t="shared" si="24"/>
        <v>0</v>
      </c>
      <c r="J285">
        <f t="shared" si="25"/>
        <v>0</v>
      </c>
      <c r="K285">
        <f t="shared" si="26"/>
        <v>0</v>
      </c>
      <c r="L285">
        <f t="shared" si="27"/>
        <v>1</v>
      </c>
      <c r="M285">
        <f t="shared" si="28"/>
        <v>0</v>
      </c>
      <c r="N285">
        <f t="shared" si="29"/>
        <v>0</v>
      </c>
    </row>
    <row r="286" spans="1:14" x14ac:dyDescent="0.35">
      <c r="A286" t="s">
        <v>858</v>
      </c>
      <c r="B286" t="s">
        <v>2001</v>
      </c>
      <c r="C286" s="7" t="s">
        <v>6</v>
      </c>
      <c r="D286" t="s">
        <v>97</v>
      </c>
      <c r="E286" t="s">
        <v>1896</v>
      </c>
      <c r="F286" t="s">
        <v>1754</v>
      </c>
      <c r="I286">
        <f t="shared" si="24"/>
        <v>0</v>
      </c>
      <c r="J286">
        <f t="shared" si="25"/>
        <v>0</v>
      </c>
      <c r="K286">
        <f t="shared" si="26"/>
        <v>0</v>
      </c>
      <c r="L286">
        <f t="shared" si="27"/>
        <v>1</v>
      </c>
      <c r="M286">
        <f t="shared" si="28"/>
        <v>0</v>
      </c>
      <c r="N286">
        <f t="shared" si="29"/>
        <v>0</v>
      </c>
    </row>
    <row r="287" spans="1:14" x14ac:dyDescent="0.35">
      <c r="A287" t="s">
        <v>858</v>
      </c>
      <c r="B287" t="s">
        <v>2001</v>
      </c>
      <c r="C287" s="7" t="s">
        <v>6</v>
      </c>
      <c r="D287" t="s">
        <v>97</v>
      </c>
      <c r="E287" t="s">
        <v>1928</v>
      </c>
      <c r="F287" t="s">
        <v>1754</v>
      </c>
      <c r="I287">
        <f t="shared" si="24"/>
        <v>0</v>
      </c>
      <c r="J287">
        <f t="shared" si="25"/>
        <v>0</v>
      </c>
      <c r="K287">
        <f t="shared" si="26"/>
        <v>0</v>
      </c>
      <c r="L287">
        <f t="shared" si="27"/>
        <v>1</v>
      </c>
      <c r="M287">
        <f t="shared" si="28"/>
        <v>0</v>
      </c>
      <c r="N287">
        <f t="shared" si="29"/>
        <v>0</v>
      </c>
    </row>
    <row r="288" spans="1:14" x14ac:dyDescent="0.35">
      <c r="A288" t="s">
        <v>858</v>
      </c>
      <c r="B288" t="s">
        <v>2001</v>
      </c>
      <c r="C288" s="7" t="s">
        <v>6</v>
      </c>
      <c r="D288" t="s">
        <v>97</v>
      </c>
      <c r="E288" t="s">
        <v>1931</v>
      </c>
      <c r="F288" t="s">
        <v>1754</v>
      </c>
      <c r="I288">
        <f t="shared" si="24"/>
        <v>0</v>
      </c>
      <c r="J288">
        <f t="shared" si="25"/>
        <v>0</v>
      </c>
      <c r="K288">
        <f t="shared" si="26"/>
        <v>0</v>
      </c>
      <c r="L288">
        <f t="shared" si="27"/>
        <v>1</v>
      </c>
      <c r="M288">
        <f t="shared" si="28"/>
        <v>0</v>
      </c>
      <c r="N288">
        <f t="shared" si="29"/>
        <v>0</v>
      </c>
    </row>
    <row r="289" spans="1:14" x14ac:dyDescent="0.35">
      <c r="A289" t="s">
        <v>858</v>
      </c>
      <c r="B289" t="s">
        <v>2001</v>
      </c>
      <c r="C289" s="7" t="s">
        <v>6</v>
      </c>
      <c r="D289" t="s">
        <v>97</v>
      </c>
      <c r="E289" t="s">
        <v>2002</v>
      </c>
      <c r="F289" t="s">
        <v>1754</v>
      </c>
      <c r="I289">
        <f t="shared" si="24"/>
        <v>0</v>
      </c>
      <c r="J289">
        <f t="shared" si="25"/>
        <v>0</v>
      </c>
      <c r="K289">
        <f t="shared" si="26"/>
        <v>0</v>
      </c>
      <c r="L289">
        <f t="shared" si="27"/>
        <v>1</v>
      </c>
      <c r="M289">
        <f t="shared" si="28"/>
        <v>0</v>
      </c>
      <c r="N289">
        <f t="shared" si="29"/>
        <v>0</v>
      </c>
    </row>
    <row r="290" spans="1:14" x14ac:dyDescent="0.35">
      <c r="A290" t="s">
        <v>858</v>
      </c>
      <c r="B290" t="s">
        <v>2001</v>
      </c>
      <c r="C290" s="7" t="s">
        <v>6</v>
      </c>
      <c r="D290" t="s">
        <v>97</v>
      </c>
      <c r="E290" t="s">
        <v>2003</v>
      </c>
      <c r="F290" t="s">
        <v>1754</v>
      </c>
      <c r="I290">
        <f t="shared" si="24"/>
        <v>0</v>
      </c>
      <c r="J290">
        <f t="shared" si="25"/>
        <v>0</v>
      </c>
      <c r="K290">
        <f t="shared" si="26"/>
        <v>0</v>
      </c>
      <c r="L290">
        <f t="shared" si="27"/>
        <v>1</v>
      </c>
      <c r="M290">
        <f t="shared" si="28"/>
        <v>0</v>
      </c>
      <c r="N290">
        <f t="shared" si="29"/>
        <v>0</v>
      </c>
    </row>
    <row r="291" spans="1:14" x14ac:dyDescent="0.35">
      <c r="A291" t="s">
        <v>1013</v>
      </c>
      <c r="B291" t="s">
        <v>2004</v>
      </c>
      <c r="C291" s="7" t="s">
        <v>6</v>
      </c>
      <c r="D291" t="s">
        <v>1015</v>
      </c>
      <c r="E291" t="s">
        <v>1999</v>
      </c>
      <c r="F291" t="s">
        <v>1886</v>
      </c>
      <c r="I291">
        <f t="shared" si="24"/>
        <v>0</v>
      </c>
      <c r="J291">
        <f t="shared" si="25"/>
        <v>0</v>
      </c>
      <c r="K291">
        <f t="shared" si="26"/>
        <v>0</v>
      </c>
      <c r="L291">
        <f t="shared" si="27"/>
        <v>0</v>
      </c>
      <c r="M291">
        <f t="shared" si="28"/>
        <v>0</v>
      </c>
      <c r="N291">
        <f t="shared" si="29"/>
        <v>0</v>
      </c>
    </row>
    <row r="292" spans="1:14" x14ac:dyDescent="0.35">
      <c r="A292" t="s">
        <v>1013</v>
      </c>
      <c r="B292" t="s">
        <v>2004</v>
      </c>
      <c r="C292" s="7" t="s">
        <v>6</v>
      </c>
      <c r="D292" t="s">
        <v>1015</v>
      </c>
      <c r="E292" t="s">
        <v>1997</v>
      </c>
      <c r="F292" t="s">
        <v>1886</v>
      </c>
      <c r="I292">
        <f t="shared" si="24"/>
        <v>0</v>
      </c>
      <c r="J292">
        <f t="shared" si="25"/>
        <v>0</v>
      </c>
      <c r="K292">
        <f t="shared" si="26"/>
        <v>0</v>
      </c>
      <c r="L292">
        <f t="shared" si="27"/>
        <v>0</v>
      </c>
      <c r="M292">
        <f t="shared" si="28"/>
        <v>0</v>
      </c>
      <c r="N292">
        <f t="shared" si="29"/>
        <v>0</v>
      </c>
    </row>
    <row r="293" spans="1:14" x14ac:dyDescent="0.35">
      <c r="A293" t="s">
        <v>1013</v>
      </c>
      <c r="B293" t="s">
        <v>2004</v>
      </c>
      <c r="C293" s="7" t="s">
        <v>6</v>
      </c>
      <c r="D293" t="s">
        <v>1015</v>
      </c>
      <c r="E293" t="s">
        <v>1998</v>
      </c>
      <c r="F293" t="s">
        <v>1886</v>
      </c>
      <c r="I293">
        <f t="shared" si="24"/>
        <v>0</v>
      </c>
      <c r="J293">
        <f t="shared" si="25"/>
        <v>0</v>
      </c>
      <c r="K293">
        <f t="shared" si="26"/>
        <v>0</v>
      </c>
      <c r="L293">
        <f t="shared" si="27"/>
        <v>0</v>
      </c>
      <c r="M293">
        <f t="shared" si="28"/>
        <v>0</v>
      </c>
      <c r="N293">
        <f t="shared" si="29"/>
        <v>0</v>
      </c>
    </row>
    <row r="294" spans="1:14" x14ac:dyDescent="0.35">
      <c r="A294" t="s">
        <v>1013</v>
      </c>
      <c r="B294" t="s">
        <v>2004</v>
      </c>
      <c r="C294" s="7" t="s">
        <v>6</v>
      </c>
      <c r="D294" t="s">
        <v>1015</v>
      </c>
      <c r="E294" t="s">
        <v>2000</v>
      </c>
      <c r="F294" t="s">
        <v>1886</v>
      </c>
      <c r="I294">
        <f t="shared" si="24"/>
        <v>0</v>
      </c>
      <c r="J294">
        <f t="shared" si="25"/>
        <v>0</v>
      </c>
      <c r="K294">
        <f t="shared" si="26"/>
        <v>0</v>
      </c>
      <c r="L294">
        <f t="shared" si="27"/>
        <v>0</v>
      </c>
      <c r="M294">
        <f t="shared" si="28"/>
        <v>0</v>
      </c>
      <c r="N294">
        <f t="shared" si="29"/>
        <v>0</v>
      </c>
    </row>
    <row r="295" spans="1:14" x14ac:dyDescent="0.35">
      <c r="A295" t="s">
        <v>1013</v>
      </c>
      <c r="B295" t="s">
        <v>2004</v>
      </c>
      <c r="C295" s="7" t="s">
        <v>6</v>
      </c>
      <c r="D295" t="s">
        <v>1015</v>
      </c>
      <c r="E295" t="s">
        <v>1996</v>
      </c>
      <c r="F295" t="s">
        <v>1886</v>
      </c>
      <c r="I295">
        <f t="shared" si="24"/>
        <v>0</v>
      </c>
      <c r="J295">
        <f t="shared" si="25"/>
        <v>0</v>
      </c>
      <c r="K295">
        <f t="shared" si="26"/>
        <v>0</v>
      </c>
      <c r="L295">
        <f t="shared" si="27"/>
        <v>0</v>
      </c>
      <c r="M295">
        <f t="shared" si="28"/>
        <v>0</v>
      </c>
      <c r="N295">
        <f t="shared" si="29"/>
        <v>0</v>
      </c>
    </row>
    <row r="296" spans="1:14" x14ac:dyDescent="0.35">
      <c r="A296" t="s">
        <v>328</v>
      </c>
      <c r="B296" t="s">
        <v>2005</v>
      </c>
      <c r="C296" s="7" t="s">
        <v>6</v>
      </c>
      <c r="D296" t="s">
        <v>330</v>
      </c>
      <c r="E296" t="s">
        <v>2006</v>
      </c>
      <c r="F296" t="s">
        <v>1754</v>
      </c>
      <c r="I296">
        <f t="shared" si="24"/>
        <v>0</v>
      </c>
      <c r="J296">
        <f t="shared" si="25"/>
        <v>0</v>
      </c>
      <c r="K296">
        <f t="shared" si="26"/>
        <v>0</v>
      </c>
      <c r="L296">
        <f t="shared" si="27"/>
        <v>1</v>
      </c>
      <c r="M296">
        <f t="shared" si="28"/>
        <v>0</v>
      </c>
      <c r="N296">
        <f t="shared" si="29"/>
        <v>0</v>
      </c>
    </row>
    <row r="297" spans="1:14" x14ac:dyDescent="0.35">
      <c r="A297" t="s">
        <v>328</v>
      </c>
      <c r="B297" t="s">
        <v>2005</v>
      </c>
      <c r="C297" s="7" t="s">
        <v>6</v>
      </c>
      <c r="D297" t="s">
        <v>330</v>
      </c>
      <c r="E297" t="s">
        <v>2007</v>
      </c>
      <c r="F297" t="s">
        <v>1754</v>
      </c>
      <c r="I297">
        <f t="shared" si="24"/>
        <v>0</v>
      </c>
      <c r="J297">
        <f t="shared" si="25"/>
        <v>0</v>
      </c>
      <c r="K297">
        <f t="shared" si="26"/>
        <v>0</v>
      </c>
      <c r="L297">
        <f t="shared" si="27"/>
        <v>1</v>
      </c>
      <c r="M297">
        <f t="shared" si="28"/>
        <v>0</v>
      </c>
      <c r="N297">
        <f t="shared" si="29"/>
        <v>0</v>
      </c>
    </row>
    <row r="298" spans="1:14" x14ac:dyDescent="0.35">
      <c r="A298" t="s">
        <v>1266</v>
      </c>
      <c r="B298" t="s">
        <v>2008</v>
      </c>
      <c r="C298" s="7" t="s">
        <v>6</v>
      </c>
      <c r="D298" t="s">
        <v>444</v>
      </c>
      <c r="E298" t="s">
        <v>1826</v>
      </c>
      <c r="F298" t="s">
        <v>1754</v>
      </c>
      <c r="I298">
        <f t="shared" si="24"/>
        <v>0</v>
      </c>
      <c r="J298">
        <f t="shared" si="25"/>
        <v>0</v>
      </c>
      <c r="K298">
        <f t="shared" si="26"/>
        <v>0</v>
      </c>
      <c r="L298">
        <f t="shared" si="27"/>
        <v>1</v>
      </c>
      <c r="M298">
        <f t="shared" si="28"/>
        <v>0</v>
      </c>
      <c r="N298">
        <f t="shared" si="29"/>
        <v>0</v>
      </c>
    </row>
    <row r="299" spans="1:14" x14ac:dyDescent="0.35">
      <c r="A299" t="s">
        <v>1266</v>
      </c>
      <c r="B299" t="s">
        <v>2008</v>
      </c>
      <c r="C299" s="7" t="s">
        <v>6</v>
      </c>
      <c r="D299" t="s">
        <v>444</v>
      </c>
      <c r="E299" t="s">
        <v>1825</v>
      </c>
      <c r="F299" t="s">
        <v>1754</v>
      </c>
      <c r="I299">
        <f t="shared" si="24"/>
        <v>0</v>
      </c>
      <c r="J299">
        <f t="shared" si="25"/>
        <v>0</v>
      </c>
      <c r="K299">
        <f t="shared" si="26"/>
        <v>0</v>
      </c>
      <c r="L299">
        <f t="shared" si="27"/>
        <v>1</v>
      </c>
      <c r="M299">
        <f t="shared" si="28"/>
        <v>0</v>
      </c>
      <c r="N299">
        <f t="shared" si="29"/>
        <v>0</v>
      </c>
    </row>
    <row r="300" spans="1:14" x14ac:dyDescent="0.35">
      <c r="A300" t="s">
        <v>1525</v>
      </c>
      <c r="B300" t="s">
        <v>2009</v>
      </c>
      <c r="C300" s="7" t="s">
        <v>6</v>
      </c>
      <c r="D300" t="s">
        <v>276</v>
      </c>
      <c r="E300" t="s">
        <v>1806</v>
      </c>
      <c r="F300" t="s">
        <v>1754</v>
      </c>
      <c r="G300" t="s">
        <v>2010</v>
      </c>
      <c r="H300" t="s">
        <v>2011</v>
      </c>
      <c r="I300">
        <f t="shared" si="24"/>
        <v>0</v>
      </c>
      <c r="J300">
        <f t="shared" si="25"/>
        <v>0</v>
      </c>
      <c r="K300">
        <f t="shared" si="26"/>
        <v>0</v>
      </c>
      <c r="L300">
        <f t="shared" si="27"/>
        <v>1</v>
      </c>
      <c r="M300">
        <f t="shared" si="28"/>
        <v>0</v>
      </c>
      <c r="N300">
        <f t="shared" si="29"/>
        <v>1</v>
      </c>
    </row>
    <row r="301" spans="1:14" x14ac:dyDescent="0.35">
      <c r="A301" t="s">
        <v>1525</v>
      </c>
      <c r="B301" t="s">
        <v>2009</v>
      </c>
      <c r="C301" s="7" t="s">
        <v>6</v>
      </c>
      <c r="D301" t="s">
        <v>276</v>
      </c>
      <c r="E301" t="s">
        <v>1807</v>
      </c>
      <c r="F301" t="s">
        <v>1754</v>
      </c>
      <c r="G301" t="s">
        <v>2010</v>
      </c>
      <c r="H301" t="s">
        <v>2011</v>
      </c>
      <c r="I301">
        <f t="shared" si="24"/>
        <v>0</v>
      </c>
      <c r="J301">
        <f t="shared" si="25"/>
        <v>0</v>
      </c>
      <c r="K301">
        <f t="shared" si="26"/>
        <v>0</v>
      </c>
      <c r="L301">
        <f t="shared" si="27"/>
        <v>1</v>
      </c>
      <c r="M301">
        <f t="shared" si="28"/>
        <v>0</v>
      </c>
      <c r="N301">
        <f t="shared" si="29"/>
        <v>1</v>
      </c>
    </row>
    <row r="302" spans="1:14" x14ac:dyDescent="0.35">
      <c r="A302" t="s">
        <v>1163</v>
      </c>
      <c r="B302" t="s">
        <v>2012</v>
      </c>
      <c r="C302" s="7" t="s">
        <v>6</v>
      </c>
      <c r="D302" t="s">
        <v>1165</v>
      </c>
      <c r="E302" t="s">
        <v>1911</v>
      </c>
      <c r="F302" t="s">
        <v>1754</v>
      </c>
      <c r="I302">
        <f t="shared" si="24"/>
        <v>0</v>
      </c>
      <c r="J302">
        <f t="shared" si="25"/>
        <v>0</v>
      </c>
      <c r="K302">
        <f t="shared" si="26"/>
        <v>0</v>
      </c>
      <c r="L302">
        <f t="shared" si="27"/>
        <v>1</v>
      </c>
      <c r="M302">
        <f t="shared" si="28"/>
        <v>0</v>
      </c>
      <c r="N302">
        <f t="shared" si="29"/>
        <v>0</v>
      </c>
    </row>
    <row r="303" spans="1:14" x14ac:dyDescent="0.35">
      <c r="A303" t="s">
        <v>1163</v>
      </c>
      <c r="B303" t="s">
        <v>2012</v>
      </c>
      <c r="C303" s="7" t="s">
        <v>6</v>
      </c>
      <c r="D303" t="s">
        <v>1165</v>
      </c>
      <c r="E303" t="s">
        <v>1910</v>
      </c>
      <c r="F303" t="s">
        <v>1754</v>
      </c>
      <c r="I303">
        <f t="shared" si="24"/>
        <v>0</v>
      </c>
      <c r="J303">
        <f t="shared" si="25"/>
        <v>0</v>
      </c>
      <c r="K303">
        <f t="shared" si="26"/>
        <v>0</v>
      </c>
      <c r="L303">
        <f t="shared" si="27"/>
        <v>1</v>
      </c>
      <c r="M303">
        <f t="shared" si="28"/>
        <v>0</v>
      </c>
      <c r="N303">
        <f t="shared" si="29"/>
        <v>0</v>
      </c>
    </row>
    <row r="304" spans="1:14" x14ac:dyDescent="0.35">
      <c r="A304" t="s">
        <v>926</v>
      </c>
      <c r="B304" t="s">
        <v>2013</v>
      </c>
      <c r="C304" s="7" t="s">
        <v>6</v>
      </c>
      <c r="D304" t="s">
        <v>55</v>
      </c>
      <c r="E304" t="s">
        <v>2014</v>
      </c>
      <c r="F304" t="s">
        <v>1754</v>
      </c>
      <c r="I304">
        <f t="shared" si="24"/>
        <v>0</v>
      </c>
      <c r="J304">
        <f t="shared" si="25"/>
        <v>0</v>
      </c>
      <c r="K304">
        <f t="shared" si="26"/>
        <v>0</v>
      </c>
      <c r="L304">
        <f t="shared" si="27"/>
        <v>1</v>
      </c>
      <c r="M304">
        <f t="shared" si="28"/>
        <v>0</v>
      </c>
      <c r="N304">
        <f t="shared" si="29"/>
        <v>0</v>
      </c>
    </row>
    <row r="305" spans="1:14" x14ac:dyDescent="0.35">
      <c r="A305" t="s">
        <v>926</v>
      </c>
      <c r="B305" t="s">
        <v>2013</v>
      </c>
      <c r="C305" s="7" t="s">
        <v>6</v>
      </c>
      <c r="D305" t="s">
        <v>55</v>
      </c>
      <c r="E305" t="s">
        <v>2015</v>
      </c>
      <c r="F305" t="s">
        <v>1754</v>
      </c>
      <c r="I305">
        <f t="shared" si="24"/>
        <v>0</v>
      </c>
      <c r="J305">
        <f t="shared" si="25"/>
        <v>0</v>
      </c>
      <c r="K305">
        <f t="shared" si="26"/>
        <v>0</v>
      </c>
      <c r="L305">
        <f t="shared" si="27"/>
        <v>1</v>
      </c>
      <c r="M305">
        <f t="shared" si="28"/>
        <v>0</v>
      </c>
      <c r="N305">
        <f t="shared" si="29"/>
        <v>0</v>
      </c>
    </row>
    <row r="306" spans="1:14" x14ac:dyDescent="0.35">
      <c r="A306" t="s">
        <v>1082</v>
      </c>
      <c r="B306" t="s">
        <v>2016</v>
      </c>
      <c r="C306" s="7" t="s">
        <v>6</v>
      </c>
      <c r="D306" t="s">
        <v>1085</v>
      </c>
      <c r="E306" t="s">
        <v>2017</v>
      </c>
      <c r="F306" t="s">
        <v>1754</v>
      </c>
      <c r="G306" t="s">
        <v>2018</v>
      </c>
      <c r="H306" t="s">
        <v>2019</v>
      </c>
      <c r="I306">
        <f t="shared" si="24"/>
        <v>0</v>
      </c>
      <c r="J306">
        <f t="shared" si="25"/>
        <v>0</v>
      </c>
      <c r="K306">
        <f t="shared" si="26"/>
        <v>0</v>
      </c>
      <c r="L306">
        <f t="shared" si="27"/>
        <v>1</v>
      </c>
      <c r="M306">
        <f t="shared" si="28"/>
        <v>0</v>
      </c>
      <c r="N306">
        <f t="shared" si="29"/>
        <v>1</v>
      </c>
    </row>
    <row r="307" spans="1:14" x14ac:dyDescent="0.35">
      <c r="A307" t="s">
        <v>1082</v>
      </c>
      <c r="B307" t="s">
        <v>2016</v>
      </c>
      <c r="C307" s="7" t="s">
        <v>6</v>
      </c>
      <c r="D307" t="s">
        <v>1085</v>
      </c>
      <c r="E307" t="s">
        <v>2020</v>
      </c>
      <c r="F307" t="s">
        <v>1754</v>
      </c>
      <c r="G307" t="s">
        <v>2018</v>
      </c>
      <c r="H307" t="s">
        <v>2019</v>
      </c>
      <c r="I307">
        <f t="shared" si="24"/>
        <v>0</v>
      </c>
      <c r="J307">
        <f t="shared" si="25"/>
        <v>0</v>
      </c>
      <c r="K307">
        <f t="shared" si="26"/>
        <v>0</v>
      </c>
      <c r="L307">
        <f t="shared" si="27"/>
        <v>1</v>
      </c>
      <c r="M307">
        <f t="shared" si="28"/>
        <v>0</v>
      </c>
      <c r="N307">
        <f t="shared" si="29"/>
        <v>1</v>
      </c>
    </row>
    <row r="308" spans="1:14" x14ac:dyDescent="0.35">
      <c r="A308" t="s">
        <v>859</v>
      </c>
      <c r="B308" t="s">
        <v>2021</v>
      </c>
      <c r="C308" s="7" t="s">
        <v>6</v>
      </c>
      <c r="D308" t="s">
        <v>100</v>
      </c>
      <c r="E308" t="s">
        <v>1806</v>
      </c>
      <c r="F308" t="s">
        <v>1754</v>
      </c>
      <c r="I308">
        <f t="shared" si="24"/>
        <v>0</v>
      </c>
      <c r="J308">
        <f t="shared" si="25"/>
        <v>0</v>
      </c>
      <c r="K308">
        <f t="shared" si="26"/>
        <v>0</v>
      </c>
      <c r="L308">
        <f t="shared" si="27"/>
        <v>1</v>
      </c>
      <c r="M308">
        <f t="shared" si="28"/>
        <v>0</v>
      </c>
      <c r="N308">
        <f t="shared" si="29"/>
        <v>0</v>
      </c>
    </row>
    <row r="309" spans="1:14" x14ac:dyDescent="0.35">
      <c r="A309" t="s">
        <v>859</v>
      </c>
      <c r="B309" t="s">
        <v>2021</v>
      </c>
      <c r="C309" s="7" t="s">
        <v>6</v>
      </c>
      <c r="D309" t="s">
        <v>100</v>
      </c>
      <c r="E309" t="s">
        <v>1807</v>
      </c>
      <c r="F309" t="s">
        <v>1754</v>
      </c>
      <c r="I309">
        <f t="shared" si="24"/>
        <v>0</v>
      </c>
      <c r="J309">
        <f t="shared" si="25"/>
        <v>0</v>
      </c>
      <c r="K309">
        <f t="shared" si="26"/>
        <v>0</v>
      </c>
      <c r="L309">
        <f t="shared" si="27"/>
        <v>1</v>
      </c>
      <c r="M309">
        <f t="shared" si="28"/>
        <v>0</v>
      </c>
      <c r="N309">
        <f t="shared" si="29"/>
        <v>0</v>
      </c>
    </row>
    <row r="310" spans="1:14" x14ac:dyDescent="0.35">
      <c r="A310" t="s">
        <v>859</v>
      </c>
      <c r="B310" t="s">
        <v>2021</v>
      </c>
      <c r="C310" s="7" t="s">
        <v>6</v>
      </c>
      <c r="D310" t="s">
        <v>100</v>
      </c>
      <c r="E310" t="s">
        <v>1910</v>
      </c>
      <c r="F310" t="s">
        <v>1754</v>
      </c>
      <c r="I310">
        <f t="shared" si="24"/>
        <v>0</v>
      </c>
      <c r="J310">
        <f t="shared" si="25"/>
        <v>0</v>
      </c>
      <c r="K310">
        <f t="shared" si="26"/>
        <v>0</v>
      </c>
      <c r="L310">
        <f t="shared" si="27"/>
        <v>1</v>
      </c>
      <c r="M310">
        <f t="shared" si="28"/>
        <v>0</v>
      </c>
      <c r="N310">
        <f t="shared" si="29"/>
        <v>0</v>
      </c>
    </row>
    <row r="311" spans="1:14" x14ac:dyDescent="0.35">
      <c r="A311" t="s">
        <v>859</v>
      </c>
      <c r="B311" t="s">
        <v>2021</v>
      </c>
      <c r="C311" s="7" t="s">
        <v>6</v>
      </c>
      <c r="D311" t="s">
        <v>100</v>
      </c>
      <c r="E311" t="s">
        <v>1911</v>
      </c>
      <c r="F311" t="s">
        <v>1754</v>
      </c>
      <c r="I311">
        <f t="shared" si="24"/>
        <v>0</v>
      </c>
      <c r="J311">
        <f t="shared" si="25"/>
        <v>0</v>
      </c>
      <c r="K311">
        <f t="shared" si="26"/>
        <v>0</v>
      </c>
      <c r="L311">
        <f t="shared" si="27"/>
        <v>1</v>
      </c>
      <c r="M311">
        <f t="shared" si="28"/>
        <v>0</v>
      </c>
      <c r="N311">
        <f t="shared" si="29"/>
        <v>0</v>
      </c>
    </row>
    <row r="312" spans="1:14" x14ac:dyDescent="0.35">
      <c r="A312" t="s">
        <v>797</v>
      </c>
      <c r="B312" t="s">
        <v>2022</v>
      </c>
      <c r="C312" s="7" t="s">
        <v>6</v>
      </c>
      <c r="D312" t="s">
        <v>51</v>
      </c>
      <c r="E312" t="s">
        <v>1813</v>
      </c>
      <c r="F312" t="s">
        <v>1760</v>
      </c>
      <c r="I312">
        <f t="shared" si="24"/>
        <v>0</v>
      </c>
      <c r="J312">
        <f t="shared" si="25"/>
        <v>0</v>
      </c>
      <c r="K312">
        <f t="shared" si="26"/>
        <v>1</v>
      </c>
      <c r="L312">
        <f t="shared" si="27"/>
        <v>0</v>
      </c>
      <c r="M312">
        <f t="shared" si="28"/>
        <v>0</v>
      </c>
      <c r="N312">
        <f t="shared" si="29"/>
        <v>0</v>
      </c>
    </row>
    <row r="313" spans="1:14" x14ac:dyDescent="0.35">
      <c r="A313" t="s">
        <v>825</v>
      </c>
      <c r="B313" t="s">
        <v>2023</v>
      </c>
      <c r="C313" s="7" t="s">
        <v>6</v>
      </c>
      <c r="D313" t="s">
        <v>55</v>
      </c>
      <c r="E313" t="s">
        <v>1828</v>
      </c>
      <c r="F313" t="s">
        <v>1754</v>
      </c>
      <c r="I313">
        <f t="shared" si="24"/>
        <v>0</v>
      </c>
      <c r="J313">
        <f t="shared" si="25"/>
        <v>0</v>
      </c>
      <c r="K313">
        <f t="shared" si="26"/>
        <v>0</v>
      </c>
      <c r="L313">
        <f t="shared" si="27"/>
        <v>1</v>
      </c>
      <c r="M313">
        <f t="shared" si="28"/>
        <v>0</v>
      </c>
      <c r="N313">
        <f t="shared" si="29"/>
        <v>0</v>
      </c>
    </row>
    <row r="314" spans="1:14" x14ac:dyDescent="0.35">
      <c r="A314" t="s">
        <v>825</v>
      </c>
      <c r="B314" t="s">
        <v>2023</v>
      </c>
      <c r="C314" s="7" t="s">
        <v>6</v>
      </c>
      <c r="D314" t="s">
        <v>55</v>
      </c>
      <c r="E314" t="s">
        <v>2024</v>
      </c>
      <c r="F314" t="s">
        <v>1727</v>
      </c>
      <c r="I314">
        <f t="shared" si="24"/>
        <v>0</v>
      </c>
      <c r="J314">
        <f t="shared" si="25"/>
        <v>0</v>
      </c>
      <c r="K314">
        <f t="shared" si="26"/>
        <v>0</v>
      </c>
      <c r="L314">
        <f t="shared" si="27"/>
        <v>0</v>
      </c>
      <c r="M314">
        <f t="shared" si="28"/>
        <v>1</v>
      </c>
      <c r="N314">
        <f t="shared" si="29"/>
        <v>0</v>
      </c>
    </row>
    <row r="315" spans="1:14" x14ac:dyDescent="0.35">
      <c r="A315" t="s">
        <v>825</v>
      </c>
      <c r="B315" t="s">
        <v>2023</v>
      </c>
      <c r="C315" s="7" t="s">
        <v>6</v>
      </c>
      <c r="D315" t="s">
        <v>55</v>
      </c>
      <c r="E315" t="s">
        <v>2002</v>
      </c>
      <c r="F315" t="s">
        <v>1754</v>
      </c>
      <c r="I315">
        <f t="shared" si="24"/>
        <v>0</v>
      </c>
      <c r="J315">
        <f t="shared" si="25"/>
        <v>0</v>
      </c>
      <c r="K315">
        <f t="shared" si="26"/>
        <v>0</v>
      </c>
      <c r="L315">
        <f t="shared" si="27"/>
        <v>1</v>
      </c>
      <c r="M315">
        <f t="shared" si="28"/>
        <v>0</v>
      </c>
      <c r="N315">
        <f t="shared" si="29"/>
        <v>0</v>
      </c>
    </row>
    <row r="316" spans="1:14" x14ac:dyDescent="0.35">
      <c r="A316" t="s">
        <v>825</v>
      </c>
      <c r="B316" t="s">
        <v>2023</v>
      </c>
      <c r="C316" s="7" t="s">
        <v>6</v>
      </c>
      <c r="D316" t="s">
        <v>55</v>
      </c>
      <c r="E316" t="s">
        <v>2003</v>
      </c>
      <c r="F316" t="s">
        <v>1754</v>
      </c>
      <c r="I316">
        <f t="shared" si="24"/>
        <v>0</v>
      </c>
      <c r="J316">
        <f t="shared" si="25"/>
        <v>0</v>
      </c>
      <c r="K316">
        <f t="shared" si="26"/>
        <v>0</v>
      </c>
      <c r="L316">
        <f t="shared" si="27"/>
        <v>1</v>
      </c>
      <c r="M316">
        <f t="shared" si="28"/>
        <v>0</v>
      </c>
      <c r="N316">
        <f t="shared" si="29"/>
        <v>0</v>
      </c>
    </row>
    <row r="317" spans="1:14" x14ac:dyDescent="0.35">
      <c r="A317" t="s">
        <v>763</v>
      </c>
      <c r="B317" t="s">
        <v>2025</v>
      </c>
      <c r="C317" s="7" t="s">
        <v>6</v>
      </c>
      <c r="D317" t="s">
        <v>51</v>
      </c>
      <c r="E317" t="s">
        <v>1806</v>
      </c>
      <c r="F317" t="s">
        <v>1754</v>
      </c>
      <c r="I317">
        <f t="shared" si="24"/>
        <v>0</v>
      </c>
      <c r="J317">
        <f t="shared" si="25"/>
        <v>0</v>
      </c>
      <c r="K317">
        <f t="shared" si="26"/>
        <v>0</v>
      </c>
      <c r="L317">
        <f t="shared" si="27"/>
        <v>1</v>
      </c>
      <c r="M317">
        <f t="shared" si="28"/>
        <v>0</v>
      </c>
      <c r="N317">
        <f t="shared" si="29"/>
        <v>0</v>
      </c>
    </row>
    <row r="318" spans="1:14" x14ac:dyDescent="0.35">
      <c r="A318" t="s">
        <v>763</v>
      </c>
      <c r="B318" t="s">
        <v>2025</v>
      </c>
      <c r="C318" s="7" t="s">
        <v>6</v>
      </c>
      <c r="D318" t="s">
        <v>51</v>
      </c>
      <c r="E318" t="s">
        <v>1807</v>
      </c>
      <c r="F318" t="s">
        <v>1754</v>
      </c>
      <c r="I318">
        <f t="shared" si="24"/>
        <v>0</v>
      </c>
      <c r="J318">
        <f t="shared" si="25"/>
        <v>0</v>
      </c>
      <c r="K318">
        <f t="shared" si="26"/>
        <v>0</v>
      </c>
      <c r="L318">
        <f t="shared" si="27"/>
        <v>1</v>
      </c>
      <c r="M318">
        <f t="shared" si="28"/>
        <v>0</v>
      </c>
      <c r="N318">
        <f t="shared" si="29"/>
        <v>0</v>
      </c>
    </row>
    <row r="319" spans="1:14" x14ac:dyDescent="0.35">
      <c r="A319" t="s">
        <v>763</v>
      </c>
      <c r="B319" t="s">
        <v>2025</v>
      </c>
      <c r="C319" s="7" t="s">
        <v>6</v>
      </c>
      <c r="D319" t="s">
        <v>51</v>
      </c>
      <c r="E319" t="s">
        <v>1963</v>
      </c>
      <c r="F319" t="s">
        <v>1760</v>
      </c>
      <c r="I319">
        <f t="shared" si="24"/>
        <v>0</v>
      </c>
      <c r="J319">
        <f t="shared" si="25"/>
        <v>0</v>
      </c>
      <c r="K319">
        <f t="shared" si="26"/>
        <v>1</v>
      </c>
      <c r="L319">
        <f t="shared" si="27"/>
        <v>0</v>
      </c>
      <c r="M319">
        <f t="shared" si="28"/>
        <v>0</v>
      </c>
      <c r="N319">
        <f t="shared" si="29"/>
        <v>0</v>
      </c>
    </row>
    <row r="320" spans="1:14" x14ac:dyDescent="0.35">
      <c r="A320" t="s">
        <v>763</v>
      </c>
      <c r="B320" t="s">
        <v>2025</v>
      </c>
      <c r="C320" s="7" t="s">
        <v>6</v>
      </c>
      <c r="D320" t="s">
        <v>51</v>
      </c>
      <c r="E320" t="s">
        <v>1828</v>
      </c>
      <c r="F320" t="s">
        <v>1754</v>
      </c>
      <c r="I320">
        <f t="shared" si="24"/>
        <v>0</v>
      </c>
      <c r="J320">
        <f t="shared" si="25"/>
        <v>0</v>
      </c>
      <c r="K320">
        <f t="shared" si="26"/>
        <v>0</v>
      </c>
      <c r="L320">
        <f t="shared" si="27"/>
        <v>1</v>
      </c>
      <c r="M320">
        <f t="shared" si="28"/>
        <v>0</v>
      </c>
      <c r="N320">
        <f t="shared" si="29"/>
        <v>0</v>
      </c>
    </row>
    <row r="321" spans="1:14" x14ac:dyDescent="0.35">
      <c r="A321" t="s">
        <v>1406</v>
      </c>
      <c r="B321" t="s">
        <v>2026</v>
      </c>
      <c r="C321" s="7" t="s">
        <v>6</v>
      </c>
      <c r="D321" t="s">
        <v>1408</v>
      </c>
      <c r="E321" t="s">
        <v>2000</v>
      </c>
      <c r="F321" t="s">
        <v>1886</v>
      </c>
      <c r="I321">
        <f t="shared" si="24"/>
        <v>0</v>
      </c>
      <c r="J321">
        <f t="shared" si="25"/>
        <v>0</v>
      </c>
      <c r="K321">
        <f t="shared" si="26"/>
        <v>0</v>
      </c>
      <c r="L321">
        <f t="shared" si="27"/>
        <v>0</v>
      </c>
      <c r="M321">
        <f t="shared" si="28"/>
        <v>0</v>
      </c>
      <c r="N321">
        <f t="shared" si="29"/>
        <v>0</v>
      </c>
    </row>
    <row r="322" spans="1:14" x14ac:dyDescent="0.35">
      <c r="A322" t="s">
        <v>1519</v>
      </c>
      <c r="B322" t="s">
        <v>2027</v>
      </c>
      <c r="C322" s="7" t="s">
        <v>6</v>
      </c>
      <c r="D322" t="s">
        <v>1520</v>
      </c>
      <c r="E322" t="s">
        <v>1806</v>
      </c>
      <c r="F322" t="s">
        <v>1754</v>
      </c>
      <c r="I322">
        <f t="shared" si="24"/>
        <v>0</v>
      </c>
      <c r="J322">
        <f t="shared" si="25"/>
        <v>0</v>
      </c>
      <c r="K322">
        <f t="shared" si="26"/>
        <v>0</v>
      </c>
      <c r="L322">
        <f t="shared" si="27"/>
        <v>1</v>
      </c>
      <c r="M322">
        <f t="shared" si="28"/>
        <v>0</v>
      </c>
      <c r="N322">
        <f t="shared" si="29"/>
        <v>0</v>
      </c>
    </row>
    <row r="323" spans="1:14" x14ac:dyDescent="0.35">
      <c r="A323" t="s">
        <v>1519</v>
      </c>
      <c r="B323" t="s">
        <v>2027</v>
      </c>
      <c r="C323" s="7" t="s">
        <v>9</v>
      </c>
      <c r="D323" t="s">
        <v>1520</v>
      </c>
      <c r="E323" t="s">
        <v>1807</v>
      </c>
      <c r="F323" t="s">
        <v>1754</v>
      </c>
      <c r="I323">
        <f t="shared" ref="I323:I386" si="30">IF($F323=$F$1,1,0)</f>
        <v>0</v>
      </c>
      <c r="J323">
        <f t="shared" ref="J323:J386" si="31">IF($F323=$J$1,1,0)</f>
        <v>0</v>
      </c>
      <c r="K323">
        <f t="shared" ref="K323:K386" si="32">IF($F323=$K$1,1,0)</f>
        <v>0</v>
      </c>
      <c r="L323">
        <f t="shared" ref="L323:L386" si="33">IF($F323=$L$1,1,0)</f>
        <v>1</v>
      </c>
      <c r="M323">
        <f t="shared" ref="M323:M386" si="34">IF($F323=$M$1,1,0)</f>
        <v>0</v>
      </c>
      <c r="N323">
        <f t="shared" ref="N323:N386" si="35">IF($G323&lt;&gt;"",1,0)</f>
        <v>0</v>
      </c>
    </row>
    <row r="324" spans="1:14" x14ac:dyDescent="0.35">
      <c r="A324" t="s">
        <v>1016</v>
      </c>
      <c r="B324" t="s">
        <v>2028</v>
      </c>
      <c r="C324" s="7" t="s">
        <v>9</v>
      </c>
      <c r="D324" t="s">
        <v>152</v>
      </c>
      <c r="E324" t="s">
        <v>1882</v>
      </c>
      <c r="F324" t="s">
        <v>1754</v>
      </c>
      <c r="I324">
        <f t="shared" si="30"/>
        <v>0</v>
      </c>
      <c r="J324">
        <f t="shared" si="31"/>
        <v>0</v>
      </c>
      <c r="K324">
        <f t="shared" si="32"/>
        <v>0</v>
      </c>
      <c r="L324">
        <f t="shared" si="33"/>
        <v>1</v>
      </c>
      <c r="M324">
        <f t="shared" si="34"/>
        <v>0</v>
      </c>
      <c r="N324">
        <f t="shared" si="35"/>
        <v>0</v>
      </c>
    </row>
    <row r="325" spans="1:14" x14ac:dyDescent="0.35">
      <c r="A325" t="s">
        <v>356</v>
      </c>
      <c r="B325" t="s">
        <v>2029</v>
      </c>
      <c r="C325" s="7" t="s">
        <v>9</v>
      </c>
      <c r="D325" t="s">
        <v>55</v>
      </c>
      <c r="E325" t="s">
        <v>1821</v>
      </c>
      <c r="F325" t="s">
        <v>1760</v>
      </c>
      <c r="I325">
        <f t="shared" si="30"/>
        <v>0</v>
      </c>
      <c r="J325">
        <f t="shared" si="31"/>
        <v>0</v>
      </c>
      <c r="K325">
        <f t="shared" si="32"/>
        <v>1</v>
      </c>
      <c r="L325">
        <f t="shared" si="33"/>
        <v>0</v>
      </c>
      <c r="M325">
        <f t="shared" si="34"/>
        <v>0</v>
      </c>
      <c r="N325">
        <f t="shared" si="35"/>
        <v>0</v>
      </c>
    </row>
    <row r="326" spans="1:14" x14ac:dyDescent="0.35">
      <c r="A326" t="s">
        <v>356</v>
      </c>
      <c r="B326" t="s">
        <v>2029</v>
      </c>
      <c r="C326" s="7" t="s">
        <v>9</v>
      </c>
      <c r="D326" t="s">
        <v>55</v>
      </c>
      <c r="E326" t="s">
        <v>1937</v>
      </c>
      <c r="F326" t="s">
        <v>1760</v>
      </c>
      <c r="I326">
        <f t="shared" si="30"/>
        <v>0</v>
      </c>
      <c r="J326">
        <f t="shared" si="31"/>
        <v>0</v>
      </c>
      <c r="K326">
        <f t="shared" si="32"/>
        <v>1</v>
      </c>
      <c r="L326">
        <f t="shared" si="33"/>
        <v>0</v>
      </c>
      <c r="M326">
        <f t="shared" si="34"/>
        <v>0</v>
      </c>
      <c r="N326">
        <f t="shared" si="35"/>
        <v>0</v>
      </c>
    </row>
    <row r="327" spans="1:14" x14ac:dyDescent="0.35">
      <c r="A327" t="s">
        <v>256</v>
      </c>
      <c r="B327" t="s">
        <v>2030</v>
      </c>
      <c r="C327" s="7" t="s">
        <v>9</v>
      </c>
      <c r="D327" t="s">
        <v>55</v>
      </c>
      <c r="E327" t="s">
        <v>1961</v>
      </c>
      <c r="F327" t="s">
        <v>1805</v>
      </c>
      <c r="I327">
        <f t="shared" si="30"/>
        <v>0</v>
      </c>
      <c r="J327">
        <f t="shared" si="31"/>
        <v>1</v>
      </c>
      <c r="K327">
        <f t="shared" si="32"/>
        <v>0</v>
      </c>
      <c r="L327">
        <f t="shared" si="33"/>
        <v>0</v>
      </c>
      <c r="M327">
        <f t="shared" si="34"/>
        <v>0</v>
      </c>
      <c r="N327">
        <f t="shared" si="35"/>
        <v>0</v>
      </c>
    </row>
    <row r="328" spans="1:14" x14ac:dyDescent="0.35">
      <c r="A328" t="s">
        <v>256</v>
      </c>
      <c r="B328" t="s">
        <v>2030</v>
      </c>
      <c r="C328" s="7" t="s">
        <v>9</v>
      </c>
      <c r="D328" t="s">
        <v>55</v>
      </c>
      <c r="E328" t="s">
        <v>1944</v>
      </c>
      <c r="F328" t="s">
        <v>1754</v>
      </c>
      <c r="I328">
        <f t="shared" si="30"/>
        <v>0</v>
      </c>
      <c r="J328">
        <f t="shared" si="31"/>
        <v>0</v>
      </c>
      <c r="K328">
        <f t="shared" si="32"/>
        <v>0</v>
      </c>
      <c r="L328">
        <f t="shared" si="33"/>
        <v>1</v>
      </c>
      <c r="M328">
        <f t="shared" si="34"/>
        <v>0</v>
      </c>
      <c r="N328">
        <f t="shared" si="35"/>
        <v>0</v>
      </c>
    </row>
    <row r="329" spans="1:14" x14ac:dyDescent="0.35">
      <c r="A329" t="s">
        <v>749</v>
      </c>
      <c r="B329" t="s">
        <v>2031</v>
      </c>
      <c r="C329" s="7" t="s">
        <v>9</v>
      </c>
      <c r="D329" t="s">
        <v>751</v>
      </c>
      <c r="E329" t="s">
        <v>1868</v>
      </c>
      <c r="F329" t="s">
        <v>1727</v>
      </c>
      <c r="I329">
        <f t="shared" si="30"/>
        <v>0</v>
      </c>
      <c r="J329">
        <f t="shared" si="31"/>
        <v>0</v>
      </c>
      <c r="K329">
        <f t="shared" si="32"/>
        <v>0</v>
      </c>
      <c r="L329">
        <f t="shared" si="33"/>
        <v>0</v>
      </c>
      <c r="M329">
        <f t="shared" si="34"/>
        <v>1</v>
      </c>
      <c r="N329">
        <f t="shared" si="35"/>
        <v>0</v>
      </c>
    </row>
    <row r="330" spans="1:14" x14ac:dyDescent="0.35">
      <c r="A330" t="s">
        <v>1546</v>
      </c>
      <c r="B330" t="s">
        <v>2032</v>
      </c>
      <c r="C330" s="7" t="s">
        <v>9</v>
      </c>
      <c r="D330" t="s">
        <v>276</v>
      </c>
      <c r="E330" t="s">
        <v>1997</v>
      </c>
      <c r="F330" t="s">
        <v>1886</v>
      </c>
      <c r="G330" t="s">
        <v>2033</v>
      </c>
      <c r="H330" t="s">
        <v>1774</v>
      </c>
      <c r="I330">
        <f t="shared" si="30"/>
        <v>0</v>
      </c>
      <c r="J330">
        <f t="shared" si="31"/>
        <v>0</v>
      </c>
      <c r="K330">
        <f t="shared" si="32"/>
        <v>0</v>
      </c>
      <c r="L330">
        <f t="shared" si="33"/>
        <v>0</v>
      </c>
      <c r="M330">
        <f t="shared" si="34"/>
        <v>0</v>
      </c>
      <c r="N330">
        <f t="shared" si="35"/>
        <v>1</v>
      </c>
    </row>
    <row r="331" spans="1:14" x14ac:dyDescent="0.35">
      <c r="A331" t="s">
        <v>1546</v>
      </c>
      <c r="B331" t="s">
        <v>2032</v>
      </c>
      <c r="C331" s="7" t="s">
        <v>9</v>
      </c>
      <c r="D331" t="s">
        <v>276</v>
      </c>
      <c r="E331" t="s">
        <v>2000</v>
      </c>
      <c r="F331" t="s">
        <v>1886</v>
      </c>
      <c r="G331" t="s">
        <v>2033</v>
      </c>
      <c r="H331" t="s">
        <v>1774</v>
      </c>
      <c r="I331">
        <f t="shared" si="30"/>
        <v>0</v>
      </c>
      <c r="J331">
        <f t="shared" si="31"/>
        <v>0</v>
      </c>
      <c r="K331">
        <f t="shared" si="32"/>
        <v>0</v>
      </c>
      <c r="L331">
        <f t="shared" si="33"/>
        <v>0</v>
      </c>
      <c r="M331">
        <f t="shared" si="34"/>
        <v>0</v>
      </c>
      <c r="N331">
        <f t="shared" si="35"/>
        <v>1</v>
      </c>
    </row>
    <row r="332" spans="1:14" x14ac:dyDescent="0.35">
      <c r="A332" t="s">
        <v>1546</v>
      </c>
      <c r="B332" t="s">
        <v>2032</v>
      </c>
      <c r="C332" s="7" t="s">
        <v>9</v>
      </c>
      <c r="D332" t="s">
        <v>276</v>
      </c>
      <c r="E332" t="s">
        <v>1996</v>
      </c>
      <c r="F332" t="s">
        <v>1886</v>
      </c>
      <c r="G332" t="s">
        <v>2033</v>
      </c>
      <c r="H332" t="s">
        <v>1774</v>
      </c>
      <c r="I332">
        <f t="shared" si="30"/>
        <v>0</v>
      </c>
      <c r="J332">
        <f t="shared" si="31"/>
        <v>0</v>
      </c>
      <c r="K332">
        <f t="shared" si="32"/>
        <v>0</v>
      </c>
      <c r="L332">
        <f t="shared" si="33"/>
        <v>0</v>
      </c>
      <c r="M332">
        <f t="shared" si="34"/>
        <v>0</v>
      </c>
      <c r="N332">
        <f t="shared" si="35"/>
        <v>1</v>
      </c>
    </row>
    <row r="333" spans="1:14" x14ac:dyDescent="0.35">
      <c r="A333" t="s">
        <v>1546</v>
      </c>
      <c r="B333" t="s">
        <v>2032</v>
      </c>
      <c r="C333" s="7" t="s">
        <v>9</v>
      </c>
      <c r="D333" t="s">
        <v>276</v>
      </c>
      <c r="E333" t="s">
        <v>1821</v>
      </c>
      <c r="F333" t="s">
        <v>1760</v>
      </c>
      <c r="G333" t="s">
        <v>2033</v>
      </c>
      <c r="H333" t="s">
        <v>1774</v>
      </c>
      <c r="I333">
        <f t="shared" si="30"/>
        <v>0</v>
      </c>
      <c r="J333">
        <f t="shared" si="31"/>
        <v>0</v>
      </c>
      <c r="K333">
        <f t="shared" si="32"/>
        <v>1</v>
      </c>
      <c r="L333">
        <f t="shared" si="33"/>
        <v>0</v>
      </c>
      <c r="M333">
        <f t="shared" si="34"/>
        <v>0</v>
      </c>
      <c r="N333">
        <f t="shared" si="35"/>
        <v>1</v>
      </c>
    </row>
    <row r="334" spans="1:14" x14ac:dyDescent="0.35">
      <c r="A334" t="s">
        <v>1546</v>
      </c>
      <c r="B334" t="s">
        <v>2032</v>
      </c>
      <c r="C334" s="7" t="s">
        <v>9</v>
      </c>
      <c r="D334" t="s">
        <v>276</v>
      </c>
      <c r="E334" t="s">
        <v>1822</v>
      </c>
      <c r="F334" t="s">
        <v>1760</v>
      </c>
      <c r="G334" t="s">
        <v>2033</v>
      </c>
      <c r="H334" t="s">
        <v>1774</v>
      </c>
      <c r="I334">
        <f t="shared" si="30"/>
        <v>0</v>
      </c>
      <c r="J334">
        <f t="shared" si="31"/>
        <v>0</v>
      </c>
      <c r="K334">
        <f t="shared" si="32"/>
        <v>1</v>
      </c>
      <c r="L334">
        <f t="shared" si="33"/>
        <v>0</v>
      </c>
      <c r="M334">
        <f t="shared" si="34"/>
        <v>0</v>
      </c>
      <c r="N334">
        <f t="shared" si="35"/>
        <v>1</v>
      </c>
    </row>
    <row r="335" spans="1:14" x14ac:dyDescent="0.35">
      <c r="A335" t="s">
        <v>1546</v>
      </c>
      <c r="B335" t="s">
        <v>2032</v>
      </c>
      <c r="C335" s="7" t="s">
        <v>9</v>
      </c>
      <c r="D335" t="s">
        <v>276</v>
      </c>
      <c r="E335" t="s">
        <v>2034</v>
      </c>
      <c r="F335" t="s">
        <v>1886</v>
      </c>
      <c r="G335" t="s">
        <v>2033</v>
      </c>
      <c r="H335" t="s">
        <v>1774</v>
      </c>
      <c r="I335">
        <f t="shared" si="30"/>
        <v>0</v>
      </c>
      <c r="J335">
        <f t="shared" si="31"/>
        <v>0</v>
      </c>
      <c r="K335">
        <f t="shared" si="32"/>
        <v>0</v>
      </c>
      <c r="L335">
        <f t="shared" si="33"/>
        <v>0</v>
      </c>
      <c r="M335">
        <f t="shared" si="34"/>
        <v>0</v>
      </c>
      <c r="N335">
        <f t="shared" si="35"/>
        <v>1</v>
      </c>
    </row>
    <row r="336" spans="1:14" x14ac:dyDescent="0.35">
      <c r="A336" t="s">
        <v>1546</v>
      </c>
      <c r="B336" t="s">
        <v>2032</v>
      </c>
      <c r="C336" s="7" t="s">
        <v>9</v>
      </c>
      <c r="D336" t="s">
        <v>276</v>
      </c>
      <c r="E336" t="s">
        <v>1998</v>
      </c>
      <c r="F336" t="s">
        <v>1886</v>
      </c>
      <c r="G336" t="s">
        <v>2033</v>
      </c>
      <c r="H336" t="s">
        <v>1774</v>
      </c>
      <c r="I336">
        <f t="shared" si="30"/>
        <v>0</v>
      </c>
      <c r="J336">
        <f t="shared" si="31"/>
        <v>0</v>
      </c>
      <c r="K336">
        <f t="shared" si="32"/>
        <v>0</v>
      </c>
      <c r="L336">
        <f t="shared" si="33"/>
        <v>0</v>
      </c>
      <c r="M336">
        <f t="shared" si="34"/>
        <v>0</v>
      </c>
      <c r="N336">
        <f t="shared" si="35"/>
        <v>1</v>
      </c>
    </row>
    <row r="337" spans="1:14" x14ac:dyDescent="0.35">
      <c r="A337" t="s">
        <v>1546</v>
      </c>
      <c r="B337" t="s">
        <v>2032</v>
      </c>
      <c r="C337" s="7" t="s">
        <v>9</v>
      </c>
      <c r="D337" t="s">
        <v>276</v>
      </c>
      <c r="E337" t="s">
        <v>1999</v>
      </c>
      <c r="F337" t="s">
        <v>1886</v>
      </c>
      <c r="G337" t="s">
        <v>2033</v>
      </c>
      <c r="H337" t="s">
        <v>1774</v>
      </c>
      <c r="I337">
        <f t="shared" si="30"/>
        <v>0</v>
      </c>
      <c r="J337">
        <f t="shared" si="31"/>
        <v>0</v>
      </c>
      <c r="K337">
        <f t="shared" si="32"/>
        <v>0</v>
      </c>
      <c r="L337">
        <f t="shared" si="33"/>
        <v>0</v>
      </c>
      <c r="M337">
        <f t="shared" si="34"/>
        <v>0</v>
      </c>
      <c r="N337">
        <f t="shared" si="35"/>
        <v>1</v>
      </c>
    </row>
    <row r="338" spans="1:14" x14ac:dyDescent="0.35">
      <c r="A338" t="s">
        <v>1294</v>
      </c>
      <c r="B338" t="s">
        <v>2035</v>
      </c>
      <c r="C338" s="7" t="s">
        <v>9</v>
      </c>
      <c r="D338" t="s">
        <v>206</v>
      </c>
      <c r="E338" t="s">
        <v>1836</v>
      </c>
      <c r="F338" t="s">
        <v>1754</v>
      </c>
      <c r="G338" t="s">
        <v>2036</v>
      </c>
      <c r="I338">
        <f t="shared" si="30"/>
        <v>0</v>
      </c>
      <c r="J338">
        <f t="shared" si="31"/>
        <v>0</v>
      </c>
      <c r="K338">
        <f t="shared" si="32"/>
        <v>0</v>
      </c>
      <c r="L338">
        <f t="shared" si="33"/>
        <v>1</v>
      </c>
      <c r="M338">
        <f t="shared" si="34"/>
        <v>0</v>
      </c>
      <c r="N338">
        <f t="shared" si="35"/>
        <v>1</v>
      </c>
    </row>
    <row r="339" spans="1:14" x14ac:dyDescent="0.35">
      <c r="A339" t="s">
        <v>1294</v>
      </c>
      <c r="B339" t="s">
        <v>2035</v>
      </c>
      <c r="C339" s="7" t="s">
        <v>9</v>
      </c>
      <c r="D339" t="s">
        <v>206</v>
      </c>
      <c r="E339" t="s">
        <v>1832</v>
      </c>
      <c r="F339" t="s">
        <v>1754</v>
      </c>
      <c r="G339" t="s">
        <v>2036</v>
      </c>
      <c r="I339">
        <f t="shared" si="30"/>
        <v>0</v>
      </c>
      <c r="J339">
        <f t="shared" si="31"/>
        <v>0</v>
      </c>
      <c r="K339">
        <f t="shared" si="32"/>
        <v>0</v>
      </c>
      <c r="L339">
        <f t="shared" si="33"/>
        <v>1</v>
      </c>
      <c r="M339">
        <f t="shared" si="34"/>
        <v>0</v>
      </c>
      <c r="N339">
        <f t="shared" si="35"/>
        <v>1</v>
      </c>
    </row>
    <row r="340" spans="1:14" x14ac:dyDescent="0.35">
      <c r="A340" t="s">
        <v>1294</v>
      </c>
      <c r="B340" t="s">
        <v>2035</v>
      </c>
      <c r="C340" s="7" t="s">
        <v>9</v>
      </c>
      <c r="D340" t="s">
        <v>206</v>
      </c>
      <c r="E340" t="s">
        <v>1809</v>
      </c>
      <c r="F340" t="s">
        <v>1754</v>
      </c>
      <c r="G340" t="s">
        <v>2036</v>
      </c>
      <c r="I340">
        <f t="shared" si="30"/>
        <v>0</v>
      </c>
      <c r="J340">
        <f t="shared" si="31"/>
        <v>0</v>
      </c>
      <c r="K340">
        <f t="shared" si="32"/>
        <v>0</v>
      </c>
      <c r="L340">
        <f t="shared" si="33"/>
        <v>1</v>
      </c>
      <c r="M340">
        <f t="shared" si="34"/>
        <v>0</v>
      </c>
      <c r="N340">
        <f t="shared" si="35"/>
        <v>1</v>
      </c>
    </row>
    <row r="341" spans="1:14" x14ac:dyDescent="0.35">
      <c r="A341" t="s">
        <v>1294</v>
      </c>
      <c r="B341" t="s">
        <v>2035</v>
      </c>
      <c r="C341" s="7" t="s">
        <v>9</v>
      </c>
      <c r="D341" t="s">
        <v>206</v>
      </c>
      <c r="E341" t="s">
        <v>1993</v>
      </c>
      <c r="F341" t="s">
        <v>1754</v>
      </c>
      <c r="G341" t="s">
        <v>2036</v>
      </c>
      <c r="I341">
        <f t="shared" si="30"/>
        <v>0</v>
      </c>
      <c r="J341">
        <f t="shared" si="31"/>
        <v>0</v>
      </c>
      <c r="K341">
        <f t="shared" si="32"/>
        <v>0</v>
      </c>
      <c r="L341">
        <f t="shared" si="33"/>
        <v>1</v>
      </c>
      <c r="M341">
        <f t="shared" si="34"/>
        <v>0</v>
      </c>
      <c r="N341">
        <f t="shared" si="35"/>
        <v>1</v>
      </c>
    </row>
    <row r="342" spans="1:14" x14ac:dyDescent="0.35">
      <c r="A342" t="s">
        <v>1294</v>
      </c>
      <c r="B342" t="s">
        <v>2035</v>
      </c>
      <c r="C342" s="7" t="s">
        <v>9</v>
      </c>
      <c r="D342" t="s">
        <v>206</v>
      </c>
      <c r="E342" t="s">
        <v>1992</v>
      </c>
      <c r="F342" t="s">
        <v>1754</v>
      </c>
      <c r="G342" t="s">
        <v>2036</v>
      </c>
      <c r="I342">
        <f t="shared" si="30"/>
        <v>0</v>
      </c>
      <c r="J342">
        <f t="shared" si="31"/>
        <v>0</v>
      </c>
      <c r="K342">
        <f t="shared" si="32"/>
        <v>0</v>
      </c>
      <c r="L342">
        <f t="shared" si="33"/>
        <v>1</v>
      </c>
      <c r="M342">
        <f t="shared" si="34"/>
        <v>0</v>
      </c>
      <c r="N342">
        <f t="shared" si="35"/>
        <v>1</v>
      </c>
    </row>
    <row r="343" spans="1:14" x14ac:dyDescent="0.35">
      <c r="A343" t="s">
        <v>174</v>
      </c>
      <c r="B343" t="s">
        <v>2037</v>
      </c>
      <c r="C343" s="7" t="s">
        <v>9</v>
      </c>
      <c r="D343" t="s">
        <v>152</v>
      </c>
      <c r="E343" t="s">
        <v>1882</v>
      </c>
      <c r="F343" t="s">
        <v>1754</v>
      </c>
      <c r="I343">
        <f t="shared" si="30"/>
        <v>0</v>
      </c>
      <c r="J343">
        <f t="shared" si="31"/>
        <v>0</v>
      </c>
      <c r="K343">
        <f t="shared" si="32"/>
        <v>0</v>
      </c>
      <c r="L343">
        <f t="shared" si="33"/>
        <v>1</v>
      </c>
      <c r="M343">
        <f t="shared" si="34"/>
        <v>0</v>
      </c>
      <c r="N343">
        <f t="shared" si="35"/>
        <v>0</v>
      </c>
    </row>
    <row r="344" spans="1:14" x14ac:dyDescent="0.35">
      <c r="A344" t="s">
        <v>941</v>
      </c>
      <c r="B344" t="s">
        <v>2038</v>
      </c>
      <c r="C344" s="7" t="s">
        <v>9</v>
      </c>
      <c r="D344" t="s">
        <v>92</v>
      </c>
      <c r="E344" t="s">
        <v>1821</v>
      </c>
      <c r="F344" t="s">
        <v>1760</v>
      </c>
      <c r="I344">
        <f t="shared" si="30"/>
        <v>0</v>
      </c>
      <c r="J344">
        <f t="shared" si="31"/>
        <v>0</v>
      </c>
      <c r="K344">
        <f t="shared" si="32"/>
        <v>1</v>
      </c>
      <c r="L344">
        <f t="shared" si="33"/>
        <v>0</v>
      </c>
      <c r="M344">
        <f t="shared" si="34"/>
        <v>0</v>
      </c>
      <c r="N344">
        <f t="shared" si="35"/>
        <v>0</v>
      </c>
    </row>
    <row r="345" spans="1:14" x14ac:dyDescent="0.35">
      <c r="A345" t="s">
        <v>941</v>
      </c>
      <c r="B345" t="s">
        <v>2038</v>
      </c>
      <c r="C345" s="7" t="s">
        <v>9</v>
      </c>
      <c r="D345" t="s">
        <v>92</v>
      </c>
      <c r="E345" t="s">
        <v>1823</v>
      </c>
      <c r="F345" t="s">
        <v>1760</v>
      </c>
      <c r="I345">
        <f t="shared" si="30"/>
        <v>0</v>
      </c>
      <c r="J345">
        <f t="shared" si="31"/>
        <v>0</v>
      </c>
      <c r="K345">
        <f t="shared" si="32"/>
        <v>1</v>
      </c>
      <c r="L345">
        <f t="shared" si="33"/>
        <v>0</v>
      </c>
      <c r="M345">
        <f t="shared" si="34"/>
        <v>0</v>
      </c>
      <c r="N345">
        <f t="shared" si="35"/>
        <v>0</v>
      </c>
    </row>
    <row r="346" spans="1:14" x14ac:dyDescent="0.35">
      <c r="A346" t="s">
        <v>941</v>
      </c>
      <c r="B346" t="s">
        <v>2038</v>
      </c>
      <c r="C346" s="7" t="s">
        <v>9</v>
      </c>
      <c r="D346" t="s">
        <v>92</v>
      </c>
      <c r="E346" t="s">
        <v>1822</v>
      </c>
      <c r="F346" t="s">
        <v>1760</v>
      </c>
      <c r="I346">
        <f t="shared" si="30"/>
        <v>0</v>
      </c>
      <c r="J346">
        <f t="shared" si="31"/>
        <v>0</v>
      </c>
      <c r="K346">
        <f t="shared" si="32"/>
        <v>1</v>
      </c>
      <c r="L346">
        <f t="shared" si="33"/>
        <v>0</v>
      </c>
      <c r="M346">
        <f t="shared" si="34"/>
        <v>0</v>
      </c>
      <c r="N346">
        <f t="shared" si="35"/>
        <v>0</v>
      </c>
    </row>
    <row r="347" spans="1:14" x14ac:dyDescent="0.35">
      <c r="A347" t="s">
        <v>941</v>
      </c>
      <c r="B347" t="s">
        <v>2038</v>
      </c>
      <c r="C347" s="7" t="s">
        <v>9</v>
      </c>
      <c r="D347" t="s">
        <v>92</v>
      </c>
      <c r="E347" t="s">
        <v>1839</v>
      </c>
      <c r="F347" t="s">
        <v>1760</v>
      </c>
      <c r="I347">
        <f t="shared" si="30"/>
        <v>0</v>
      </c>
      <c r="J347">
        <f t="shared" si="31"/>
        <v>0</v>
      </c>
      <c r="K347">
        <f t="shared" si="32"/>
        <v>1</v>
      </c>
      <c r="L347">
        <f t="shared" si="33"/>
        <v>0</v>
      </c>
      <c r="M347">
        <f t="shared" si="34"/>
        <v>0</v>
      </c>
      <c r="N347">
        <f t="shared" si="35"/>
        <v>0</v>
      </c>
    </row>
    <row r="348" spans="1:14" x14ac:dyDescent="0.35">
      <c r="A348" t="s">
        <v>1305</v>
      </c>
      <c r="B348" t="s">
        <v>2039</v>
      </c>
      <c r="C348" s="7" t="s">
        <v>9</v>
      </c>
      <c r="D348" t="s">
        <v>1308</v>
      </c>
      <c r="E348" t="s">
        <v>1807</v>
      </c>
      <c r="F348" t="s">
        <v>1754</v>
      </c>
      <c r="I348">
        <f t="shared" si="30"/>
        <v>0</v>
      </c>
      <c r="J348">
        <f t="shared" si="31"/>
        <v>0</v>
      </c>
      <c r="K348">
        <f t="shared" si="32"/>
        <v>0</v>
      </c>
      <c r="L348">
        <f t="shared" si="33"/>
        <v>1</v>
      </c>
      <c r="M348">
        <f t="shared" si="34"/>
        <v>0</v>
      </c>
      <c r="N348">
        <f t="shared" si="35"/>
        <v>0</v>
      </c>
    </row>
    <row r="349" spans="1:14" x14ac:dyDescent="0.35">
      <c r="A349" t="s">
        <v>1305</v>
      </c>
      <c r="B349" t="s">
        <v>2039</v>
      </c>
      <c r="C349" s="7" t="s">
        <v>9</v>
      </c>
      <c r="D349" t="s">
        <v>1308</v>
      </c>
      <c r="E349" t="s">
        <v>1806</v>
      </c>
      <c r="F349" t="s">
        <v>1754</v>
      </c>
      <c r="I349">
        <f t="shared" si="30"/>
        <v>0</v>
      </c>
      <c r="J349">
        <f t="shared" si="31"/>
        <v>0</v>
      </c>
      <c r="K349">
        <f t="shared" si="32"/>
        <v>0</v>
      </c>
      <c r="L349">
        <f t="shared" si="33"/>
        <v>1</v>
      </c>
      <c r="M349">
        <f t="shared" si="34"/>
        <v>0</v>
      </c>
      <c r="N349">
        <f t="shared" si="35"/>
        <v>0</v>
      </c>
    </row>
    <row r="350" spans="1:14" x14ac:dyDescent="0.35">
      <c r="A350" t="s">
        <v>1039</v>
      </c>
      <c r="B350" t="s">
        <v>1744</v>
      </c>
      <c r="C350" s="7" t="s">
        <v>9</v>
      </c>
      <c r="D350" t="s">
        <v>55</v>
      </c>
      <c r="E350" t="s">
        <v>1932</v>
      </c>
      <c r="F350" t="s">
        <v>1727</v>
      </c>
      <c r="I350">
        <f t="shared" si="30"/>
        <v>0</v>
      </c>
      <c r="J350">
        <f t="shared" si="31"/>
        <v>0</v>
      </c>
      <c r="K350">
        <f t="shared" si="32"/>
        <v>0</v>
      </c>
      <c r="L350">
        <f t="shared" si="33"/>
        <v>0</v>
      </c>
      <c r="M350">
        <f t="shared" si="34"/>
        <v>1</v>
      </c>
      <c r="N350">
        <f t="shared" si="35"/>
        <v>0</v>
      </c>
    </row>
    <row r="351" spans="1:14" x14ac:dyDescent="0.35">
      <c r="A351" t="s">
        <v>1039</v>
      </c>
      <c r="B351" t="s">
        <v>1744</v>
      </c>
      <c r="C351" s="7" t="s">
        <v>9</v>
      </c>
      <c r="D351" t="s">
        <v>55</v>
      </c>
      <c r="E351" t="s">
        <v>1845</v>
      </c>
      <c r="F351" t="s">
        <v>1754</v>
      </c>
      <c r="I351">
        <f t="shared" si="30"/>
        <v>0</v>
      </c>
      <c r="J351">
        <f t="shared" si="31"/>
        <v>0</v>
      </c>
      <c r="K351">
        <f t="shared" si="32"/>
        <v>0</v>
      </c>
      <c r="L351">
        <f t="shared" si="33"/>
        <v>1</v>
      </c>
      <c r="M351">
        <f t="shared" si="34"/>
        <v>0</v>
      </c>
      <c r="N351">
        <f t="shared" si="35"/>
        <v>0</v>
      </c>
    </row>
    <row r="352" spans="1:14" x14ac:dyDescent="0.35">
      <c r="A352" t="s">
        <v>1039</v>
      </c>
      <c r="B352" t="s">
        <v>1744</v>
      </c>
      <c r="C352" s="7" t="s">
        <v>9</v>
      </c>
      <c r="D352" t="s">
        <v>55</v>
      </c>
      <c r="E352" t="s">
        <v>1847</v>
      </c>
      <c r="F352" t="s">
        <v>1754</v>
      </c>
      <c r="I352">
        <f t="shared" si="30"/>
        <v>0</v>
      </c>
      <c r="J352">
        <f t="shared" si="31"/>
        <v>0</v>
      </c>
      <c r="K352">
        <f t="shared" si="32"/>
        <v>0</v>
      </c>
      <c r="L352">
        <f t="shared" si="33"/>
        <v>1</v>
      </c>
      <c r="M352">
        <f t="shared" si="34"/>
        <v>0</v>
      </c>
      <c r="N352">
        <f t="shared" si="35"/>
        <v>0</v>
      </c>
    </row>
    <row r="353" spans="1:14" x14ac:dyDescent="0.35">
      <c r="A353" t="s">
        <v>1039</v>
      </c>
      <c r="B353" t="s">
        <v>1744</v>
      </c>
      <c r="C353" s="7" t="s">
        <v>9</v>
      </c>
      <c r="D353" t="s">
        <v>55</v>
      </c>
      <c r="E353" t="s">
        <v>1806</v>
      </c>
      <c r="F353" t="s">
        <v>1754</v>
      </c>
      <c r="I353">
        <f t="shared" si="30"/>
        <v>0</v>
      </c>
      <c r="J353">
        <f t="shared" si="31"/>
        <v>0</v>
      </c>
      <c r="K353">
        <f t="shared" si="32"/>
        <v>0</v>
      </c>
      <c r="L353">
        <f t="shared" si="33"/>
        <v>1</v>
      </c>
      <c r="M353">
        <f t="shared" si="34"/>
        <v>0</v>
      </c>
      <c r="N353">
        <f t="shared" si="35"/>
        <v>0</v>
      </c>
    </row>
    <row r="354" spans="1:14" x14ac:dyDescent="0.35">
      <c r="A354" t="s">
        <v>1039</v>
      </c>
      <c r="B354" t="s">
        <v>1744</v>
      </c>
      <c r="C354" s="7" t="s">
        <v>9</v>
      </c>
      <c r="D354" t="s">
        <v>55</v>
      </c>
      <c r="E354" t="s">
        <v>1807</v>
      </c>
      <c r="F354" t="s">
        <v>1754</v>
      </c>
      <c r="I354">
        <f t="shared" si="30"/>
        <v>0</v>
      </c>
      <c r="J354">
        <f t="shared" si="31"/>
        <v>0</v>
      </c>
      <c r="K354">
        <f t="shared" si="32"/>
        <v>0</v>
      </c>
      <c r="L354">
        <f t="shared" si="33"/>
        <v>1</v>
      </c>
      <c r="M354">
        <f t="shared" si="34"/>
        <v>0</v>
      </c>
      <c r="N354">
        <f t="shared" si="35"/>
        <v>0</v>
      </c>
    </row>
    <row r="355" spans="1:14" x14ac:dyDescent="0.35">
      <c r="A355" t="s">
        <v>1039</v>
      </c>
      <c r="B355" t="s">
        <v>1744</v>
      </c>
      <c r="C355" s="7" t="s">
        <v>9</v>
      </c>
      <c r="D355" t="s">
        <v>55</v>
      </c>
      <c r="E355" t="s">
        <v>2040</v>
      </c>
      <c r="F355" t="s">
        <v>1727</v>
      </c>
      <c r="I355">
        <f t="shared" si="30"/>
        <v>0</v>
      </c>
      <c r="J355">
        <f t="shared" si="31"/>
        <v>0</v>
      </c>
      <c r="K355">
        <f t="shared" si="32"/>
        <v>0</v>
      </c>
      <c r="L355">
        <f t="shared" si="33"/>
        <v>0</v>
      </c>
      <c r="M355">
        <f t="shared" si="34"/>
        <v>1</v>
      </c>
      <c r="N355">
        <f t="shared" si="35"/>
        <v>0</v>
      </c>
    </row>
    <row r="356" spans="1:14" x14ac:dyDescent="0.35">
      <c r="A356" t="s">
        <v>1503</v>
      </c>
      <c r="B356" t="s">
        <v>2041</v>
      </c>
      <c r="C356" s="7" t="s">
        <v>9</v>
      </c>
      <c r="D356" t="s">
        <v>473</v>
      </c>
      <c r="E356" t="s">
        <v>1854</v>
      </c>
      <c r="F356" t="s">
        <v>1754</v>
      </c>
      <c r="I356">
        <f t="shared" si="30"/>
        <v>0</v>
      </c>
      <c r="J356">
        <f t="shared" si="31"/>
        <v>0</v>
      </c>
      <c r="K356">
        <f t="shared" si="32"/>
        <v>0</v>
      </c>
      <c r="L356">
        <f t="shared" si="33"/>
        <v>1</v>
      </c>
      <c r="M356">
        <f t="shared" si="34"/>
        <v>0</v>
      </c>
      <c r="N356">
        <f t="shared" si="35"/>
        <v>0</v>
      </c>
    </row>
    <row r="357" spans="1:14" x14ac:dyDescent="0.35">
      <c r="A357" t="s">
        <v>1503</v>
      </c>
      <c r="B357" t="s">
        <v>2041</v>
      </c>
      <c r="C357" s="7" t="s">
        <v>9</v>
      </c>
      <c r="D357" t="s">
        <v>473</v>
      </c>
      <c r="E357" t="s">
        <v>2042</v>
      </c>
      <c r="F357" t="s">
        <v>1754</v>
      </c>
      <c r="I357">
        <f t="shared" si="30"/>
        <v>0</v>
      </c>
      <c r="J357">
        <f t="shared" si="31"/>
        <v>0</v>
      </c>
      <c r="K357">
        <f t="shared" si="32"/>
        <v>0</v>
      </c>
      <c r="L357">
        <f t="shared" si="33"/>
        <v>1</v>
      </c>
      <c r="M357">
        <f t="shared" si="34"/>
        <v>0</v>
      </c>
      <c r="N357">
        <f t="shared" si="35"/>
        <v>0</v>
      </c>
    </row>
    <row r="358" spans="1:14" x14ac:dyDescent="0.35">
      <c r="A358" t="s">
        <v>1228</v>
      </c>
      <c r="B358" t="s">
        <v>2043</v>
      </c>
      <c r="C358" s="7" t="s">
        <v>9</v>
      </c>
      <c r="D358" t="s">
        <v>440</v>
      </c>
      <c r="E358" t="s">
        <v>1807</v>
      </c>
      <c r="F358" t="s">
        <v>1754</v>
      </c>
      <c r="I358">
        <f t="shared" si="30"/>
        <v>0</v>
      </c>
      <c r="J358">
        <f t="shared" si="31"/>
        <v>0</v>
      </c>
      <c r="K358">
        <f t="shared" si="32"/>
        <v>0</v>
      </c>
      <c r="L358">
        <f t="shared" si="33"/>
        <v>1</v>
      </c>
      <c r="M358">
        <f t="shared" si="34"/>
        <v>0</v>
      </c>
      <c r="N358">
        <f t="shared" si="35"/>
        <v>0</v>
      </c>
    </row>
    <row r="359" spans="1:14" x14ac:dyDescent="0.35">
      <c r="A359" t="s">
        <v>1228</v>
      </c>
      <c r="B359" t="s">
        <v>2043</v>
      </c>
      <c r="C359" s="7" t="s">
        <v>9</v>
      </c>
      <c r="D359" t="s">
        <v>440</v>
      </c>
      <c r="E359" t="s">
        <v>2044</v>
      </c>
      <c r="F359" t="s">
        <v>1727</v>
      </c>
      <c r="I359">
        <f t="shared" si="30"/>
        <v>0</v>
      </c>
      <c r="J359">
        <f t="shared" si="31"/>
        <v>0</v>
      </c>
      <c r="K359">
        <f t="shared" si="32"/>
        <v>0</v>
      </c>
      <c r="L359">
        <f t="shared" si="33"/>
        <v>0</v>
      </c>
      <c r="M359">
        <f t="shared" si="34"/>
        <v>1</v>
      </c>
      <c r="N359">
        <f t="shared" si="35"/>
        <v>0</v>
      </c>
    </row>
    <row r="360" spans="1:14" x14ac:dyDescent="0.35">
      <c r="A360" t="s">
        <v>1228</v>
      </c>
      <c r="B360" t="s">
        <v>2043</v>
      </c>
      <c r="C360" s="7" t="s">
        <v>9</v>
      </c>
      <c r="D360" t="s">
        <v>440</v>
      </c>
      <c r="E360" t="s">
        <v>1806</v>
      </c>
      <c r="F360" t="s">
        <v>1754</v>
      </c>
      <c r="I360">
        <f t="shared" si="30"/>
        <v>0</v>
      </c>
      <c r="J360">
        <f t="shared" si="31"/>
        <v>0</v>
      </c>
      <c r="K360">
        <f t="shared" si="32"/>
        <v>0</v>
      </c>
      <c r="L360">
        <f t="shared" si="33"/>
        <v>1</v>
      </c>
      <c r="M360">
        <f t="shared" si="34"/>
        <v>0</v>
      </c>
      <c r="N360">
        <f t="shared" si="35"/>
        <v>0</v>
      </c>
    </row>
    <row r="361" spans="1:14" x14ac:dyDescent="0.35">
      <c r="A361" t="s">
        <v>379</v>
      </c>
      <c r="B361" t="s">
        <v>2045</v>
      </c>
      <c r="C361" s="7" t="s">
        <v>9</v>
      </c>
      <c r="D361" t="s">
        <v>152</v>
      </c>
      <c r="E361" t="s">
        <v>1883</v>
      </c>
      <c r="F361" t="s">
        <v>1754</v>
      </c>
      <c r="I361">
        <f t="shared" si="30"/>
        <v>0</v>
      </c>
      <c r="J361">
        <f t="shared" si="31"/>
        <v>0</v>
      </c>
      <c r="K361">
        <f t="shared" si="32"/>
        <v>0</v>
      </c>
      <c r="L361">
        <f t="shared" si="33"/>
        <v>1</v>
      </c>
      <c r="M361">
        <f t="shared" si="34"/>
        <v>0</v>
      </c>
      <c r="N361">
        <f t="shared" si="35"/>
        <v>0</v>
      </c>
    </row>
    <row r="362" spans="1:14" x14ac:dyDescent="0.35">
      <c r="A362" t="s">
        <v>379</v>
      </c>
      <c r="B362" t="s">
        <v>2045</v>
      </c>
      <c r="C362" s="7" t="s">
        <v>9</v>
      </c>
      <c r="D362" t="s">
        <v>152</v>
      </c>
      <c r="E362" t="s">
        <v>1882</v>
      </c>
      <c r="F362" t="s">
        <v>1754</v>
      </c>
      <c r="I362">
        <f t="shared" si="30"/>
        <v>0</v>
      </c>
      <c r="J362">
        <f t="shared" si="31"/>
        <v>0</v>
      </c>
      <c r="K362">
        <f t="shared" si="32"/>
        <v>0</v>
      </c>
      <c r="L362">
        <f t="shared" si="33"/>
        <v>1</v>
      </c>
      <c r="M362">
        <f t="shared" si="34"/>
        <v>0</v>
      </c>
      <c r="N362">
        <f t="shared" si="35"/>
        <v>0</v>
      </c>
    </row>
    <row r="363" spans="1:14" x14ac:dyDescent="0.35">
      <c r="A363" t="s">
        <v>379</v>
      </c>
      <c r="B363" t="s">
        <v>2045</v>
      </c>
      <c r="C363" s="7" t="s">
        <v>9</v>
      </c>
      <c r="D363" t="s">
        <v>152</v>
      </c>
      <c r="E363" t="s">
        <v>2046</v>
      </c>
      <c r="F363" t="s">
        <v>1754</v>
      </c>
      <c r="I363">
        <f t="shared" si="30"/>
        <v>0</v>
      </c>
      <c r="J363">
        <f t="shared" si="31"/>
        <v>0</v>
      </c>
      <c r="K363">
        <f t="shared" si="32"/>
        <v>0</v>
      </c>
      <c r="L363">
        <f t="shared" si="33"/>
        <v>1</v>
      </c>
      <c r="M363">
        <f t="shared" si="34"/>
        <v>0</v>
      </c>
      <c r="N363">
        <f t="shared" si="35"/>
        <v>0</v>
      </c>
    </row>
    <row r="364" spans="1:14" x14ac:dyDescent="0.35">
      <c r="A364" t="s">
        <v>1441</v>
      </c>
      <c r="B364" t="s">
        <v>2047</v>
      </c>
      <c r="C364" s="7" t="s">
        <v>9</v>
      </c>
      <c r="D364" t="s">
        <v>447</v>
      </c>
      <c r="E364" t="s">
        <v>1910</v>
      </c>
      <c r="F364" t="s">
        <v>1754</v>
      </c>
      <c r="I364">
        <f t="shared" si="30"/>
        <v>0</v>
      </c>
      <c r="J364">
        <f t="shared" si="31"/>
        <v>0</v>
      </c>
      <c r="K364">
        <f t="shared" si="32"/>
        <v>0</v>
      </c>
      <c r="L364">
        <f t="shared" si="33"/>
        <v>1</v>
      </c>
      <c r="M364">
        <f t="shared" si="34"/>
        <v>0</v>
      </c>
      <c r="N364">
        <f t="shared" si="35"/>
        <v>0</v>
      </c>
    </row>
    <row r="365" spans="1:14" x14ac:dyDescent="0.35">
      <c r="A365" t="s">
        <v>1441</v>
      </c>
      <c r="B365" t="s">
        <v>2047</v>
      </c>
      <c r="C365" s="7" t="s">
        <v>9</v>
      </c>
      <c r="D365" t="s">
        <v>447</v>
      </c>
      <c r="E365" t="s">
        <v>1911</v>
      </c>
      <c r="F365" t="s">
        <v>1754</v>
      </c>
      <c r="I365">
        <f t="shared" si="30"/>
        <v>0</v>
      </c>
      <c r="J365">
        <f t="shared" si="31"/>
        <v>0</v>
      </c>
      <c r="K365">
        <f t="shared" si="32"/>
        <v>0</v>
      </c>
      <c r="L365">
        <f t="shared" si="33"/>
        <v>1</v>
      </c>
      <c r="M365">
        <f t="shared" si="34"/>
        <v>0</v>
      </c>
      <c r="N365">
        <f t="shared" si="35"/>
        <v>0</v>
      </c>
    </row>
    <row r="366" spans="1:14" x14ac:dyDescent="0.35">
      <c r="A366" t="s">
        <v>1441</v>
      </c>
      <c r="B366" t="s">
        <v>2047</v>
      </c>
      <c r="C366" s="7" t="s">
        <v>9</v>
      </c>
      <c r="D366" t="s">
        <v>447</v>
      </c>
      <c r="E366" t="s">
        <v>2048</v>
      </c>
      <c r="F366" t="s">
        <v>1727</v>
      </c>
      <c r="I366">
        <f t="shared" si="30"/>
        <v>0</v>
      </c>
      <c r="J366">
        <f t="shared" si="31"/>
        <v>0</v>
      </c>
      <c r="K366">
        <f t="shared" si="32"/>
        <v>0</v>
      </c>
      <c r="L366">
        <f t="shared" si="33"/>
        <v>0</v>
      </c>
      <c r="M366">
        <f t="shared" si="34"/>
        <v>1</v>
      </c>
      <c r="N366">
        <f t="shared" si="35"/>
        <v>0</v>
      </c>
    </row>
    <row r="367" spans="1:14" x14ac:dyDescent="0.35">
      <c r="A367" t="s">
        <v>337</v>
      </c>
      <c r="B367" t="s">
        <v>2049</v>
      </c>
      <c r="C367" s="7" t="s">
        <v>9</v>
      </c>
      <c r="D367" t="s">
        <v>111</v>
      </c>
      <c r="E367" t="s">
        <v>1870</v>
      </c>
      <c r="F367" t="s">
        <v>1727</v>
      </c>
      <c r="I367">
        <f t="shared" si="30"/>
        <v>0</v>
      </c>
      <c r="J367">
        <f t="shared" si="31"/>
        <v>0</v>
      </c>
      <c r="K367">
        <f t="shared" si="32"/>
        <v>0</v>
      </c>
      <c r="L367">
        <f t="shared" si="33"/>
        <v>0</v>
      </c>
      <c r="M367">
        <f t="shared" si="34"/>
        <v>1</v>
      </c>
      <c r="N367">
        <f t="shared" si="35"/>
        <v>0</v>
      </c>
    </row>
    <row r="368" spans="1:14" x14ac:dyDescent="0.35">
      <c r="A368" t="s">
        <v>624</v>
      </c>
      <c r="B368" t="s">
        <v>2050</v>
      </c>
      <c r="C368" s="7" t="s">
        <v>9</v>
      </c>
      <c r="D368" t="s">
        <v>55</v>
      </c>
      <c r="E368" t="s">
        <v>1806</v>
      </c>
      <c r="F368" t="s">
        <v>1754</v>
      </c>
      <c r="I368">
        <f t="shared" si="30"/>
        <v>0</v>
      </c>
      <c r="J368">
        <f t="shared" si="31"/>
        <v>0</v>
      </c>
      <c r="K368">
        <f t="shared" si="32"/>
        <v>0</v>
      </c>
      <c r="L368">
        <f t="shared" si="33"/>
        <v>1</v>
      </c>
      <c r="M368">
        <f t="shared" si="34"/>
        <v>0</v>
      </c>
      <c r="N368">
        <f t="shared" si="35"/>
        <v>0</v>
      </c>
    </row>
    <row r="369" spans="1:14" x14ac:dyDescent="0.35">
      <c r="A369" t="s">
        <v>624</v>
      </c>
      <c r="B369" t="s">
        <v>2050</v>
      </c>
      <c r="C369" s="7" t="s">
        <v>9</v>
      </c>
      <c r="D369" t="s">
        <v>55</v>
      </c>
      <c r="E369" t="s">
        <v>1807</v>
      </c>
      <c r="F369" t="s">
        <v>1754</v>
      </c>
      <c r="I369">
        <f t="shared" si="30"/>
        <v>0</v>
      </c>
      <c r="J369">
        <f t="shared" si="31"/>
        <v>0</v>
      </c>
      <c r="K369">
        <f t="shared" si="32"/>
        <v>0</v>
      </c>
      <c r="L369">
        <f t="shared" si="33"/>
        <v>1</v>
      </c>
      <c r="M369">
        <f t="shared" si="34"/>
        <v>0</v>
      </c>
      <c r="N369">
        <f t="shared" si="35"/>
        <v>0</v>
      </c>
    </row>
    <row r="370" spans="1:14" x14ac:dyDescent="0.35">
      <c r="A370" t="s">
        <v>624</v>
      </c>
      <c r="B370" t="s">
        <v>2050</v>
      </c>
      <c r="C370" s="7" t="s">
        <v>9</v>
      </c>
      <c r="D370" t="s">
        <v>55</v>
      </c>
      <c r="E370" t="s">
        <v>1828</v>
      </c>
      <c r="F370" t="s">
        <v>1754</v>
      </c>
      <c r="I370">
        <f t="shared" si="30"/>
        <v>0</v>
      </c>
      <c r="J370">
        <f t="shared" si="31"/>
        <v>0</v>
      </c>
      <c r="K370">
        <f t="shared" si="32"/>
        <v>0</v>
      </c>
      <c r="L370">
        <f t="shared" si="33"/>
        <v>1</v>
      </c>
      <c r="M370">
        <f t="shared" si="34"/>
        <v>0</v>
      </c>
      <c r="N370">
        <f t="shared" si="35"/>
        <v>0</v>
      </c>
    </row>
    <row r="371" spans="1:14" x14ac:dyDescent="0.35">
      <c r="A371" t="s">
        <v>624</v>
      </c>
      <c r="B371" t="s">
        <v>2050</v>
      </c>
      <c r="C371" s="7" t="s">
        <v>9</v>
      </c>
      <c r="D371" t="s">
        <v>55</v>
      </c>
      <c r="E371" t="s">
        <v>1875</v>
      </c>
      <c r="F371" t="s">
        <v>1727</v>
      </c>
      <c r="I371">
        <f t="shared" si="30"/>
        <v>0</v>
      </c>
      <c r="J371">
        <f t="shared" si="31"/>
        <v>0</v>
      </c>
      <c r="K371">
        <f t="shared" si="32"/>
        <v>0</v>
      </c>
      <c r="L371">
        <f t="shared" si="33"/>
        <v>0</v>
      </c>
      <c r="M371">
        <f t="shared" si="34"/>
        <v>1</v>
      </c>
      <c r="N371">
        <f t="shared" si="35"/>
        <v>0</v>
      </c>
    </row>
    <row r="372" spans="1:14" x14ac:dyDescent="0.35">
      <c r="A372" t="s">
        <v>1328</v>
      </c>
      <c r="B372" t="s">
        <v>2051</v>
      </c>
      <c r="C372" s="7" t="s">
        <v>9</v>
      </c>
      <c r="D372" t="s">
        <v>111</v>
      </c>
      <c r="E372" t="s">
        <v>1984</v>
      </c>
      <c r="F372" t="s">
        <v>1727</v>
      </c>
      <c r="I372">
        <f t="shared" si="30"/>
        <v>0</v>
      </c>
      <c r="J372">
        <f t="shared" si="31"/>
        <v>0</v>
      </c>
      <c r="K372">
        <f t="shared" si="32"/>
        <v>0</v>
      </c>
      <c r="L372">
        <f t="shared" si="33"/>
        <v>0</v>
      </c>
      <c r="M372">
        <f t="shared" si="34"/>
        <v>1</v>
      </c>
      <c r="N372">
        <f t="shared" si="35"/>
        <v>0</v>
      </c>
    </row>
    <row r="373" spans="1:14" x14ac:dyDescent="0.35">
      <c r="A373" t="s">
        <v>652</v>
      </c>
      <c r="B373" t="s">
        <v>2052</v>
      </c>
      <c r="C373" s="7" t="s">
        <v>9</v>
      </c>
      <c r="D373" t="s">
        <v>51</v>
      </c>
      <c r="E373" t="s">
        <v>2053</v>
      </c>
      <c r="F373" t="s">
        <v>1805</v>
      </c>
      <c r="G373" t="s">
        <v>2054</v>
      </c>
      <c r="H373" t="s">
        <v>2055</v>
      </c>
      <c r="I373">
        <f t="shared" si="30"/>
        <v>0</v>
      </c>
      <c r="J373">
        <f t="shared" si="31"/>
        <v>1</v>
      </c>
      <c r="K373">
        <f t="shared" si="32"/>
        <v>0</v>
      </c>
      <c r="L373">
        <f t="shared" si="33"/>
        <v>0</v>
      </c>
      <c r="M373">
        <f t="shared" si="34"/>
        <v>0</v>
      </c>
      <c r="N373">
        <f t="shared" si="35"/>
        <v>1</v>
      </c>
    </row>
    <row r="374" spans="1:14" x14ac:dyDescent="0.35">
      <c r="A374" t="s">
        <v>652</v>
      </c>
      <c r="B374" t="s">
        <v>2052</v>
      </c>
      <c r="C374" s="7" t="s">
        <v>9</v>
      </c>
      <c r="D374" t="s">
        <v>51</v>
      </c>
      <c r="E374" t="s">
        <v>1980</v>
      </c>
      <c r="F374" t="s">
        <v>1805</v>
      </c>
      <c r="G374" t="s">
        <v>2054</v>
      </c>
      <c r="H374" t="s">
        <v>2055</v>
      </c>
      <c r="I374">
        <f t="shared" si="30"/>
        <v>0</v>
      </c>
      <c r="J374">
        <f t="shared" si="31"/>
        <v>1</v>
      </c>
      <c r="K374">
        <f t="shared" si="32"/>
        <v>0</v>
      </c>
      <c r="L374">
        <f t="shared" si="33"/>
        <v>0</v>
      </c>
      <c r="M374">
        <f t="shared" si="34"/>
        <v>0</v>
      </c>
      <c r="N374">
        <f t="shared" si="35"/>
        <v>1</v>
      </c>
    </row>
    <row r="375" spans="1:14" x14ac:dyDescent="0.35">
      <c r="A375" t="s">
        <v>1437</v>
      </c>
      <c r="B375" t="s">
        <v>2056</v>
      </c>
      <c r="C375" s="7" t="s">
        <v>9</v>
      </c>
      <c r="D375" t="s">
        <v>55</v>
      </c>
      <c r="E375" t="s">
        <v>1818</v>
      </c>
      <c r="F375" t="s">
        <v>1760</v>
      </c>
      <c r="I375">
        <f t="shared" si="30"/>
        <v>0</v>
      </c>
      <c r="J375">
        <f t="shared" si="31"/>
        <v>0</v>
      </c>
      <c r="K375">
        <f t="shared" si="32"/>
        <v>1</v>
      </c>
      <c r="L375">
        <f t="shared" si="33"/>
        <v>0</v>
      </c>
      <c r="M375">
        <f t="shared" si="34"/>
        <v>0</v>
      </c>
      <c r="N375">
        <f t="shared" si="35"/>
        <v>0</v>
      </c>
    </row>
    <row r="376" spans="1:14" x14ac:dyDescent="0.35">
      <c r="A376" t="s">
        <v>1437</v>
      </c>
      <c r="B376" t="s">
        <v>2056</v>
      </c>
      <c r="C376" s="7" t="s">
        <v>9</v>
      </c>
      <c r="D376" t="s">
        <v>55</v>
      </c>
      <c r="E376" t="s">
        <v>2057</v>
      </c>
      <c r="F376" t="s">
        <v>1754</v>
      </c>
      <c r="I376">
        <f t="shared" si="30"/>
        <v>0</v>
      </c>
      <c r="J376">
        <f t="shared" si="31"/>
        <v>0</v>
      </c>
      <c r="K376">
        <f t="shared" si="32"/>
        <v>0</v>
      </c>
      <c r="L376">
        <f t="shared" si="33"/>
        <v>1</v>
      </c>
      <c r="M376">
        <f t="shared" si="34"/>
        <v>0</v>
      </c>
      <c r="N376">
        <f t="shared" si="35"/>
        <v>0</v>
      </c>
    </row>
    <row r="377" spans="1:14" x14ac:dyDescent="0.35">
      <c r="A377" t="s">
        <v>1437</v>
      </c>
      <c r="B377" t="s">
        <v>2056</v>
      </c>
      <c r="C377" s="7" t="s">
        <v>9</v>
      </c>
      <c r="D377" t="s">
        <v>55</v>
      </c>
      <c r="E377" t="s">
        <v>2058</v>
      </c>
      <c r="F377" t="s">
        <v>1754</v>
      </c>
      <c r="I377">
        <f t="shared" si="30"/>
        <v>0</v>
      </c>
      <c r="J377">
        <f t="shared" si="31"/>
        <v>0</v>
      </c>
      <c r="K377">
        <f t="shared" si="32"/>
        <v>0</v>
      </c>
      <c r="L377">
        <f t="shared" si="33"/>
        <v>1</v>
      </c>
      <c r="M377">
        <f t="shared" si="34"/>
        <v>0</v>
      </c>
      <c r="N377">
        <f t="shared" si="35"/>
        <v>0</v>
      </c>
    </row>
    <row r="378" spans="1:14" x14ac:dyDescent="0.35">
      <c r="A378" t="s">
        <v>670</v>
      </c>
      <c r="B378" t="s">
        <v>2059</v>
      </c>
      <c r="C378" s="7" t="s">
        <v>9</v>
      </c>
      <c r="D378" t="s">
        <v>51</v>
      </c>
      <c r="E378" t="s">
        <v>1894</v>
      </c>
      <c r="F378" t="s">
        <v>1754</v>
      </c>
      <c r="I378">
        <f t="shared" si="30"/>
        <v>0</v>
      </c>
      <c r="J378">
        <f t="shared" si="31"/>
        <v>0</v>
      </c>
      <c r="K378">
        <f t="shared" si="32"/>
        <v>0</v>
      </c>
      <c r="L378">
        <f t="shared" si="33"/>
        <v>1</v>
      </c>
      <c r="M378">
        <f t="shared" si="34"/>
        <v>0</v>
      </c>
      <c r="N378">
        <f t="shared" si="35"/>
        <v>0</v>
      </c>
    </row>
    <row r="379" spans="1:14" x14ac:dyDescent="0.35">
      <c r="A379" t="s">
        <v>670</v>
      </c>
      <c r="B379" t="s">
        <v>2059</v>
      </c>
      <c r="C379" s="7" t="s">
        <v>9</v>
      </c>
      <c r="D379" t="s">
        <v>51</v>
      </c>
      <c r="E379" t="s">
        <v>1896</v>
      </c>
      <c r="F379" t="s">
        <v>1754</v>
      </c>
      <c r="I379">
        <f t="shared" si="30"/>
        <v>0</v>
      </c>
      <c r="J379">
        <f t="shared" si="31"/>
        <v>0</v>
      </c>
      <c r="K379">
        <f t="shared" si="32"/>
        <v>0</v>
      </c>
      <c r="L379">
        <f t="shared" si="33"/>
        <v>1</v>
      </c>
      <c r="M379">
        <f t="shared" si="34"/>
        <v>0</v>
      </c>
      <c r="N379">
        <f t="shared" si="35"/>
        <v>0</v>
      </c>
    </row>
    <row r="380" spans="1:14" x14ac:dyDescent="0.35">
      <c r="A380" t="s">
        <v>670</v>
      </c>
      <c r="B380" t="s">
        <v>2059</v>
      </c>
      <c r="C380" s="7" t="s">
        <v>9</v>
      </c>
      <c r="D380" t="s">
        <v>51</v>
      </c>
      <c r="E380" t="s">
        <v>1860</v>
      </c>
      <c r="F380" t="s">
        <v>1754</v>
      </c>
      <c r="I380">
        <f t="shared" si="30"/>
        <v>0</v>
      </c>
      <c r="J380">
        <f t="shared" si="31"/>
        <v>0</v>
      </c>
      <c r="K380">
        <f t="shared" si="32"/>
        <v>0</v>
      </c>
      <c r="L380">
        <f t="shared" si="33"/>
        <v>1</v>
      </c>
      <c r="M380">
        <f t="shared" si="34"/>
        <v>0</v>
      </c>
      <c r="N380">
        <f t="shared" si="35"/>
        <v>0</v>
      </c>
    </row>
    <row r="381" spans="1:14" x14ac:dyDescent="0.35">
      <c r="A381" t="s">
        <v>670</v>
      </c>
      <c r="B381" t="s">
        <v>2059</v>
      </c>
      <c r="C381" s="7" t="s">
        <v>9</v>
      </c>
      <c r="D381" t="s">
        <v>51</v>
      </c>
      <c r="E381" t="s">
        <v>1931</v>
      </c>
      <c r="F381" t="s">
        <v>1754</v>
      </c>
      <c r="I381">
        <f t="shared" si="30"/>
        <v>0</v>
      </c>
      <c r="J381">
        <f t="shared" si="31"/>
        <v>0</v>
      </c>
      <c r="K381">
        <f t="shared" si="32"/>
        <v>0</v>
      </c>
      <c r="L381">
        <f t="shared" si="33"/>
        <v>1</v>
      </c>
      <c r="M381">
        <f t="shared" si="34"/>
        <v>0</v>
      </c>
      <c r="N381">
        <f t="shared" si="35"/>
        <v>0</v>
      </c>
    </row>
    <row r="382" spans="1:14" x14ac:dyDescent="0.35">
      <c r="A382" t="s">
        <v>670</v>
      </c>
      <c r="B382" t="s">
        <v>2059</v>
      </c>
      <c r="C382" s="7" t="s">
        <v>9</v>
      </c>
      <c r="D382" t="s">
        <v>51</v>
      </c>
      <c r="E382" t="s">
        <v>1928</v>
      </c>
      <c r="F382" t="s">
        <v>1754</v>
      </c>
      <c r="I382">
        <f t="shared" si="30"/>
        <v>0</v>
      </c>
      <c r="J382">
        <f t="shared" si="31"/>
        <v>0</v>
      </c>
      <c r="K382">
        <f t="shared" si="32"/>
        <v>0</v>
      </c>
      <c r="L382">
        <f t="shared" si="33"/>
        <v>1</v>
      </c>
      <c r="M382">
        <f t="shared" si="34"/>
        <v>0</v>
      </c>
      <c r="N382">
        <f t="shared" si="35"/>
        <v>0</v>
      </c>
    </row>
    <row r="383" spans="1:14" x14ac:dyDescent="0.35">
      <c r="A383" t="s">
        <v>1647</v>
      </c>
      <c r="B383" t="s">
        <v>2060</v>
      </c>
      <c r="C383" s="7" t="s">
        <v>9</v>
      </c>
      <c r="D383" t="s">
        <v>92</v>
      </c>
      <c r="E383" t="s">
        <v>2042</v>
      </c>
      <c r="F383" t="s">
        <v>1754</v>
      </c>
      <c r="I383">
        <f t="shared" si="30"/>
        <v>0</v>
      </c>
      <c r="J383">
        <f t="shared" si="31"/>
        <v>0</v>
      </c>
      <c r="K383">
        <f t="shared" si="32"/>
        <v>0</v>
      </c>
      <c r="L383">
        <f t="shared" si="33"/>
        <v>1</v>
      </c>
      <c r="M383">
        <f t="shared" si="34"/>
        <v>0</v>
      </c>
      <c r="N383">
        <f t="shared" si="35"/>
        <v>0</v>
      </c>
    </row>
    <row r="384" spans="1:14" x14ac:dyDescent="0.35">
      <c r="A384" t="s">
        <v>1647</v>
      </c>
      <c r="B384" t="s">
        <v>2060</v>
      </c>
      <c r="C384" s="7" t="s">
        <v>9</v>
      </c>
      <c r="D384" t="s">
        <v>92</v>
      </c>
      <c r="E384" t="s">
        <v>1854</v>
      </c>
      <c r="F384" t="s">
        <v>1754</v>
      </c>
      <c r="I384">
        <f t="shared" si="30"/>
        <v>0</v>
      </c>
      <c r="J384">
        <f t="shared" si="31"/>
        <v>0</v>
      </c>
      <c r="K384">
        <f t="shared" si="32"/>
        <v>0</v>
      </c>
      <c r="L384">
        <f t="shared" si="33"/>
        <v>1</v>
      </c>
      <c r="M384">
        <f t="shared" si="34"/>
        <v>0</v>
      </c>
      <c r="N384">
        <f t="shared" si="35"/>
        <v>0</v>
      </c>
    </row>
    <row r="385" spans="1:14" x14ac:dyDescent="0.35">
      <c r="A385" t="s">
        <v>1418</v>
      </c>
      <c r="B385" t="s">
        <v>2061</v>
      </c>
      <c r="C385" s="7" t="s">
        <v>9</v>
      </c>
      <c r="D385" t="s">
        <v>55</v>
      </c>
      <c r="E385" t="s">
        <v>1828</v>
      </c>
      <c r="F385" t="s">
        <v>1754</v>
      </c>
      <c r="I385">
        <f t="shared" si="30"/>
        <v>0</v>
      </c>
      <c r="J385">
        <f t="shared" si="31"/>
        <v>0</v>
      </c>
      <c r="K385">
        <f t="shared" si="32"/>
        <v>0</v>
      </c>
      <c r="L385">
        <f t="shared" si="33"/>
        <v>1</v>
      </c>
      <c r="M385">
        <f t="shared" si="34"/>
        <v>0</v>
      </c>
      <c r="N385">
        <f t="shared" si="35"/>
        <v>0</v>
      </c>
    </row>
    <row r="386" spans="1:14" x14ac:dyDescent="0.35">
      <c r="A386" t="s">
        <v>1418</v>
      </c>
      <c r="B386" t="s">
        <v>2061</v>
      </c>
      <c r="C386" s="7" t="s">
        <v>9</v>
      </c>
      <c r="D386" t="s">
        <v>55</v>
      </c>
      <c r="E386" t="s">
        <v>1806</v>
      </c>
      <c r="F386" t="s">
        <v>1754</v>
      </c>
      <c r="I386">
        <f t="shared" si="30"/>
        <v>0</v>
      </c>
      <c r="J386">
        <f t="shared" si="31"/>
        <v>0</v>
      </c>
      <c r="K386">
        <f t="shared" si="32"/>
        <v>0</v>
      </c>
      <c r="L386">
        <f t="shared" si="33"/>
        <v>1</v>
      </c>
      <c r="M386">
        <f t="shared" si="34"/>
        <v>0</v>
      </c>
      <c r="N386">
        <f t="shared" si="35"/>
        <v>0</v>
      </c>
    </row>
    <row r="387" spans="1:14" x14ac:dyDescent="0.35">
      <c r="A387" t="s">
        <v>1418</v>
      </c>
      <c r="B387" t="s">
        <v>2061</v>
      </c>
      <c r="C387" s="7" t="s">
        <v>9</v>
      </c>
      <c r="D387" t="s">
        <v>55</v>
      </c>
      <c r="E387" t="s">
        <v>1807</v>
      </c>
      <c r="F387" t="s">
        <v>1754</v>
      </c>
      <c r="I387">
        <f t="shared" ref="I387:I450" si="36">IF($F387=$F$1,1,0)</f>
        <v>0</v>
      </c>
      <c r="J387">
        <f t="shared" ref="J387:J450" si="37">IF($F387=$J$1,1,0)</f>
        <v>0</v>
      </c>
      <c r="K387">
        <f t="shared" ref="K387:K450" si="38">IF($F387=$K$1,1,0)</f>
        <v>0</v>
      </c>
      <c r="L387">
        <f t="shared" ref="L387:L450" si="39">IF($F387=$L$1,1,0)</f>
        <v>1</v>
      </c>
      <c r="M387">
        <f t="shared" ref="M387:M450" si="40">IF($F387=$M$1,1,0)</f>
        <v>0</v>
      </c>
      <c r="N387">
        <f t="shared" ref="N387:N450" si="41">IF($G387&lt;&gt;"",1,0)</f>
        <v>0</v>
      </c>
    </row>
    <row r="388" spans="1:14" x14ac:dyDescent="0.35">
      <c r="A388" t="s">
        <v>1418</v>
      </c>
      <c r="B388" t="s">
        <v>2061</v>
      </c>
      <c r="C388" s="7" t="s">
        <v>9</v>
      </c>
      <c r="D388" t="s">
        <v>55</v>
      </c>
      <c r="E388" t="s">
        <v>2062</v>
      </c>
      <c r="F388" t="s">
        <v>1727</v>
      </c>
      <c r="I388">
        <f t="shared" si="36"/>
        <v>0</v>
      </c>
      <c r="J388">
        <f t="shared" si="37"/>
        <v>0</v>
      </c>
      <c r="K388">
        <f t="shared" si="38"/>
        <v>0</v>
      </c>
      <c r="L388">
        <f t="shared" si="39"/>
        <v>0</v>
      </c>
      <c r="M388">
        <f t="shared" si="40"/>
        <v>1</v>
      </c>
      <c r="N388">
        <f t="shared" si="41"/>
        <v>0</v>
      </c>
    </row>
    <row r="389" spans="1:14" x14ac:dyDescent="0.35">
      <c r="A389" t="s">
        <v>895</v>
      </c>
      <c r="B389" t="s">
        <v>2063</v>
      </c>
      <c r="C389" s="7" t="s">
        <v>9</v>
      </c>
      <c r="D389" t="s">
        <v>100</v>
      </c>
      <c r="E389" t="s">
        <v>1894</v>
      </c>
      <c r="F389" t="s">
        <v>1754</v>
      </c>
      <c r="I389">
        <f t="shared" si="36"/>
        <v>0</v>
      </c>
      <c r="J389">
        <f t="shared" si="37"/>
        <v>0</v>
      </c>
      <c r="K389">
        <f t="shared" si="38"/>
        <v>0</v>
      </c>
      <c r="L389">
        <f t="shared" si="39"/>
        <v>1</v>
      </c>
      <c r="M389">
        <f t="shared" si="40"/>
        <v>0</v>
      </c>
      <c r="N389">
        <f t="shared" si="41"/>
        <v>0</v>
      </c>
    </row>
    <row r="390" spans="1:14" x14ac:dyDescent="0.35">
      <c r="A390" t="s">
        <v>895</v>
      </c>
      <c r="B390" t="s">
        <v>2063</v>
      </c>
      <c r="C390" s="7" t="s">
        <v>9</v>
      </c>
      <c r="D390" t="s">
        <v>100</v>
      </c>
      <c r="E390" t="s">
        <v>1896</v>
      </c>
      <c r="F390" t="s">
        <v>1754</v>
      </c>
      <c r="I390">
        <f t="shared" si="36"/>
        <v>0</v>
      </c>
      <c r="J390">
        <f t="shared" si="37"/>
        <v>0</v>
      </c>
      <c r="K390">
        <f t="shared" si="38"/>
        <v>0</v>
      </c>
      <c r="L390">
        <f t="shared" si="39"/>
        <v>1</v>
      </c>
      <c r="M390">
        <f t="shared" si="40"/>
        <v>0</v>
      </c>
      <c r="N390">
        <f t="shared" si="41"/>
        <v>0</v>
      </c>
    </row>
    <row r="391" spans="1:14" x14ac:dyDescent="0.35">
      <c r="A391" t="s">
        <v>895</v>
      </c>
      <c r="B391" t="s">
        <v>2063</v>
      </c>
      <c r="C391" s="7" t="s">
        <v>9</v>
      </c>
      <c r="D391" t="s">
        <v>100</v>
      </c>
      <c r="E391" t="s">
        <v>1945</v>
      </c>
      <c r="F391" t="s">
        <v>1754</v>
      </c>
      <c r="I391">
        <f t="shared" si="36"/>
        <v>0</v>
      </c>
      <c r="J391">
        <f t="shared" si="37"/>
        <v>0</v>
      </c>
      <c r="K391">
        <f t="shared" si="38"/>
        <v>0</v>
      </c>
      <c r="L391">
        <f t="shared" si="39"/>
        <v>1</v>
      </c>
      <c r="M391">
        <f t="shared" si="40"/>
        <v>0</v>
      </c>
      <c r="N391">
        <f t="shared" si="41"/>
        <v>0</v>
      </c>
    </row>
    <row r="392" spans="1:14" x14ac:dyDescent="0.35">
      <c r="A392" t="s">
        <v>895</v>
      </c>
      <c r="B392" t="s">
        <v>2063</v>
      </c>
      <c r="C392" s="7" t="s">
        <v>9</v>
      </c>
      <c r="D392" t="s">
        <v>100</v>
      </c>
      <c r="E392" t="s">
        <v>1946</v>
      </c>
      <c r="F392" t="s">
        <v>1754</v>
      </c>
      <c r="I392">
        <f t="shared" si="36"/>
        <v>0</v>
      </c>
      <c r="J392">
        <f t="shared" si="37"/>
        <v>0</v>
      </c>
      <c r="K392">
        <f t="shared" si="38"/>
        <v>0</v>
      </c>
      <c r="L392">
        <f t="shared" si="39"/>
        <v>1</v>
      </c>
      <c r="M392">
        <f t="shared" si="40"/>
        <v>0</v>
      </c>
      <c r="N392">
        <f t="shared" si="41"/>
        <v>0</v>
      </c>
    </row>
    <row r="393" spans="1:14" x14ac:dyDescent="0.35">
      <c r="A393" t="s">
        <v>895</v>
      </c>
      <c r="B393" t="s">
        <v>2063</v>
      </c>
      <c r="C393" s="7" t="s">
        <v>9</v>
      </c>
      <c r="D393" t="s">
        <v>100</v>
      </c>
      <c r="E393" t="s">
        <v>2064</v>
      </c>
      <c r="F393" t="s">
        <v>1727</v>
      </c>
      <c r="I393">
        <f t="shared" si="36"/>
        <v>0</v>
      </c>
      <c r="J393">
        <f t="shared" si="37"/>
        <v>0</v>
      </c>
      <c r="K393">
        <f t="shared" si="38"/>
        <v>0</v>
      </c>
      <c r="L393">
        <f t="shared" si="39"/>
        <v>0</v>
      </c>
      <c r="M393">
        <f t="shared" si="40"/>
        <v>1</v>
      </c>
      <c r="N393">
        <f t="shared" si="41"/>
        <v>0</v>
      </c>
    </row>
    <row r="394" spans="1:14" x14ac:dyDescent="0.35">
      <c r="A394" t="s">
        <v>1650</v>
      </c>
      <c r="B394" t="s">
        <v>2065</v>
      </c>
      <c r="C394" s="7" t="s">
        <v>9</v>
      </c>
      <c r="D394" t="s">
        <v>1652</v>
      </c>
      <c r="E394" t="s">
        <v>1911</v>
      </c>
      <c r="F394" t="s">
        <v>1754</v>
      </c>
      <c r="I394">
        <f t="shared" si="36"/>
        <v>0</v>
      </c>
      <c r="J394">
        <f t="shared" si="37"/>
        <v>0</v>
      </c>
      <c r="K394">
        <f t="shared" si="38"/>
        <v>0</v>
      </c>
      <c r="L394">
        <f t="shared" si="39"/>
        <v>1</v>
      </c>
      <c r="M394">
        <f t="shared" si="40"/>
        <v>0</v>
      </c>
      <c r="N394">
        <f t="shared" si="41"/>
        <v>0</v>
      </c>
    </row>
    <row r="395" spans="1:14" x14ac:dyDescent="0.35">
      <c r="A395" t="s">
        <v>1650</v>
      </c>
      <c r="B395" t="s">
        <v>2065</v>
      </c>
      <c r="C395" s="7" t="s">
        <v>9</v>
      </c>
      <c r="D395" t="s">
        <v>1652</v>
      </c>
      <c r="E395" t="s">
        <v>1910</v>
      </c>
      <c r="F395" t="s">
        <v>1754</v>
      </c>
      <c r="I395">
        <f t="shared" si="36"/>
        <v>0</v>
      </c>
      <c r="J395">
        <f t="shared" si="37"/>
        <v>0</v>
      </c>
      <c r="K395">
        <f t="shared" si="38"/>
        <v>0</v>
      </c>
      <c r="L395">
        <f t="shared" si="39"/>
        <v>1</v>
      </c>
      <c r="M395">
        <f t="shared" si="40"/>
        <v>0</v>
      </c>
      <c r="N395">
        <f t="shared" si="41"/>
        <v>0</v>
      </c>
    </row>
    <row r="396" spans="1:14" x14ac:dyDescent="0.35">
      <c r="A396" t="s">
        <v>997</v>
      </c>
      <c r="B396" t="s">
        <v>2066</v>
      </c>
      <c r="C396" s="7" t="s">
        <v>9</v>
      </c>
      <c r="D396" t="s">
        <v>55</v>
      </c>
      <c r="E396" t="s">
        <v>1839</v>
      </c>
      <c r="F396" t="s">
        <v>1760</v>
      </c>
      <c r="I396">
        <f t="shared" si="36"/>
        <v>0</v>
      </c>
      <c r="J396">
        <f t="shared" si="37"/>
        <v>0</v>
      </c>
      <c r="K396">
        <f t="shared" si="38"/>
        <v>1</v>
      </c>
      <c r="L396">
        <f t="shared" si="39"/>
        <v>0</v>
      </c>
      <c r="M396">
        <f t="shared" si="40"/>
        <v>0</v>
      </c>
      <c r="N396">
        <f t="shared" si="41"/>
        <v>0</v>
      </c>
    </row>
    <row r="397" spans="1:14" x14ac:dyDescent="0.35">
      <c r="A397" t="s">
        <v>997</v>
      </c>
      <c r="B397" t="s">
        <v>2066</v>
      </c>
      <c r="C397" s="7" t="s">
        <v>9</v>
      </c>
      <c r="D397" t="s">
        <v>55</v>
      </c>
      <c r="E397" t="s">
        <v>1858</v>
      </c>
      <c r="F397" t="s">
        <v>1760</v>
      </c>
      <c r="I397">
        <f t="shared" si="36"/>
        <v>0</v>
      </c>
      <c r="J397">
        <f t="shared" si="37"/>
        <v>0</v>
      </c>
      <c r="K397">
        <f t="shared" si="38"/>
        <v>1</v>
      </c>
      <c r="L397">
        <f t="shared" si="39"/>
        <v>0</v>
      </c>
      <c r="M397">
        <f t="shared" si="40"/>
        <v>0</v>
      </c>
      <c r="N397">
        <f t="shared" si="41"/>
        <v>0</v>
      </c>
    </row>
    <row r="398" spans="1:14" x14ac:dyDescent="0.35">
      <c r="A398" t="s">
        <v>997</v>
      </c>
      <c r="B398" t="s">
        <v>2066</v>
      </c>
      <c r="C398" s="7" t="s">
        <v>9</v>
      </c>
      <c r="D398" t="s">
        <v>55</v>
      </c>
      <c r="E398" t="s">
        <v>1814</v>
      </c>
      <c r="F398" t="s">
        <v>1760</v>
      </c>
      <c r="I398">
        <f t="shared" si="36"/>
        <v>0</v>
      </c>
      <c r="J398">
        <f t="shared" si="37"/>
        <v>0</v>
      </c>
      <c r="K398">
        <f t="shared" si="38"/>
        <v>1</v>
      </c>
      <c r="L398">
        <f t="shared" si="39"/>
        <v>0</v>
      </c>
      <c r="M398">
        <f t="shared" si="40"/>
        <v>0</v>
      </c>
      <c r="N398">
        <f t="shared" si="41"/>
        <v>0</v>
      </c>
    </row>
    <row r="399" spans="1:14" x14ac:dyDescent="0.35">
      <c r="A399" t="s">
        <v>997</v>
      </c>
      <c r="B399" t="s">
        <v>2066</v>
      </c>
      <c r="C399" s="7" t="s">
        <v>9</v>
      </c>
      <c r="D399" t="s">
        <v>55</v>
      </c>
      <c r="E399" t="s">
        <v>1968</v>
      </c>
      <c r="F399" t="s">
        <v>1760</v>
      </c>
      <c r="I399">
        <f t="shared" si="36"/>
        <v>0</v>
      </c>
      <c r="J399">
        <f t="shared" si="37"/>
        <v>0</v>
      </c>
      <c r="K399">
        <f t="shared" si="38"/>
        <v>1</v>
      </c>
      <c r="L399">
        <f t="shared" si="39"/>
        <v>0</v>
      </c>
      <c r="M399">
        <f t="shared" si="40"/>
        <v>0</v>
      </c>
      <c r="N399">
        <f t="shared" si="41"/>
        <v>0</v>
      </c>
    </row>
    <row r="400" spans="1:14" x14ac:dyDescent="0.35">
      <c r="A400" t="s">
        <v>997</v>
      </c>
      <c r="B400" t="s">
        <v>2066</v>
      </c>
      <c r="C400" s="7" t="s">
        <v>9</v>
      </c>
      <c r="D400" t="s">
        <v>55</v>
      </c>
      <c r="E400" t="s">
        <v>1822</v>
      </c>
      <c r="F400" t="s">
        <v>1760</v>
      </c>
      <c r="I400">
        <f t="shared" si="36"/>
        <v>0</v>
      </c>
      <c r="J400">
        <f t="shared" si="37"/>
        <v>0</v>
      </c>
      <c r="K400">
        <f t="shared" si="38"/>
        <v>1</v>
      </c>
      <c r="L400">
        <f t="shared" si="39"/>
        <v>0</v>
      </c>
      <c r="M400">
        <f t="shared" si="40"/>
        <v>0</v>
      </c>
      <c r="N400">
        <f t="shared" si="41"/>
        <v>0</v>
      </c>
    </row>
    <row r="401" spans="1:14" x14ac:dyDescent="0.35">
      <c r="A401" t="s">
        <v>418</v>
      </c>
      <c r="B401" t="s">
        <v>2067</v>
      </c>
      <c r="C401" s="7" t="s">
        <v>9</v>
      </c>
      <c r="D401" t="s">
        <v>420</v>
      </c>
      <c r="E401" t="s">
        <v>2068</v>
      </c>
      <c r="F401" t="s">
        <v>1754</v>
      </c>
      <c r="I401">
        <f t="shared" si="36"/>
        <v>0</v>
      </c>
      <c r="J401">
        <f t="shared" si="37"/>
        <v>0</v>
      </c>
      <c r="K401">
        <f t="shared" si="38"/>
        <v>0</v>
      </c>
      <c r="L401">
        <f t="shared" si="39"/>
        <v>1</v>
      </c>
      <c r="M401">
        <f t="shared" si="40"/>
        <v>0</v>
      </c>
      <c r="N401">
        <f t="shared" si="41"/>
        <v>0</v>
      </c>
    </row>
    <row r="402" spans="1:14" x14ac:dyDescent="0.35">
      <c r="A402" t="s">
        <v>418</v>
      </c>
      <c r="B402" t="s">
        <v>2067</v>
      </c>
      <c r="C402" s="7" t="s">
        <v>9</v>
      </c>
      <c r="D402" t="s">
        <v>420</v>
      </c>
      <c r="E402" t="s">
        <v>1846</v>
      </c>
      <c r="F402" t="s">
        <v>1760</v>
      </c>
      <c r="I402">
        <f t="shared" si="36"/>
        <v>0</v>
      </c>
      <c r="J402">
        <f t="shared" si="37"/>
        <v>0</v>
      </c>
      <c r="K402">
        <f t="shared" si="38"/>
        <v>1</v>
      </c>
      <c r="L402">
        <f t="shared" si="39"/>
        <v>0</v>
      </c>
      <c r="M402">
        <f t="shared" si="40"/>
        <v>0</v>
      </c>
      <c r="N402">
        <f t="shared" si="41"/>
        <v>0</v>
      </c>
    </row>
    <row r="403" spans="1:14" x14ac:dyDescent="0.35">
      <c r="A403" t="s">
        <v>418</v>
      </c>
      <c r="B403" t="s">
        <v>2067</v>
      </c>
      <c r="C403" s="7" t="s">
        <v>9</v>
      </c>
      <c r="D403" t="s">
        <v>420</v>
      </c>
      <c r="E403" t="s">
        <v>2069</v>
      </c>
      <c r="F403" t="s">
        <v>1754</v>
      </c>
      <c r="I403">
        <f t="shared" si="36"/>
        <v>0</v>
      </c>
      <c r="J403">
        <f t="shared" si="37"/>
        <v>0</v>
      </c>
      <c r="K403">
        <f t="shared" si="38"/>
        <v>0</v>
      </c>
      <c r="L403">
        <f t="shared" si="39"/>
        <v>1</v>
      </c>
      <c r="M403">
        <f t="shared" si="40"/>
        <v>0</v>
      </c>
      <c r="N403">
        <f t="shared" si="41"/>
        <v>0</v>
      </c>
    </row>
    <row r="404" spans="1:14" x14ac:dyDescent="0.35">
      <c r="A404" t="s">
        <v>418</v>
      </c>
      <c r="B404" t="s">
        <v>2067</v>
      </c>
      <c r="C404" s="7" t="s">
        <v>9</v>
      </c>
      <c r="D404" t="s">
        <v>420</v>
      </c>
      <c r="E404" t="s">
        <v>2070</v>
      </c>
      <c r="F404" t="s">
        <v>1754</v>
      </c>
      <c r="I404">
        <f t="shared" si="36"/>
        <v>0</v>
      </c>
      <c r="J404">
        <f t="shared" si="37"/>
        <v>0</v>
      </c>
      <c r="K404">
        <f t="shared" si="38"/>
        <v>0</v>
      </c>
      <c r="L404">
        <f t="shared" si="39"/>
        <v>1</v>
      </c>
      <c r="M404">
        <f t="shared" si="40"/>
        <v>0</v>
      </c>
      <c r="N404">
        <f t="shared" si="41"/>
        <v>0</v>
      </c>
    </row>
    <row r="405" spans="1:14" x14ac:dyDescent="0.35">
      <c r="A405" t="s">
        <v>795</v>
      </c>
      <c r="B405" t="s">
        <v>2071</v>
      </c>
      <c r="C405" s="7" t="s">
        <v>9</v>
      </c>
      <c r="D405" t="s">
        <v>100</v>
      </c>
      <c r="E405" t="s">
        <v>1835</v>
      </c>
      <c r="F405" t="s">
        <v>1754</v>
      </c>
      <c r="G405" t="s">
        <v>2072</v>
      </c>
      <c r="H405" t="s">
        <v>2073</v>
      </c>
      <c r="I405">
        <f t="shared" si="36"/>
        <v>0</v>
      </c>
      <c r="J405">
        <f t="shared" si="37"/>
        <v>0</v>
      </c>
      <c r="K405">
        <f t="shared" si="38"/>
        <v>0</v>
      </c>
      <c r="L405">
        <f t="shared" si="39"/>
        <v>1</v>
      </c>
      <c r="M405">
        <f t="shared" si="40"/>
        <v>0</v>
      </c>
      <c r="N405">
        <f t="shared" si="41"/>
        <v>1</v>
      </c>
    </row>
    <row r="406" spans="1:14" x14ac:dyDescent="0.35">
      <c r="A406" t="s">
        <v>1494</v>
      </c>
      <c r="B406" t="s">
        <v>2074</v>
      </c>
      <c r="C406" s="7" t="s">
        <v>9</v>
      </c>
      <c r="D406" t="s">
        <v>1496</v>
      </c>
      <c r="E406" t="s">
        <v>1821</v>
      </c>
      <c r="F406" t="s">
        <v>1760</v>
      </c>
      <c r="G406" t="s">
        <v>2075</v>
      </c>
      <c r="H406" t="s">
        <v>2076</v>
      </c>
      <c r="I406">
        <f t="shared" si="36"/>
        <v>0</v>
      </c>
      <c r="J406">
        <f t="shared" si="37"/>
        <v>0</v>
      </c>
      <c r="K406">
        <f t="shared" si="38"/>
        <v>1</v>
      </c>
      <c r="L406">
        <f t="shared" si="39"/>
        <v>0</v>
      </c>
      <c r="M406">
        <f t="shared" si="40"/>
        <v>0</v>
      </c>
      <c r="N406">
        <f t="shared" si="41"/>
        <v>1</v>
      </c>
    </row>
    <row r="407" spans="1:14" x14ac:dyDescent="0.35">
      <c r="A407" t="s">
        <v>159</v>
      </c>
      <c r="B407" t="s">
        <v>2077</v>
      </c>
      <c r="C407" s="7" t="s">
        <v>9</v>
      </c>
      <c r="D407" t="s">
        <v>162</v>
      </c>
      <c r="E407" t="s">
        <v>2078</v>
      </c>
      <c r="F407" t="s">
        <v>1754</v>
      </c>
      <c r="I407">
        <f t="shared" si="36"/>
        <v>0</v>
      </c>
      <c r="J407">
        <f t="shared" si="37"/>
        <v>0</v>
      </c>
      <c r="K407">
        <f t="shared" si="38"/>
        <v>0</v>
      </c>
      <c r="L407">
        <f t="shared" si="39"/>
        <v>1</v>
      </c>
      <c r="M407">
        <f t="shared" si="40"/>
        <v>0</v>
      </c>
      <c r="N407">
        <f t="shared" si="41"/>
        <v>0</v>
      </c>
    </row>
    <row r="408" spans="1:14" x14ac:dyDescent="0.35">
      <c r="A408" t="s">
        <v>1124</v>
      </c>
      <c r="B408" t="s">
        <v>2079</v>
      </c>
      <c r="C408" s="7" t="s">
        <v>9</v>
      </c>
      <c r="D408" t="s">
        <v>55</v>
      </c>
      <c r="E408" t="s">
        <v>2080</v>
      </c>
      <c r="F408" t="s">
        <v>1727</v>
      </c>
      <c r="I408">
        <f t="shared" si="36"/>
        <v>0</v>
      </c>
      <c r="J408">
        <f t="shared" si="37"/>
        <v>0</v>
      </c>
      <c r="K408">
        <f t="shared" si="38"/>
        <v>0</v>
      </c>
      <c r="L408">
        <f t="shared" si="39"/>
        <v>0</v>
      </c>
      <c r="M408">
        <f t="shared" si="40"/>
        <v>1</v>
      </c>
      <c r="N408">
        <f t="shared" si="41"/>
        <v>0</v>
      </c>
    </row>
    <row r="409" spans="1:14" x14ac:dyDescent="0.35">
      <c r="A409" t="s">
        <v>1124</v>
      </c>
      <c r="B409" t="s">
        <v>2079</v>
      </c>
      <c r="C409" s="7" t="s">
        <v>9</v>
      </c>
      <c r="D409" t="s">
        <v>55</v>
      </c>
      <c r="E409" t="s">
        <v>1926</v>
      </c>
      <c r="F409" t="s">
        <v>1727</v>
      </c>
      <c r="I409">
        <f t="shared" si="36"/>
        <v>0</v>
      </c>
      <c r="J409">
        <f t="shared" si="37"/>
        <v>0</v>
      </c>
      <c r="K409">
        <f t="shared" si="38"/>
        <v>0</v>
      </c>
      <c r="L409">
        <f t="shared" si="39"/>
        <v>0</v>
      </c>
      <c r="M409">
        <f t="shared" si="40"/>
        <v>1</v>
      </c>
      <c r="N409">
        <f t="shared" si="41"/>
        <v>0</v>
      </c>
    </row>
    <row r="410" spans="1:14" x14ac:dyDescent="0.35">
      <c r="A410" t="s">
        <v>1091</v>
      </c>
      <c r="B410" t="s">
        <v>2081</v>
      </c>
      <c r="C410" s="7" t="s">
        <v>9</v>
      </c>
      <c r="D410" t="s">
        <v>1093</v>
      </c>
      <c r="E410" t="s">
        <v>1882</v>
      </c>
      <c r="F410" t="s">
        <v>1754</v>
      </c>
      <c r="G410" t="s">
        <v>2082</v>
      </c>
      <c r="H410" t="s">
        <v>2083</v>
      </c>
      <c r="I410">
        <f t="shared" si="36"/>
        <v>0</v>
      </c>
      <c r="J410">
        <f t="shared" si="37"/>
        <v>0</v>
      </c>
      <c r="K410">
        <f t="shared" si="38"/>
        <v>0</v>
      </c>
      <c r="L410">
        <f t="shared" si="39"/>
        <v>1</v>
      </c>
      <c r="M410">
        <f t="shared" si="40"/>
        <v>0</v>
      </c>
      <c r="N410">
        <f t="shared" si="41"/>
        <v>1</v>
      </c>
    </row>
    <row r="411" spans="1:14" x14ac:dyDescent="0.35">
      <c r="A411" t="s">
        <v>1091</v>
      </c>
      <c r="B411" t="s">
        <v>2081</v>
      </c>
      <c r="C411" s="7" t="s">
        <v>9</v>
      </c>
      <c r="D411" t="s">
        <v>1093</v>
      </c>
      <c r="E411" t="s">
        <v>1883</v>
      </c>
      <c r="F411" t="s">
        <v>1754</v>
      </c>
      <c r="G411" t="s">
        <v>2082</v>
      </c>
      <c r="H411" t="s">
        <v>2083</v>
      </c>
      <c r="I411">
        <f t="shared" si="36"/>
        <v>0</v>
      </c>
      <c r="J411">
        <f t="shared" si="37"/>
        <v>0</v>
      </c>
      <c r="K411">
        <f t="shared" si="38"/>
        <v>0</v>
      </c>
      <c r="L411">
        <f t="shared" si="39"/>
        <v>1</v>
      </c>
      <c r="M411">
        <f t="shared" si="40"/>
        <v>0</v>
      </c>
      <c r="N411">
        <f t="shared" si="41"/>
        <v>1</v>
      </c>
    </row>
    <row r="412" spans="1:14" x14ac:dyDescent="0.35">
      <c r="A412" t="s">
        <v>1091</v>
      </c>
      <c r="B412" t="s">
        <v>2081</v>
      </c>
      <c r="C412" s="7" t="s">
        <v>9</v>
      </c>
      <c r="D412" t="s">
        <v>1093</v>
      </c>
      <c r="E412" t="s">
        <v>1821</v>
      </c>
      <c r="F412" t="s">
        <v>1760</v>
      </c>
      <c r="G412" t="s">
        <v>2082</v>
      </c>
      <c r="H412" t="s">
        <v>2083</v>
      </c>
      <c r="I412">
        <f t="shared" si="36"/>
        <v>0</v>
      </c>
      <c r="J412">
        <f t="shared" si="37"/>
        <v>0</v>
      </c>
      <c r="K412">
        <f t="shared" si="38"/>
        <v>1</v>
      </c>
      <c r="L412">
        <f t="shared" si="39"/>
        <v>0</v>
      </c>
      <c r="M412">
        <f t="shared" si="40"/>
        <v>0</v>
      </c>
      <c r="N412">
        <f t="shared" si="41"/>
        <v>1</v>
      </c>
    </row>
    <row r="413" spans="1:14" x14ac:dyDescent="0.35">
      <c r="A413" t="s">
        <v>1091</v>
      </c>
      <c r="B413" t="s">
        <v>2081</v>
      </c>
      <c r="C413" s="7" t="s">
        <v>9</v>
      </c>
      <c r="D413" t="s">
        <v>1093</v>
      </c>
      <c r="E413" t="s">
        <v>1823</v>
      </c>
      <c r="F413" t="s">
        <v>1760</v>
      </c>
      <c r="G413" t="s">
        <v>2082</v>
      </c>
      <c r="H413" t="s">
        <v>2083</v>
      </c>
      <c r="I413">
        <f t="shared" si="36"/>
        <v>0</v>
      </c>
      <c r="J413">
        <f t="shared" si="37"/>
        <v>0</v>
      </c>
      <c r="K413">
        <f t="shared" si="38"/>
        <v>1</v>
      </c>
      <c r="L413">
        <f t="shared" si="39"/>
        <v>0</v>
      </c>
      <c r="M413">
        <f t="shared" si="40"/>
        <v>0</v>
      </c>
      <c r="N413">
        <f t="shared" si="41"/>
        <v>1</v>
      </c>
    </row>
    <row r="414" spans="1:14" x14ac:dyDescent="0.35">
      <c r="A414" t="s">
        <v>1091</v>
      </c>
      <c r="B414" t="s">
        <v>2081</v>
      </c>
      <c r="C414" s="7" t="s">
        <v>9</v>
      </c>
      <c r="D414" t="s">
        <v>1093</v>
      </c>
      <c r="E414" t="s">
        <v>1822</v>
      </c>
      <c r="F414" t="s">
        <v>1760</v>
      </c>
      <c r="G414" t="s">
        <v>2082</v>
      </c>
      <c r="H414" t="s">
        <v>2083</v>
      </c>
      <c r="I414">
        <f t="shared" si="36"/>
        <v>0</v>
      </c>
      <c r="J414">
        <f t="shared" si="37"/>
        <v>0</v>
      </c>
      <c r="K414">
        <f t="shared" si="38"/>
        <v>1</v>
      </c>
      <c r="L414">
        <f t="shared" si="39"/>
        <v>0</v>
      </c>
      <c r="M414">
        <f t="shared" si="40"/>
        <v>0</v>
      </c>
      <c r="N414">
        <f t="shared" si="41"/>
        <v>1</v>
      </c>
    </row>
    <row r="415" spans="1:14" x14ac:dyDescent="0.35">
      <c r="A415" t="s">
        <v>1091</v>
      </c>
      <c r="B415" t="s">
        <v>2081</v>
      </c>
      <c r="C415" s="7" t="s">
        <v>9</v>
      </c>
      <c r="D415" t="s">
        <v>1093</v>
      </c>
      <c r="E415" t="s">
        <v>2046</v>
      </c>
      <c r="F415" t="s">
        <v>1754</v>
      </c>
      <c r="G415" t="s">
        <v>2082</v>
      </c>
      <c r="H415" t="s">
        <v>2083</v>
      </c>
      <c r="I415">
        <f t="shared" si="36"/>
        <v>0</v>
      </c>
      <c r="J415">
        <f t="shared" si="37"/>
        <v>0</v>
      </c>
      <c r="K415">
        <f t="shared" si="38"/>
        <v>0</v>
      </c>
      <c r="L415">
        <f t="shared" si="39"/>
        <v>1</v>
      </c>
      <c r="M415">
        <f t="shared" si="40"/>
        <v>0</v>
      </c>
      <c r="N415">
        <f t="shared" si="41"/>
        <v>1</v>
      </c>
    </row>
    <row r="416" spans="1:14" x14ac:dyDescent="0.35">
      <c r="A416" t="s">
        <v>1091</v>
      </c>
      <c r="B416" t="s">
        <v>2081</v>
      </c>
      <c r="C416" s="7" t="s">
        <v>9</v>
      </c>
      <c r="D416" t="s">
        <v>1093</v>
      </c>
      <c r="E416" t="s">
        <v>1821</v>
      </c>
      <c r="F416" t="s">
        <v>1760</v>
      </c>
      <c r="G416" t="s">
        <v>2082</v>
      </c>
      <c r="H416" t="s">
        <v>2083</v>
      </c>
      <c r="I416">
        <f t="shared" si="36"/>
        <v>0</v>
      </c>
      <c r="J416">
        <f t="shared" si="37"/>
        <v>0</v>
      </c>
      <c r="K416">
        <f t="shared" si="38"/>
        <v>1</v>
      </c>
      <c r="L416">
        <f t="shared" si="39"/>
        <v>0</v>
      </c>
      <c r="M416">
        <f t="shared" si="40"/>
        <v>0</v>
      </c>
      <c r="N416">
        <f t="shared" si="41"/>
        <v>1</v>
      </c>
    </row>
    <row r="417" spans="1:14" x14ac:dyDescent="0.35">
      <c r="A417" t="s">
        <v>1091</v>
      </c>
      <c r="B417" t="s">
        <v>2081</v>
      </c>
      <c r="C417" s="7" t="s">
        <v>9</v>
      </c>
      <c r="D417" t="s">
        <v>1093</v>
      </c>
      <c r="E417" t="s">
        <v>1822</v>
      </c>
      <c r="F417" t="s">
        <v>1760</v>
      </c>
      <c r="G417" t="s">
        <v>2082</v>
      </c>
      <c r="H417" t="s">
        <v>2083</v>
      </c>
      <c r="I417">
        <f t="shared" si="36"/>
        <v>0</v>
      </c>
      <c r="J417">
        <f t="shared" si="37"/>
        <v>0</v>
      </c>
      <c r="K417">
        <f t="shared" si="38"/>
        <v>1</v>
      </c>
      <c r="L417">
        <f t="shared" si="39"/>
        <v>0</v>
      </c>
      <c r="M417">
        <f t="shared" si="40"/>
        <v>0</v>
      </c>
      <c r="N417">
        <f t="shared" si="41"/>
        <v>1</v>
      </c>
    </row>
    <row r="418" spans="1:14" x14ac:dyDescent="0.35">
      <c r="A418" t="s">
        <v>1091</v>
      </c>
      <c r="B418" t="s">
        <v>2081</v>
      </c>
      <c r="C418" s="7" t="s">
        <v>9</v>
      </c>
      <c r="D418" t="s">
        <v>1093</v>
      </c>
      <c r="E418" t="s">
        <v>1823</v>
      </c>
      <c r="F418" t="s">
        <v>1760</v>
      </c>
      <c r="G418" t="s">
        <v>2082</v>
      </c>
      <c r="H418" t="s">
        <v>2083</v>
      </c>
      <c r="I418">
        <f t="shared" si="36"/>
        <v>0</v>
      </c>
      <c r="J418">
        <f t="shared" si="37"/>
        <v>0</v>
      </c>
      <c r="K418">
        <f t="shared" si="38"/>
        <v>1</v>
      </c>
      <c r="L418">
        <f t="shared" si="39"/>
        <v>0</v>
      </c>
      <c r="M418">
        <f t="shared" si="40"/>
        <v>0</v>
      </c>
      <c r="N418">
        <f t="shared" si="41"/>
        <v>1</v>
      </c>
    </row>
    <row r="419" spans="1:14" x14ac:dyDescent="0.35">
      <c r="A419" t="s">
        <v>758</v>
      </c>
      <c r="B419" t="s">
        <v>2084</v>
      </c>
      <c r="C419" s="7" t="s">
        <v>9</v>
      </c>
      <c r="D419" t="s">
        <v>759</v>
      </c>
      <c r="E419" t="s">
        <v>2085</v>
      </c>
      <c r="F419" t="s">
        <v>1805</v>
      </c>
      <c r="I419">
        <f t="shared" si="36"/>
        <v>0</v>
      </c>
      <c r="J419">
        <f t="shared" si="37"/>
        <v>1</v>
      </c>
      <c r="K419">
        <f t="shared" si="38"/>
        <v>0</v>
      </c>
      <c r="L419">
        <f t="shared" si="39"/>
        <v>0</v>
      </c>
      <c r="M419">
        <f t="shared" si="40"/>
        <v>0</v>
      </c>
      <c r="N419">
        <f t="shared" si="41"/>
        <v>0</v>
      </c>
    </row>
    <row r="420" spans="1:14" x14ac:dyDescent="0.35">
      <c r="A420" t="s">
        <v>619</v>
      </c>
      <c r="B420" t="s">
        <v>2086</v>
      </c>
      <c r="C420" s="7" t="s">
        <v>9</v>
      </c>
      <c r="D420" t="s">
        <v>51</v>
      </c>
      <c r="E420" t="s">
        <v>1849</v>
      </c>
      <c r="F420" t="s">
        <v>1754</v>
      </c>
      <c r="I420">
        <f t="shared" si="36"/>
        <v>0</v>
      </c>
      <c r="J420">
        <f t="shared" si="37"/>
        <v>0</v>
      </c>
      <c r="K420">
        <f t="shared" si="38"/>
        <v>0</v>
      </c>
      <c r="L420">
        <f t="shared" si="39"/>
        <v>1</v>
      </c>
      <c r="M420">
        <f t="shared" si="40"/>
        <v>0</v>
      </c>
      <c r="N420">
        <f t="shared" si="41"/>
        <v>0</v>
      </c>
    </row>
    <row r="421" spans="1:14" x14ac:dyDescent="0.35">
      <c r="A421" t="s">
        <v>1696</v>
      </c>
      <c r="B421" t="s">
        <v>2087</v>
      </c>
      <c r="C421" s="7" t="s">
        <v>9</v>
      </c>
      <c r="D421" t="s">
        <v>55</v>
      </c>
      <c r="E421" t="s">
        <v>2088</v>
      </c>
      <c r="F421" t="s">
        <v>1727</v>
      </c>
      <c r="I421">
        <f t="shared" si="36"/>
        <v>0</v>
      </c>
      <c r="J421">
        <f t="shared" si="37"/>
        <v>0</v>
      </c>
      <c r="K421">
        <f t="shared" si="38"/>
        <v>0</v>
      </c>
      <c r="L421">
        <f t="shared" si="39"/>
        <v>0</v>
      </c>
      <c r="M421">
        <f t="shared" si="40"/>
        <v>1</v>
      </c>
      <c r="N421">
        <f t="shared" si="41"/>
        <v>0</v>
      </c>
    </row>
    <row r="422" spans="1:14" x14ac:dyDescent="0.35">
      <c r="A422" t="s">
        <v>1696</v>
      </c>
      <c r="B422" t="s">
        <v>2087</v>
      </c>
      <c r="C422" s="7" t="s">
        <v>9</v>
      </c>
      <c r="D422" t="s">
        <v>55</v>
      </c>
      <c r="E422" t="s">
        <v>2024</v>
      </c>
      <c r="F422" t="s">
        <v>1727</v>
      </c>
      <c r="I422">
        <f t="shared" si="36"/>
        <v>0</v>
      </c>
      <c r="J422">
        <f t="shared" si="37"/>
        <v>0</v>
      </c>
      <c r="K422">
        <f t="shared" si="38"/>
        <v>0</v>
      </c>
      <c r="L422">
        <f t="shared" si="39"/>
        <v>0</v>
      </c>
      <c r="M422">
        <f t="shared" si="40"/>
        <v>1</v>
      </c>
      <c r="N422">
        <f t="shared" si="41"/>
        <v>0</v>
      </c>
    </row>
    <row r="423" spans="1:14" x14ac:dyDescent="0.35">
      <c r="A423" t="s">
        <v>1607</v>
      </c>
      <c r="B423" t="s">
        <v>2089</v>
      </c>
      <c r="C423" s="7" t="s">
        <v>9</v>
      </c>
      <c r="D423" t="s">
        <v>206</v>
      </c>
      <c r="E423" t="s">
        <v>1993</v>
      </c>
      <c r="F423" t="s">
        <v>1754</v>
      </c>
      <c r="G423" t="s">
        <v>2090</v>
      </c>
      <c r="H423" t="s">
        <v>1784</v>
      </c>
      <c r="I423">
        <f t="shared" si="36"/>
        <v>0</v>
      </c>
      <c r="J423">
        <f t="shared" si="37"/>
        <v>0</v>
      </c>
      <c r="K423">
        <f t="shared" si="38"/>
        <v>0</v>
      </c>
      <c r="L423">
        <f t="shared" si="39"/>
        <v>1</v>
      </c>
      <c r="M423">
        <f t="shared" si="40"/>
        <v>0</v>
      </c>
      <c r="N423">
        <f t="shared" si="41"/>
        <v>1</v>
      </c>
    </row>
    <row r="424" spans="1:14" x14ac:dyDescent="0.35">
      <c r="A424" t="s">
        <v>1607</v>
      </c>
      <c r="B424" t="s">
        <v>2089</v>
      </c>
      <c r="C424" s="7" t="s">
        <v>9</v>
      </c>
      <c r="D424" t="s">
        <v>206</v>
      </c>
      <c r="E424" t="s">
        <v>1836</v>
      </c>
      <c r="F424" t="s">
        <v>1754</v>
      </c>
      <c r="G424" t="s">
        <v>2090</v>
      </c>
      <c r="H424" t="s">
        <v>1784</v>
      </c>
      <c r="I424">
        <f t="shared" si="36"/>
        <v>0</v>
      </c>
      <c r="J424">
        <f t="shared" si="37"/>
        <v>0</v>
      </c>
      <c r="K424">
        <f t="shared" si="38"/>
        <v>0</v>
      </c>
      <c r="L424">
        <f t="shared" si="39"/>
        <v>1</v>
      </c>
      <c r="M424">
        <f t="shared" si="40"/>
        <v>0</v>
      </c>
      <c r="N424">
        <f t="shared" si="41"/>
        <v>1</v>
      </c>
    </row>
    <row r="425" spans="1:14" x14ac:dyDescent="0.35">
      <c r="A425" t="s">
        <v>1607</v>
      </c>
      <c r="B425" t="s">
        <v>2089</v>
      </c>
      <c r="C425" s="7" t="s">
        <v>9</v>
      </c>
      <c r="D425" t="s">
        <v>206</v>
      </c>
      <c r="E425" t="s">
        <v>1992</v>
      </c>
      <c r="F425" t="s">
        <v>1754</v>
      </c>
      <c r="G425" t="s">
        <v>2090</v>
      </c>
      <c r="H425" t="s">
        <v>1784</v>
      </c>
      <c r="I425">
        <f t="shared" si="36"/>
        <v>0</v>
      </c>
      <c r="J425">
        <f t="shared" si="37"/>
        <v>0</v>
      </c>
      <c r="K425">
        <f t="shared" si="38"/>
        <v>0</v>
      </c>
      <c r="L425">
        <f t="shared" si="39"/>
        <v>1</v>
      </c>
      <c r="M425">
        <f t="shared" si="40"/>
        <v>0</v>
      </c>
      <c r="N425">
        <f t="shared" si="41"/>
        <v>1</v>
      </c>
    </row>
    <row r="426" spans="1:14" x14ac:dyDescent="0.35">
      <c r="A426" t="s">
        <v>1607</v>
      </c>
      <c r="B426" t="s">
        <v>2089</v>
      </c>
      <c r="C426" s="7" t="s">
        <v>9</v>
      </c>
      <c r="D426" t="s">
        <v>206</v>
      </c>
      <c r="E426" t="s">
        <v>1809</v>
      </c>
      <c r="F426" t="s">
        <v>1754</v>
      </c>
      <c r="G426" t="s">
        <v>2090</v>
      </c>
      <c r="H426" t="s">
        <v>1784</v>
      </c>
      <c r="I426">
        <f t="shared" si="36"/>
        <v>0</v>
      </c>
      <c r="J426">
        <f t="shared" si="37"/>
        <v>0</v>
      </c>
      <c r="K426">
        <f t="shared" si="38"/>
        <v>0</v>
      </c>
      <c r="L426">
        <f t="shared" si="39"/>
        <v>1</v>
      </c>
      <c r="M426">
        <f t="shared" si="40"/>
        <v>0</v>
      </c>
      <c r="N426">
        <f t="shared" si="41"/>
        <v>1</v>
      </c>
    </row>
    <row r="427" spans="1:14" x14ac:dyDescent="0.35">
      <c r="A427" t="s">
        <v>1607</v>
      </c>
      <c r="B427" t="s">
        <v>2089</v>
      </c>
      <c r="C427" s="7" t="s">
        <v>9</v>
      </c>
      <c r="D427" t="s">
        <v>206</v>
      </c>
      <c r="E427" t="s">
        <v>1832</v>
      </c>
      <c r="F427" t="s">
        <v>1754</v>
      </c>
      <c r="G427" t="s">
        <v>2090</v>
      </c>
      <c r="H427" t="s">
        <v>1784</v>
      </c>
      <c r="I427">
        <f t="shared" si="36"/>
        <v>0</v>
      </c>
      <c r="J427">
        <f t="shared" si="37"/>
        <v>0</v>
      </c>
      <c r="K427">
        <f t="shared" si="38"/>
        <v>0</v>
      </c>
      <c r="L427">
        <f t="shared" si="39"/>
        <v>1</v>
      </c>
      <c r="M427">
        <f t="shared" si="40"/>
        <v>0</v>
      </c>
      <c r="N427">
        <f t="shared" si="41"/>
        <v>1</v>
      </c>
    </row>
    <row r="428" spans="1:14" x14ac:dyDescent="0.35">
      <c r="A428" t="s">
        <v>1247</v>
      </c>
      <c r="B428" t="s">
        <v>2091</v>
      </c>
      <c r="C428" s="7" t="s">
        <v>9</v>
      </c>
      <c r="D428" t="s">
        <v>55</v>
      </c>
      <c r="E428" t="s">
        <v>1840</v>
      </c>
      <c r="F428" t="s">
        <v>1760</v>
      </c>
      <c r="I428">
        <f t="shared" si="36"/>
        <v>0</v>
      </c>
      <c r="J428">
        <f t="shared" si="37"/>
        <v>0</v>
      </c>
      <c r="K428">
        <f t="shared" si="38"/>
        <v>1</v>
      </c>
      <c r="L428">
        <f t="shared" si="39"/>
        <v>0</v>
      </c>
      <c r="M428">
        <f t="shared" si="40"/>
        <v>0</v>
      </c>
      <c r="N428">
        <f t="shared" si="41"/>
        <v>0</v>
      </c>
    </row>
    <row r="429" spans="1:14" x14ac:dyDescent="0.35">
      <c r="A429" t="s">
        <v>550</v>
      </c>
      <c r="B429" t="s">
        <v>2092</v>
      </c>
      <c r="C429" s="7" t="s">
        <v>9</v>
      </c>
      <c r="D429" t="s">
        <v>55</v>
      </c>
      <c r="E429" t="s">
        <v>1840</v>
      </c>
      <c r="F429" t="s">
        <v>1760</v>
      </c>
      <c r="I429">
        <f t="shared" si="36"/>
        <v>0</v>
      </c>
      <c r="J429">
        <f t="shared" si="37"/>
        <v>0</v>
      </c>
      <c r="K429">
        <f t="shared" si="38"/>
        <v>1</v>
      </c>
      <c r="L429">
        <f t="shared" si="39"/>
        <v>0</v>
      </c>
      <c r="M429">
        <f t="shared" si="40"/>
        <v>0</v>
      </c>
      <c r="N429">
        <f t="shared" si="41"/>
        <v>0</v>
      </c>
    </row>
    <row r="430" spans="1:14" x14ac:dyDescent="0.35">
      <c r="A430" t="s">
        <v>550</v>
      </c>
      <c r="B430" t="s">
        <v>2092</v>
      </c>
      <c r="C430" s="7" t="s">
        <v>9</v>
      </c>
      <c r="D430" t="s">
        <v>55</v>
      </c>
      <c r="E430" t="s">
        <v>1821</v>
      </c>
      <c r="F430" t="s">
        <v>1760</v>
      </c>
      <c r="I430">
        <f t="shared" si="36"/>
        <v>0</v>
      </c>
      <c r="J430">
        <f t="shared" si="37"/>
        <v>0</v>
      </c>
      <c r="K430">
        <f t="shared" si="38"/>
        <v>1</v>
      </c>
      <c r="L430">
        <f t="shared" si="39"/>
        <v>0</v>
      </c>
      <c r="M430">
        <f t="shared" si="40"/>
        <v>0</v>
      </c>
      <c r="N430">
        <f t="shared" si="41"/>
        <v>0</v>
      </c>
    </row>
    <row r="431" spans="1:14" x14ac:dyDescent="0.35">
      <c r="A431" t="s">
        <v>550</v>
      </c>
      <c r="B431" t="s">
        <v>2092</v>
      </c>
      <c r="C431" s="7" t="s">
        <v>9</v>
      </c>
      <c r="D431" t="s">
        <v>55</v>
      </c>
      <c r="E431" t="s">
        <v>1904</v>
      </c>
      <c r="F431" t="s">
        <v>1760</v>
      </c>
      <c r="I431">
        <f t="shared" si="36"/>
        <v>0</v>
      </c>
      <c r="J431">
        <f t="shared" si="37"/>
        <v>0</v>
      </c>
      <c r="K431">
        <f t="shared" si="38"/>
        <v>1</v>
      </c>
      <c r="L431">
        <f t="shared" si="39"/>
        <v>0</v>
      </c>
      <c r="M431">
        <f t="shared" si="40"/>
        <v>0</v>
      </c>
      <c r="N431">
        <f t="shared" si="41"/>
        <v>0</v>
      </c>
    </row>
    <row r="432" spans="1:14" x14ac:dyDescent="0.35">
      <c r="A432" t="s">
        <v>550</v>
      </c>
      <c r="B432" t="s">
        <v>2092</v>
      </c>
      <c r="C432" s="7" t="s">
        <v>9</v>
      </c>
      <c r="D432" t="s">
        <v>55</v>
      </c>
      <c r="E432" t="s">
        <v>1905</v>
      </c>
      <c r="F432" t="s">
        <v>1760</v>
      </c>
      <c r="I432">
        <f t="shared" si="36"/>
        <v>0</v>
      </c>
      <c r="J432">
        <f t="shared" si="37"/>
        <v>0</v>
      </c>
      <c r="K432">
        <f t="shared" si="38"/>
        <v>1</v>
      </c>
      <c r="L432">
        <f t="shared" si="39"/>
        <v>0</v>
      </c>
      <c r="M432">
        <f t="shared" si="40"/>
        <v>0</v>
      </c>
      <c r="N432">
        <f t="shared" si="41"/>
        <v>0</v>
      </c>
    </row>
    <row r="433" spans="1:14" x14ac:dyDescent="0.35">
      <c r="A433" t="s">
        <v>731</v>
      </c>
      <c r="B433" t="s">
        <v>2093</v>
      </c>
      <c r="C433" s="7" t="s">
        <v>9</v>
      </c>
      <c r="D433" t="s">
        <v>51</v>
      </c>
      <c r="E433" t="s">
        <v>1896</v>
      </c>
      <c r="F433" t="s">
        <v>1754</v>
      </c>
      <c r="I433">
        <f t="shared" si="36"/>
        <v>0</v>
      </c>
      <c r="J433">
        <f t="shared" si="37"/>
        <v>0</v>
      </c>
      <c r="K433">
        <f t="shared" si="38"/>
        <v>0</v>
      </c>
      <c r="L433">
        <f t="shared" si="39"/>
        <v>1</v>
      </c>
      <c r="M433">
        <f t="shared" si="40"/>
        <v>0</v>
      </c>
      <c r="N433">
        <f t="shared" si="41"/>
        <v>0</v>
      </c>
    </row>
    <row r="434" spans="1:14" x14ac:dyDescent="0.35">
      <c r="A434" t="s">
        <v>731</v>
      </c>
      <c r="B434" t="s">
        <v>2093</v>
      </c>
      <c r="C434" s="7" t="s">
        <v>9</v>
      </c>
      <c r="D434" t="s">
        <v>51</v>
      </c>
      <c r="E434" t="s">
        <v>1894</v>
      </c>
      <c r="F434" t="s">
        <v>1754</v>
      </c>
      <c r="I434">
        <f t="shared" si="36"/>
        <v>0</v>
      </c>
      <c r="J434">
        <f t="shared" si="37"/>
        <v>0</v>
      </c>
      <c r="K434">
        <f t="shared" si="38"/>
        <v>0</v>
      </c>
      <c r="L434">
        <f t="shared" si="39"/>
        <v>1</v>
      </c>
      <c r="M434">
        <f t="shared" si="40"/>
        <v>0</v>
      </c>
      <c r="N434">
        <f t="shared" si="41"/>
        <v>0</v>
      </c>
    </row>
    <row r="435" spans="1:14" x14ac:dyDescent="0.35">
      <c r="A435" t="s">
        <v>1186</v>
      </c>
      <c r="B435" t="s">
        <v>2094</v>
      </c>
      <c r="C435" s="7" t="s">
        <v>9</v>
      </c>
      <c r="D435" t="s">
        <v>55</v>
      </c>
      <c r="E435" t="s">
        <v>2095</v>
      </c>
      <c r="F435" t="s">
        <v>1754</v>
      </c>
      <c r="I435">
        <f t="shared" si="36"/>
        <v>0</v>
      </c>
      <c r="J435">
        <f t="shared" si="37"/>
        <v>0</v>
      </c>
      <c r="K435">
        <f t="shared" si="38"/>
        <v>0</v>
      </c>
      <c r="L435">
        <f t="shared" si="39"/>
        <v>1</v>
      </c>
      <c r="M435">
        <f t="shared" si="40"/>
        <v>0</v>
      </c>
      <c r="N435">
        <f t="shared" si="41"/>
        <v>0</v>
      </c>
    </row>
    <row r="436" spans="1:14" x14ac:dyDescent="0.35">
      <c r="A436" t="s">
        <v>1186</v>
      </c>
      <c r="B436" t="s">
        <v>2094</v>
      </c>
      <c r="C436" s="7" t="s">
        <v>9</v>
      </c>
      <c r="D436" t="s">
        <v>55</v>
      </c>
      <c r="E436" t="s">
        <v>1911</v>
      </c>
      <c r="F436" t="s">
        <v>1754</v>
      </c>
      <c r="I436">
        <f t="shared" si="36"/>
        <v>0</v>
      </c>
      <c r="J436">
        <f t="shared" si="37"/>
        <v>0</v>
      </c>
      <c r="K436">
        <f t="shared" si="38"/>
        <v>0</v>
      </c>
      <c r="L436">
        <f t="shared" si="39"/>
        <v>1</v>
      </c>
      <c r="M436">
        <f t="shared" si="40"/>
        <v>0</v>
      </c>
      <c r="N436">
        <f t="shared" si="41"/>
        <v>0</v>
      </c>
    </row>
    <row r="437" spans="1:14" x14ac:dyDescent="0.35">
      <c r="A437" t="s">
        <v>1186</v>
      </c>
      <c r="B437" t="s">
        <v>2094</v>
      </c>
      <c r="C437" s="7" t="s">
        <v>9</v>
      </c>
      <c r="D437" t="s">
        <v>55</v>
      </c>
      <c r="E437" t="s">
        <v>1945</v>
      </c>
      <c r="F437" t="s">
        <v>1754</v>
      </c>
      <c r="I437">
        <f t="shared" si="36"/>
        <v>0</v>
      </c>
      <c r="J437">
        <f t="shared" si="37"/>
        <v>0</v>
      </c>
      <c r="K437">
        <f t="shared" si="38"/>
        <v>0</v>
      </c>
      <c r="L437">
        <f t="shared" si="39"/>
        <v>1</v>
      </c>
      <c r="M437">
        <f t="shared" si="40"/>
        <v>0</v>
      </c>
      <c r="N437">
        <f t="shared" si="41"/>
        <v>0</v>
      </c>
    </row>
    <row r="438" spans="1:14" x14ac:dyDescent="0.35">
      <c r="A438" t="s">
        <v>1186</v>
      </c>
      <c r="B438" t="s">
        <v>2094</v>
      </c>
      <c r="C438" s="7" t="s">
        <v>9</v>
      </c>
      <c r="D438" t="s">
        <v>55</v>
      </c>
      <c r="E438" t="s">
        <v>1910</v>
      </c>
      <c r="F438" t="s">
        <v>1754</v>
      </c>
      <c r="I438">
        <f t="shared" si="36"/>
        <v>0</v>
      </c>
      <c r="J438">
        <f t="shared" si="37"/>
        <v>0</v>
      </c>
      <c r="K438">
        <f t="shared" si="38"/>
        <v>0</v>
      </c>
      <c r="L438">
        <f t="shared" si="39"/>
        <v>1</v>
      </c>
      <c r="M438">
        <f t="shared" si="40"/>
        <v>0</v>
      </c>
      <c r="N438">
        <f t="shared" si="41"/>
        <v>0</v>
      </c>
    </row>
    <row r="439" spans="1:14" x14ac:dyDescent="0.35">
      <c r="A439" t="s">
        <v>1186</v>
      </c>
      <c r="B439" t="s">
        <v>2094</v>
      </c>
      <c r="C439" s="7" t="s">
        <v>9</v>
      </c>
      <c r="D439" t="s">
        <v>55</v>
      </c>
      <c r="E439" t="s">
        <v>1944</v>
      </c>
      <c r="F439" t="s">
        <v>1754</v>
      </c>
      <c r="I439">
        <f t="shared" si="36"/>
        <v>0</v>
      </c>
      <c r="J439">
        <f t="shared" si="37"/>
        <v>0</v>
      </c>
      <c r="K439">
        <f t="shared" si="38"/>
        <v>0</v>
      </c>
      <c r="L439">
        <f t="shared" si="39"/>
        <v>1</v>
      </c>
      <c r="M439">
        <f t="shared" si="40"/>
        <v>0</v>
      </c>
      <c r="N439">
        <f t="shared" si="41"/>
        <v>0</v>
      </c>
    </row>
    <row r="440" spans="1:14" x14ac:dyDescent="0.35">
      <c r="A440" t="s">
        <v>1595</v>
      </c>
      <c r="B440" t="s">
        <v>2096</v>
      </c>
      <c r="C440" s="7" t="s">
        <v>9</v>
      </c>
      <c r="D440" t="s">
        <v>267</v>
      </c>
      <c r="E440" t="s">
        <v>1806</v>
      </c>
      <c r="F440" t="s">
        <v>1754</v>
      </c>
      <c r="I440">
        <f t="shared" si="36"/>
        <v>0</v>
      </c>
      <c r="J440">
        <f t="shared" si="37"/>
        <v>0</v>
      </c>
      <c r="K440">
        <f t="shared" si="38"/>
        <v>0</v>
      </c>
      <c r="L440">
        <f t="shared" si="39"/>
        <v>1</v>
      </c>
      <c r="M440">
        <f t="shared" si="40"/>
        <v>0</v>
      </c>
      <c r="N440">
        <f t="shared" si="41"/>
        <v>0</v>
      </c>
    </row>
    <row r="441" spans="1:14" x14ac:dyDescent="0.35">
      <c r="A441" t="s">
        <v>1595</v>
      </c>
      <c r="B441" t="s">
        <v>2096</v>
      </c>
      <c r="C441" s="7" t="s">
        <v>9</v>
      </c>
      <c r="D441" t="s">
        <v>267</v>
      </c>
      <c r="E441" t="s">
        <v>1807</v>
      </c>
      <c r="F441" t="s">
        <v>1754</v>
      </c>
      <c r="I441">
        <f t="shared" si="36"/>
        <v>0</v>
      </c>
      <c r="J441">
        <f t="shared" si="37"/>
        <v>0</v>
      </c>
      <c r="K441">
        <f t="shared" si="38"/>
        <v>0</v>
      </c>
      <c r="L441">
        <f t="shared" si="39"/>
        <v>1</v>
      </c>
      <c r="M441">
        <f t="shared" si="40"/>
        <v>0</v>
      </c>
      <c r="N441">
        <f t="shared" si="41"/>
        <v>0</v>
      </c>
    </row>
    <row r="442" spans="1:14" x14ac:dyDescent="0.35">
      <c r="A442" t="s">
        <v>1595</v>
      </c>
      <c r="B442" t="s">
        <v>2096</v>
      </c>
      <c r="C442" s="7" t="s">
        <v>9</v>
      </c>
      <c r="D442" t="s">
        <v>267</v>
      </c>
      <c r="E442" t="s">
        <v>2097</v>
      </c>
      <c r="F442" t="s">
        <v>1727</v>
      </c>
      <c r="I442">
        <f t="shared" si="36"/>
        <v>0</v>
      </c>
      <c r="J442">
        <f t="shared" si="37"/>
        <v>0</v>
      </c>
      <c r="K442">
        <f t="shared" si="38"/>
        <v>0</v>
      </c>
      <c r="L442">
        <f t="shared" si="39"/>
        <v>0</v>
      </c>
      <c r="M442">
        <f t="shared" si="40"/>
        <v>1</v>
      </c>
      <c r="N442">
        <f t="shared" si="41"/>
        <v>0</v>
      </c>
    </row>
    <row r="443" spans="1:14" x14ac:dyDescent="0.35">
      <c r="A443" t="s">
        <v>1711</v>
      </c>
      <c r="B443" t="s">
        <v>2098</v>
      </c>
      <c r="C443" s="7" t="s">
        <v>9</v>
      </c>
      <c r="D443" t="s">
        <v>51</v>
      </c>
      <c r="E443" t="s">
        <v>1810</v>
      </c>
      <c r="F443" t="s">
        <v>1754</v>
      </c>
      <c r="I443">
        <f t="shared" si="36"/>
        <v>0</v>
      </c>
      <c r="J443">
        <f t="shared" si="37"/>
        <v>0</v>
      </c>
      <c r="K443">
        <f t="shared" si="38"/>
        <v>0</v>
      </c>
      <c r="L443">
        <f t="shared" si="39"/>
        <v>1</v>
      </c>
      <c r="M443">
        <f t="shared" si="40"/>
        <v>0</v>
      </c>
      <c r="N443">
        <f t="shared" si="41"/>
        <v>0</v>
      </c>
    </row>
    <row r="444" spans="1:14" x14ac:dyDescent="0.35">
      <c r="A444" t="s">
        <v>1711</v>
      </c>
      <c r="B444" t="s">
        <v>2098</v>
      </c>
      <c r="C444" s="7" t="s">
        <v>9</v>
      </c>
      <c r="D444" t="s">
        <v>51</v>
      </c>
      <c r="E444" t="s">
        <v>1961</v>
      </c>
      <c r="F444" t="s">
        <v>1805</v>
      </c>
      <c r="I444">
        <f t="shared" si="36"/>
        <v>0</v>
      </c>
      <c r="J444">
        <f t="shared" si="37"/>
        <v>1</v>
      </c>
      <c r="K444">
        <f t="shared" si="38"/>
        <v>0</v>
      </c>
      <c r="L444">
        <f t="shared" si="39"/>
        <v>0</v>
      </c>
      <c r="M444">
        <f t="shared" si="40"/>
        <v>0</v>
      </c>
      <c r="N444">
        <f t="shared" si="41"/>
        <v>0</v>
      </c>
    </row>
    <row r="445" spans="1:14" x14ac:dyDescent="0.35">
      <c r="A445" t="s">
        <v>1566</v>
      </c>
      <c r="B445" t="s">
        <v>2099</v>
      </c>
      <c r="C445" s="7" t="s">
        <v>9</v>
      </c>
      <c r="D445" t="s">
        <v>51</v>
      </c>
      <c r="E445" t="s">
        <v>1860</v>
      </c>
      <c r="F445" t="s">
        <v>1754</v>
      </c>
      <c r="I445">
        <f t="shared" si="36"/>
        <v>0</v>
      </c>
      <c r="J445">
        <f t="shared" si="37"/>
        <v>0</v>
      </c>
      <c r="K445">
        <f t="shared" si="38"/>
        <v>0</v>
      </c>
      <c r="L445">
        <f t="shared" si="39"/>
        <v>1</v>
      </c>
      <c r="M445">
        <f t="shared" si="40"/>
        <v>0</v>
      </c>
      <c r="N445">
        <f t="shared" si="41"/>
        <v>0</v>
      </c>
    </row>
    <row r="446" spans="1:14" x14ac:dyDescent="0.35">
      <c r="A446" t="s">
        <v>681</v>
      </c>
      <c r="B446" t="s">
        <v>2100</v>
      </c>
      <c r="C446" s="7" t="s">
        <v>9</v>
      </c>
      <c r="D446" t="s">
        <v>55</v>
      </c>
      <c r="E446" t="s">
        <v>1997</v>
      </c>
      <c r="F446" t="s">
        <v>1886</v>
      </c>
      <c r="I446">
        <f t="shared" si="36"/>
        <v>0</v>
      </c>
      <c r="J446">
        <f t="shared" si="37"/>
        <v>0</v>
      </c>
      <c r="K446">
        <f t="shared" si="38"/>
        <v>0</v>
      </c>
      <c r="L446">
        <f t="shared" si="39"/>
        <v>0</v>
      </c>
      <c r="M446">
        <f t="shared" si="40"/>
        <v>0</v>
      </c>
      <c r="N446">
        <f t="shared" si="41"/>
        <v>0</v>
      </c>
    </row>
    <row r="447" spans="1:14" x14ac:dyDescent="0.35">
      <c r="A447" t="s">
        <v>681</v>
      </c>
      <c r="B447" t="s">
        <v>2100</v>
      </c>
      <c r="C447" s="7" t="s">
        <v>9</v>
      </c>
      <c r="D447" t="s">
        <v>55</v>
      </c>
      <c r="E447" t="s">
        <v>2000</v>
      </c>
      <c r="F447" t="s">
        <v>1886</v>
      </c>
      <c r="I447">
        <f t="shared" si="36"/>
        <v>0</v>
      </c>
      <c r="J447">
        <f t="shared" si="37"/>
        <v>0</v>
      </c>
      <c r="K447">
        <f t="shared" si="38"/>
        <v>0</v>
      </c>
      <c r="L447">
        <f t="shared" si="39"/>
        <v>0</v>
      </c>
      <c r="M447">
        <f t="shared" si="40"/>
        <v>0</v>
      </c>
      <c r="N447">
        <f t="shared" si="41"/>
        <v>0</v>
      </c>
    </row>
    <row r="448" spans="1:14" x14ac:dyDescent="0.35">
      <c r="A448" t="s">
        <v>681</v>
      </c>
      <c r="B448" t="s">
        <v>2100</v>
      </c>
      <c r="C448" s="7" t="s">
        <v>9</v>
      </c>
      <c r="D448" t="s">
        <v>55</v>
      </c>
      <c r="E448" t="s">
        <v>2101</v>
      </c>
      <c r="F448" t="s">
        <v>1805</v>
      </c>
      <c r="I448">
        <f t="shared" si="36"/>
        <v>0</v>
      </c>
      <c r="J448">
        <f t="shared" si="37"/>
        <v>1</v>
      </c>
      <c r="K448">
        <f t="shared" si="38"/>
        <v>0</v>
      </c>
      <c r="L448">
        <f t="shared" si="39"/>
        <v>0</v>
      </c>
      <c r="M448">
        <f t="shared" si="40"/>
        <v>0</v>
      </c>
      <c r="N448">
        <f t="shared" si="41"/>
        <v>0</v>
      </c>
    </row>
    <row r="449" spans="1:14" x14ac:dyDescent="0.35">
      <c r="A449" t="s">
        <v>681</v>
      </c>
      <c r="B449" t="s">
        <v>2100</v>
      </c>
      <c r="C449" s="7" t="s">
        <v>9</v>
      </c>
      <c r="D449" t="s">
        <v>55</v>
      </c>
      <c r="E449" t="s">
        <v>1996</v>
      </c>
      <c r="F449" t="s">
        <v>1886</v>
      </c>
      <c r="I449">
        <f t="shared" si="36"/>
        <v>0</v>
      </c>
      <c r="J449">
        <f t="shared" si="37"/>
        <v>0</v>
      </c>
      <c r="K449">
        <f t="shared" si="38"/>
        <v>0</v>
      </c>
      <c r="L449">
        <f t="shared" si="39"/>
        <v>0</v>
      </c>
      <c r="M449">
        <f t="shared" si="40"/>
        <v>0</v>
      </c>
      <c r="N449">
        <f t="shared" si="41"/>
        <v>0</v>
      </c>
    </row>
    <row r="450" spans="1:14" x14ac:dyDescent="0.35">
      <c r="A450" t="s">
        <v>681</v>
      </c>
      <c r="B450" t="s">
        <v>2100</v>
      </c>
      <c r="C450" s="7" t="s">
        <v>9</v>
      </c>
      <c r="D450" t="s">
        <v>55</v>
      </c>
      <c r="E450" t="s">
        <v>2102</v>
      </c>
      <c r="F450" t="s">
        <v>1805</v>
      </c>
      <c r="I450">
        <f t="shared" si="36"/>
        <v>0</v>
      </c>
      <c r="J450">
        <f t="shared" si="37"/>
        <v>1</v>
      </c>
      <c r="K450">
        <f t="shared" si="38"/>
        <v>0</v>
      </c>
      <c r="L450">
        <f t="shared" si="39"/>
        <v>0</v>
      </c>
      <c r="M450">
        <f t="shared" si="40"/>
        <v>0</v>
      </c>
      <c r="N450">
        <f t="shared" si="41"/>
        <v>0</v>
      </c>
    </row>
    <row r="451" spans="1:14" x14ac:dyDescent="0.35">
      <c r="A451" t="s">
        <v>681</v>
      </c>
      <c r="B451" t="s">
        <v>2100</v>
      </c>
      <c r="C451" s="7" t="s">
        <v>9</v>
      </c>
      <c r="D451" t="s">
        <v>55</v>
      </c>
      <c r="E451" t="s">
        <v>1999</v>
      </c>
      <c r="F451" t="s">
        <v>1886</v>
      </c>
      <c r="I451">
        <f t="shared" ref="I451:I514" si="42">IF($F451=$F$1,1,0)</f>
        <v>0</v>
      </c>
      <c r="J451">
        <f t="shared" ref="J451:J514" si="43">IF($F451=$J$1,1,0)</f>
        <v>0</v>
      </c>
      <c r="K451">
        <f t="shared" ref="K451:K514" si="44">IF($F451=$K$1,1,0)</f>
        <v>0</v>
      </c>
      <c r="L451">
        <f t="shared" ref="L451:L514" si="45">IF($F451=$L$1,1,0)</f>
        <v>0</v>
      </c>
      <c r="M451">
        <f t="shared" ref="M451:M514" si="46">IF($F451=$M$1,1,0)</f>
        <v>0</v>
      </c>
      <c r="N451">
        <f t="shared" ref="N451:N514" si="47">IF($G451&lt;&gt;"",1,0)</f>
        <v>0</v>
      </c>
    </row>
    <row r="452" spans="1:14" x14ac:dyDescent="0.35">
      <c r="A452" t="s">
        <v>681</v>
      </c>
      <c r="B452" t="s">
        <v>2100</v>
      </c>
      <c r="C452" s="7" t="s">
        <v>9</v>
      </c>
      <c r="D452" t="s">
        <v>55</v>
      </c>
      <c r="E452" t="s">
        <v>1961</v>
      </c>
      <c r="F452" t="s">
        <v>1805</v>
      </c>
      <c r="I452">
        <f t="shared" si="42"/>
        <v>0</v>
      </c>
      <c r="J452">
        <f t="shared" si="43"/>
        <v>1</v>
      </c>
      <c r="K452">
        <f t="shared" si="44"/>
        <v>0</v>
      </c>
      <c r="L452">
        <f t="shared" si="45"/>
        <v>0</v>
      </c>
      <c r="M452">
        <f t="shared" si="46"/>
        <v>0</v>
      </c>
      <c r="N452">
        <f t="shared" si="47"/>
        <v>0</v>
      </c>
    </row>
    <row r="453" spans="1:14" x14ac:dyDescent="0.35">
      <c r="A453" t="s">
        <v>681</v>
      </c>
      <c r="B453" t="s">
        <v>2100</v>
      </c>
      <c r="C453" s="7" t="s">
        <v>9</v>
      </c>
      <c r="D453" t="s">
        <v>55</v>
      </c>
      <c r="E453" t="s">
        <v>2103</v>
      </c>
      <c r="F453" t="s">
        <v>1805</v>
      </c>
      <c r="I453">
        <f t="shared" si="42"/>
        <v>0</v>
      </c>
      <c r="J453">
        <f t="shared" si="43"/>
        <v>1</v>
      </c>
      <c r="K453">
        <f t="shared" si="44"/>
        <v>0</v>
      </c>
      <c r="L453">
        <f t="shared" si="45"/>
        <v>0</v>
      </c>
      <c r="M453">
        <f t="shared" si="46"/>
        <v>0</v>
      </c>
      <c r="N453">
        <f t="shared" si="47"/>
        <v>0</v>
      </c>
    </row>
    <row r="454" spans="1:14" x14ac:dyDescent="0.35">
      <c r="A454" t="s">
        <v>681</v>
      </c>
      <c r="B454" t="s">
        <v>2100</v>
      </c>
      <c r="C454" s="7" t="s">
        <v>9</v>
      </c>
      <c r="D454" t="s">
        <v>55</v>
      </c>
      <c r="E454" t="s">
        <v>1998</v>
      </c>
      <c r="F454" t="s">
        <v>1886</v>
      </c>
      <c r="I454">
        <f t="shared" si="42"/>
        <v>0</v>
      </c>
      <c r="J454">
        <f t="shared" si="43"/>
        <v>0</v>
      </c>
      <c r="K454">
        <f t="shared" si="44"/>
        <v>0</v>
      </c>
      <c r="L454">
        <f t="shared" si="45"/>
        <v>0</v>
      </c>
      <c r="M454">
        <f t="shared" si="46"/>
        <v>0</v>
      </c>
      <c r="N454">
        <f t="shared" si="47"/>
        <v>0</v>
      </c>
    </row>
    <row r="455" spans="1:14" x14ac:dyDescent="0.35">
      <c r="A455" t="s">
        <v>697</v>
      </c>
      <c r="B455" t="s">
        <v>2104</v>
      </c>
      <c r="C455" s="7" t="s">
        <v>9</v>
      </c>
      <c r="D455" t="s">
        <v>55</v>
      </c>
      <c r="E455" t="s">
        <v>1822</v>
      </c>
      <c r="F455" t="s">
        <v>1760</v>
      </c>
      <c r="I455">
        <f t="shared" si="42"/>
        <v>0</v>
      </c>
      <c r="J455">
        <f t="shared" si="43"/>
        <v>0</v>
      </c>
      <c r="K455">
        <f t="shared" si="44"/>
        <v>1</v>
      </c>
      <c r="L455">
        <f t="shared" si="45"/>
        <v>0</v>
      </c>
      <c r="M455">
        <f t="shared" si="46"/>
        <v>0</v>
      </c>
      <c r="N455">
        <f t="shared" si="47"/>
        <v>0</v>
      </c>
    </row>
    <row r="456" spans="1:14" x14ac:dyDescent="0.35">
      <c r="A456" t="s">
        <v>697</v>
      </c>
      <c r="B456" t="s">
        <v>2104</v>
      </c>
      <c r="C456" s="7" t="s">
        <v>9</v>
      </c>
      <c r="D456" t="s">
        <v>55</v>
      </c>
      <c r="E456" t="s">
        <v>1821</v>
      </c>
      <c r="F456" t="s">
        <v>1760</v>
      </c>
      <c r="I456">
        <f t="shared" si="42"/>
        <v>0</v>
      </c>
      <c r="J456">
        <f t="shared" si="43"/>
        <v>0</v>
      </c>
      <c r="K456">
        <f t="shared" si="44"/>
        <v>1</v>
      </c>
      <c r="L456">
        <f t="shared" si="45"/>
        <v>0</v>
      </c>
      <c r="M456">
        <f t="shared" si="46"/>
        <v>0</v>
      </c>
      <c r="N456">
        <f t="shared" si="47"/>
        <v>0</v>
      </c>
    </row>
    <row r="457" spans="1:14" x14ac:dyDescent="0.35">
      <c r="A457" t="s">
        <v>1029</v>
      </c>
      <c r="B457" t="s">
        <v>2105</v>
      </c>
      <c r="C457" s="7" t="s">
        <v>9</v>
      </c>
      <c r="D457" t="s">
        <v>1030</v>
      </c>
      <c r="E457" t="s">
        <v>1810</v>
      </c>
      <c r="F457" t="s">
        <v>1754</v>
      </c>
      <c r="I457">
        <f t="shared" si="42"/>
        <v>0</v>
      </c>
      <c r="J457">
        <f t="shared" si="43"/>
        <v>0</v>
      </c>
      <c r="K457">
        <f t="shared" si="44"/>
        <v>0</v>
      </c>
      <c r="L457">
        <f t="shared" si="45"/>
        <v>1</v>
      </c>
      <c r="M457">
        <f t="shared" si="46"/>
        <v>0</v>
      </c>
      <c r="N457">
        <f t="shared" si="47"/>
        <v>0</v>
      </c>
    </row>
    <row r="458" spans="1:14" x14ac:dyDescent="0.35">
      <c r="A458" t="s">
        <v>1029</v>
      </c>
      <c r="B458" t="s">
        <v>2105</v>
      </c>
      <c r="C458" s="7" t="s">
        <v>9</v>
      </c>
      <c r="D458" t="s">
        <v>1030</v>
      </c>
      <c r="E458" t="s">
        <v>2106</v>
      </c>
      <c r="F458" t="s">
        <v>1805</v>
      </c>
      <c r="I458">
        <f t="shared" si="42"/>
        <v>0</v>
      </c>
      <c r="J458">
        <f t="shared" si="43"/>
        <v>1</v>
      </c>
      <c r="K458">
        <f t="shared" si="44"/>
        <v>0</v>
      </c>
      <c r="L458">
        <f t="shared" si="45"/>
        <v>0</v>
      </c>
      <c r="M458">
        <f t="shared" si="46"/>
        <v>0</v>
      </c>
      <c r="N458">
        <f t="shared" si="47"/>
        <v>0</v>
      </c>
    </row>
    <row r="459" spans="1:14" x14ac:dyDescent="0.35">
      <c r="A459" t="s">
        <v>949</v>
      </c>
      <c r="B459" t="s">
        <v>2107</v>
      </c>
      <c r="C459" s="7" t="s">
        <v>9</v>
      </c>
      <c r="D459" t="s">
        <v>55</v>
      </c>
      <c r="E459" t="s">
        <v>1967</v>
      </c>
      <c r="F459" t="s">
        <v>1760</v>
      </c>
      <c r="I459">
        <f t="shared" si="42"/>
        <v>0</v>
      </c>
      <c r="J459">
        <f t="shared" si="43"/>
        <v>0</v>
      </c>
      <c r="K459">
        <f t="shared" si="44"/>
        <v>1</v>
      </c>
      <c r="L459">
        <f t="shared" si="45"/>
        <v>0</v>
      </c>
      <c r="M459">
        <f t="shared" si="46"/>
        <v>0</v>
      </c>
      <c r="N459">
        <f t="shared" si="47"/>
        <v>0</v>
      </c>
    </row>
    <row r="460" spans="1:14" x14ac:dyDescent="0.35">
      <c r="A460" t="s">
        <v>949</v>
      </c>
      <c r="B460" t="s">
        <v>2107</v>
      </c>
      <c r="C460" s="7" t="s">
        <v>9</v>
      </c>
      <c r="D460" t="s">
        <v>55</v>
      </c>
      <c r="E460" t="s">
        <v>1967</v>
      </c>
      <c r="F460" t="s">
        <v>1760</v>
      </c>
      <c r="I460">
        <f t="shared" si="42"/>
        <v>0</v>
      </c>
      <c r="J460">
        <f t="shared" si="43"/>
        <v>0</v>
      </c>
      <c r="K460">
        <f t="shared" si="44"/>
        <v>1</v>
      </c>
      <c r="L460">
        <f t="shared" si="45"/>
        <v>0</v>
      </c>
      <c r="M460">
        <f t="shared" si="46"/>
        <v>0</v>
      </c>
      <c r="N460">
        <f t="shared" si="47"/>
        <v>0</v>
      </c>
    </row>
    <row r="461" spans="1:14" x14ac:dyDescent="0.35">
      <c r="A461" t="s">
        <v>855</v>
      </c>
      <c r="B461" t="s">
        <v>2108</v>
      </c>
      <c r="C461" s="7" t="s">
        <v>9</v>
      </c>
      <c r="D461" t="s">
        <v>857</v>
      </c>
      <c r="E461" t="s">
        <v>1885</v>
      </c>
      <c r="F461" t="s">
        <v>1886</v>
      </c>
      <c r="I461">
        <f t="shared" si="42"/>
        <v>0</v>
      </c>
      <c r="J461">
        <f t="shared" si="43"/>
        <v>0</v>
      </c>
      <c r="K461">
        <f t="shared" si="44"/>
        <v>0</v>
      </c>
      <c r="L461">
        <f t="shared" si="45"/>
        <v>0</v>
      </c>
      <c r="M461">
        <f t="shared" si="46"/>
        <v>0</v>
      </c>
      <c r="N461">
        <f t="shared" si="47"/>
        <v>0</v>
      </c>
    </row>
    <row r="462" spans="1:14" x14ac:dyDescent="0.35">
      <c r="A462" t="s">
        <v>605</v>
      </c>
      <c r="B462" t="s">
        <v>2109</v>
      </c>
      <c r="C462" s="7" t="s">
        <v>9</v>
      </c>
      <c r="D462" t="s">
        <v>55</v>
      </c>
      <c r="E462" t="s">
        <v>2048</v>
      </c>
      <c r="F462" t="s">
        <v>1727</v>
      </c>
      <c r="I462">
        <f t="shared" si="42"/>
        <v>0</v>
      </c>
      <c r="J462">
        <f t="shared" si="43"/>
        <v>0</v>
      </c>
      <c r="K462">
        <f t="shared" si="44"/>
        <v>0</v>
      </c>
      <c r="L462">
        <f t="shared" si="45"/>
        <v>0</v>
      </c>
      <c r="M462">
        <f t="shared" si="46"/>
        <v>1</v>
      </c>
      <c r="N462">
        <f t="shared" si="47"/>
        <v>0</v>
      </c>
    </row>
    <row r="463" spans="1:14" x14ac:dyDescent="0.35">
      <c r="A463" t="s">
        <v>605</v>
      </c>
      <c r="B463" t="s">
        <v>2109</v>
      </c>
      <c r="C463" s="7" t="s">
        <v>9</v>
      </c>
      <c r="D463" t="s">
        <v>55</v>
      </c>
      <c r="E463" t="s">
        <v>1904</v>
      </c>
      <c r="F463" t="s">
        <v>1760</v>
      </c>
      <c r="I463">
        <f t="shared" si="42"/>
        <v>0</v>
      </c>
      <c r="J463">
        <f t="shared" si="43"/>
        <v>0</v>
      </c>
      <c r="K463">
        <f t="shared" si="44"/>
        <v>1</v>
      </c>
      <c r="L463">
        <f t="shared" si="45"/>
        <v>0</v>
      </c>
      <c r="M463">
        <f t="shared" si="46"/>
        <v>0</v>
      </c>
      <c r="N463">
        <f t="shared" si="47"/>
        <v>0</v>
      </c>
    </row>
    <row r="464" spans="1:14" x14ac:dyDescent="0.35">
      <c r="A464" t="s">
        <v>605</v>
      </c>
      <c r="B464" t="s">
        <v>2109</v>
      </c>
      <c r="C464" s="7" t="s">
        <v>9</v>
      </c>
      <c r="D464" t="s">
        <v>55</v>
      </c>
      <c r="E464" t="s">
        <v>1905</v>
      </c>
      <c r="F464" t="s">
        <v>1760</v>
      </c>
      <c r="I464">
        <f t="shared" si="42"/>
        <v>0</v>
      </c>
      <c r="J464">
        <f t="shared" si="43"/>
        <v>0</v>
      </c>
      <c r="K464">
        <f t="shared" si="44"/>
        <v>1</v>
      </c>
      <c r="L464">
        <f t="shared" si="45"/>
        <v>0</v>
      </c>
      <c r="M464">
        <f t="shared" si="46"/>
        <v>0</v>
      </c>
      <c r="N464">
        <f t="shared" si="47"/>
        <v>0</v>
      </c>
    </row>
    <row r="465" spans="1:14" x14ac:dyDescent="0.35">
      <c r="A465" t="s">
        <v>605</v>
      </c>
      <c r="B465" t="s">
        <v>2109</v>
      </c>
      <c r="C465" s="7" t="s">
        <v>9</v>
      </c>
      <c r="D465" t="s">
        <v>55</v>
      </c>
      <c r="E465" t="s">
        <v>2110</v>
      </c>
      <c r="F465" t="s">
        <v>1727</v>
      </c>
      <c r="I465">
        <f t="shared" si="42"/>
        <v>0</v>
      </c>
      <c r="J465">
        <f t="shared" si="43"/>
        <v>0</v>
      </c>
      <c r="K465">
        <f t="shared" si="44"/>
        <v>0</v>
      </c>
      <c r="L465">
        <f t="shared" si="45"/>
        <v>0</v>
      </c>
      <c r="M465">
        <f t="shared" si="46"/>
        <v>1</v>
      </c>
      <c r="N465">
        <f t="shared" si="47"/>
        <v>0</v>
      </c>
    </row>
    <row r="466" spans="1:14" x14ac:dyDescent="0.35">
      <c r="A466" t="s">
        <v>746</v>
      </c>
      <c r="B466" t="s">
        <v>2111</v>
      </c>
      <c r="C466" s="7" t="s">
        <v>9</v>
      </c>
      <c r="D466" t="s">
        <v>92</v>
      </c>
      <c r="E466" t="s">
        <v>2058</v>
      </c>
      <c r="F466" t="s">
        <v>1754</v>
      </c>
      <c r="I466">
        <f t="shared" si="42"/>
        <v>0</v>
      </c>
      <c r="J466">
        <f t="shared" si="43"/>
        <v>0</v>
      </c>
      <c r="K466">
        <f t="shared" si="44"/>
        <v>0</v>
      </c>
      <c r="L466">
        <f t="shared" si="45"/>
        <v>1</v>
      </c>
      <c r="M466">
        <f t="shared" si="46"/>
        <v>0</v>
      </c>
      <c r="N466">
        <f t="shared" si="47"/>
        <v>0</v>
      </c>
    </row>
    <row r="467" spans="1:14" x14ac:dyDescent="0.35">
      <c r="A467" t="s">
        <v>746</v>
      </c>
      <c r="B467" t="s">
        <v>2111</v>
      </c>
      <c r="C467" s="7" t="s">
        <v>9</v>
      </c>
      <c r="D467" t="s">
        <v>92</v>
      </c>
      <c r="E467" t="s">
        <v>2057</v>
      </c>
      <c r="F467" t="s">
        <v>1754</v>
      </c>
      <c r="I467">
        <f t="shared" si="42"/>
        <v>0</v>
      </c>
      <c r="J467">
        <f t="shared" si="43"/>
        <v>0</v>
      </c>
      <c r="K467">
        <f t="shared" si="44"/>
        <v>0</v>
      </c>
      <c r="L467">
        <f t="shared" si="45"/>
        <v>1</v>
      </c>
      <c r="M467">
        <f t="shared" si="46"/>
        <v>0</v>
      </c>
      <c r="N467">
        <f t="shared" si="47"/>
        <v>0</v>
      </c>
    </row>
    <row r="468" spans="1:14" x14ac:dyDescent="0.35">
      <c r="A468" t="s">
        <v>746</v>
      </c>
      <c r="B468" t="s">
        <v>2111</v>
      </c>
      <c r="C468" s="7" t="s">
        <v>9</v>
      </c>
      <c r="D468" t="s">
        <v>92</v>
      </c>
      <c r="E468" t="s">
        <v>1941</v>
      </c>
      <c r="F468" t="s">
        <v>1754</v>
      </c>
      <c r="I468">
        <f t="shared" si="42"/>
        <v>0</v>
      </c>
      <c r="J468">
        <f t="shared" si="43"/>
        <v>0</v>
      </c>
      <c r="K468">
        <f t="shared" si="44"/>
        <v>0</v>
      </c>
      <c r="L468">
        <f t="shared" si="45"/>
        <v>1</v>
      </c>
      <c r="M468">
        <f t="shared" si="46"/>
        <v>0</v>
      </c>
      <c r="N468">
        <f t="shared" si="47"/>
        <v>0</v>
      </c>
    </row>
    <row r="469" spans="1:14" x14ac:dyDescent="0.35">
      <c r="A469" t="s">
        <v>746</v>
      </c>
      <c r="B469" t="s">
        <v>2111</v>
      </c>
      <c r="C469" s="7" t="s">
        <v>9</v>
      </c>
      <c r="D469" t="s">
        <v>92</v>
      </c>
      <c r="E469" t="s">
        <v>1940</v>
      </c>
      <c r="F469" t="s">
        <v>1754</v>
      </c>
      <c r="I469">
        <f t="shared" si="42"/>
        <v>0</v>
      </c>
      <c r="J469">
        <f t="shared" si="43"/>
        <v>0</v>
      </c>
      <c r="K469">
        <f t="shared" si="44"/>
        <v>0</v>
      </c>
      <c r="L469">
        <f t="shared" si="45"/>
        <v>1</v>
      </c>
      <c r="M469">
        <f t="shared" si="46"/>
        <v>0</v>
      </c>
      <c r="N469">
        <f t="shared" si="47"/>
        <v>0</v>
      </c>
    </row>
    <row r="470" spans="1:14" x14ac:dyDescent="0.35">
      <c r="A470" t="s">
        <v>746</v>
      </c>
      <c r="B470" t="s">
        <v>2111</v>
      </c>
      <c r="C470" s="7" t="s">
        <v>9</v>
      </c>
      <c r="D470" t="s">
        <v>92</v>
      </c>
      <c r="E470" t="s">
        <v>1936</v>
      </c>
      <c r="F470" t="s">
        <v>1760</v>
      </c>
      <c r="I470">
        <f t="shared" si="42"/>
        <v>0</v>
      </c>
      <c r="J470">
        <f t="shared" si="43"/>
        <v>0</v>
      </c>
      <c r="K470">
        <f t="shared" si="44"/>
        <v>1</v>
      </c>
      <c r="L470">
        <f t="shared" si="45"/>
        <v>0</v>
      </c>
      <c r="M470">
        <f t="shared" si="46"/>
        <v>0</v>
      </c>
      <c r="N470">
        <f t="shared" si="47"/>
        <v>0</v>
      </c>
    </row>
    <row r="471" spans="1:14" x14ac:dyDescent="0.35">
      <c r="A471" t="s">
        <v>451</v>
      </c>
      <c r="B471" t="s">
        <v>2112</v>
      </c>
      <c r="C471" s="7" t="s">
        <v>9</v>
      </c>
      <c r="D471" t="s">
        <v>55</v>
      </c>
      <c r="E471" t="s">
        <v>1910</v>
      </c>
      <c r="F471" t="s">
        <v>1754</v>
      </c>
      <c r="I471">
        <f t="shared" si="42"/>
        <v>0</v>
      </c>
      <c r="J471">
        <f t="shared" si="43"/>
        <v>0</v>
      </c>
      <c r="K471">
        <f t="shared" si="44"/>
        <v>0</v>
      </c>
      <c r="L471">
        <f t="shared" si="45"/>
        <v>1</v>
      </c>
      <c r="M471">
        <f t="shared" si="46"/>
        <v>0</v>
      </c>
      <c r="N471">
        <f t="shared" si="47"/>
        <v>0</v>
      </c>
    </row>
    <row r="472" spans="1:14" x14ac:dyDescent="0.35">
      <c r="A472" t="s">
        <v>451</v>
      </c>
      <c r="B472" t="s">
        <v>2112</v>
      </c>
      <c r="C472" s="7" t="s">
        <v>9</v>
      </c>
      <c r="D472" t="s">
        <v>55</v>
      </c>
      <c r="E472" t="s">
        <v>1911</v>
      </c>
      <c r="F472" t="s">
        <v>1754</v>
      </c>
      <c r="I472">
        <f t="shared" si="42"/>
        <v>0</v>
      </c>
      <c r="J472">
        <f t="shared" si="43"/>
        <v>0</v>
      </c>
      <c r="K472">
        <f t="shared" si="44"/>
        <v>0</v>
      </c>
      <c r="L472">
        <f t="shared" si="45"/>
        <v>1</v>
      </c>
      <c r="M472">
        <f t="shared" si="46"/>
        <v>0</v>
      </c>
      <c r="N472">
        <f t="shared" si="47"/>
        <v>0</v>
      </c>
    </row>
    <row r="473" spans="1:14" x14ac:dyDescent="0.35">
      <c r="A473" t="s">
        <v>451</v>
      </c>
      <c r="B473" t="s">
        <v>2112</v>
      </c>
      <c r="C473" s="7" t="s">
        <v>9</v>
      </c>
      <c r="D473" t="s">
        <v>55</v>
      </c>
      <c r="E473" t="s">
        <v>2064</v>
      </c>
      <c r="F473" t="s">
        <v>1727</v>
      </c>
      <c r="I473">
        <f t="shared" si="42"/>
        <v>0</v>
      </c>
      <c r="J473">
        <f t="shared" si="43"/>
        <v>0</v>
      </c>
      <c r="K473">
        <f t="shared" si="44"/>
        <v>0</v>
      </c>
      <c r="L473">
        <f t="shared" si="45"/>
        <v>0</v>
      </c>
      <c r="M473">
        <f t="shared" si="46"/>
        <v>1</v>
      </c>
      <c r="N473">
        <f t="shared" si="47"/>
        <v>0</v>
      </c>
    </row>
    <row r="474" spans="1:14" x14ac:dyDescent="0.35">
      <c r="A474" t="s">
        <v>451</v>
      </c>
      <c r="B474" t="s">
        <v>2112</v>
      </c>
      <c r="C474" s="7" t="s">
        <v>9</v>
      </c>
      <c r="D474" t="s">
        <v>55</v>
      </c>
      <c r="E474" t="s">
        <v>1946</v>
      </c>
      <c r="F474" t="s">
        <v>1754</v>
      </c>
      <c r="I474">
        <f t="shared" si="42"/>
        <v>0</v>
      </c>
      <c r="J474">
        <f t="shared" si="43"/>
        <v>0</v>
      </c>
      <c r="K474">
        <f t="shared" si="44"/>
        <v>0</v>
      </c>
      <c r="L474">
        <f t="shared" si="45"/>
        <v>1</v>
      </c>
      <c r="M474">
        <f t="shared" si="46"/>
        <v>0</v>
      </c>
      <c r="N474">
        <f t="shared" si="47"/>
        <v>0</v>
      </c>
    </row>
    <row r="475" spans="1:14" x14ac:dyDescent="0.35">
      <c r="A475" t="s">
        <v>451</v>
      </c>
      <c r="B475" t="s">
        <v>2112</v>
      </c>
      <c r="C475" s="7" t="s">
        <v>9</v>
      </c>
      <c r="D475" t="s">
        <v>55</v>
      </c>
      <c r="E475" t="s">
        <v>1809</v>
      </c>
      <c r="F475" t="s">
        <v>1754</v>
      </c>
      <c r="I475">
        <f t="shared" si="42"/>
        <v>0</v>
      </c>
      <c r="J475">
        <f t="shared" si="43"/>
        <v>0</v>
      </c>
      <c r="K475">
        <f t="shared" si="44"/>
        <v>0</v>
      </c>
      <c r="L475">
        <f t="shared" si="45"/>
        <v>1</v>
      </c>
      <c r="M475">
        <f t="shared" si="46"/>
        <v>0</v>
      </c>
      <c r="N475">
        <f t="shared" si="47"/>
        <v>0</v>
      </c>
    </row>
    <row r="476" spans="1:14" x14ac:dyDescent="0.35">
      <c r="A476" t="s">
        <v>451</v>
      </c>
      <c r="B476" t="s">
        <v>2112</v>
      </c>
      <c r="C476" s="7" t="s">
        <v>9</v>
      </c>
      <c r="D476" t="s">
        <v>55</v>
      </c>
      <c r="E476" t="s">
        <v>1945</v>
      </c>
      <c r="F476" t="s">
        <v>1754</v>
      </c>
      <c r="I476">
        <f t="shared" si="42"/>
        <v>0</v>
      </c>
      <c r="J476">
        <f t="shared" si="43"/>
        <v>0</v>
      </c>
      <c r="K476">
        <f t="shared" si="44"/>
        <v>0</v>
      </c>
      <c r="L476">
        <f t="shared" si="45"/>
        <v>1</v>
      </c>
      <c r="M476">
        <f t="shared" si="46"/>
        <v>0</v>
      </c>
      <c r="N476">
        <f t="shared" si="47"/>
        <v>0</v>
      </c>
    </row>
    <row r="477" spans="1:14" x14ac:dyDescent="0.35">
      <c r="A477" t="s">
        <v>377</v>
      </c>
      <c r="B477" t="s">
        <v>2113</v>
      </c>
      <c r="C477" s="7" t="s">
        <v>9</v>
      </c>
      <c r="D477" t="s">
        <v>55</v>
      </c>
      <c r="E477" t="s">
        <v>1836</v>
      </c>
      <c r="F477" t="s">
        <v>1754</v>
      </c>
      <c r="I477">
        <f t="shared" si="42"/>
        <v>0</v>
      </c>
      <c r="J477">
        <f t="shared" si="43"/>
        <v>0</v>
      </c>
      <c r="K477">
        <f t="shared" si="44"/>
        <v>0</v>
      </c>
      <c r="L477">
        <f t="shared" si="45"/>
        <v>1</v>
      </c>
      <c r="M477">
        <f t="shared" si="46"/>
        <v>0</v>
      </c>
      <c r="N477">
        <f t="shared" si="47"/>
        <v>0</v>
      </c>
    </row>
    <row r="478" spans="1:14" x14ac:dyDescent="0.35">
      <c r="A478" t="s">
        <v>377</v>
      </c>
      <c r="B478" t="s">
        <v>2113</v>
      </c>
      <c r="C478" s="7" t="s">
        <v>9</v>
      </c>
      <c r="D478" t="s">
        <v>55</v>
      </c>
      <c r="E478" t="s">
        <v>1835</v>
      </c>
      <c r="F478" t="s">
        <v>1754</v>
      </c>
      <c r="I478">
        <f t="shared" si="42"/>
        <v>0</v>
      </c>
      <c r="J478">
        <f t="shared" si="43"/>
        <v>0</v>
      </c>
      <c r="K478">
        <f t="shared" si="44"/>
        <v>0</v>
      </c>
      <c r="L478">
        <f t="shared" si="45"/>
        <v>1</v>
      </c>
      <c r="M478">
        <f t="shared" si="46"/>
        <v>0</v>
      </c>
      <c r="N478">
        <f t="shared" si="47"/>
        <v>0</v>
      </c>
    </row>
    <row r="479" spans="1:14" x14ac:dyDescent="0.35">
      <c r="A479" t="s">
        <v>1480</v>
      </c>
      <c r="B479" t="s">
        <v>2114</v>
      </c>
      <c r="C479" s="7" t="s">
        <v>9</v>
      </c>
      <c r="D479" t="s">
        <v>55</v>
      </c>
      <c r="E479" t="s">
        <v>1856</v>
      </c>
      <c r="F479" t="s">
        <v>1760</v>
      </c>
      <c r="I479">
        <f t="shared" si="42"/>
        <v>0</v>
      </c>
      <c r="J479">
        <f t="shared" si="43"/>
        <v>0</v>
      </c>
      <c r="K479">
        <f t="shared" si="44"/>
        <v>1</v>
      </c>
      <c r="L479">
        <f t="shared" si="45"/>
        <v>0</v>
      </c>
      <c r="M479">
        <f t="shared" si="46"/>
        <v>0</v>
      </c>
      <c r="N479">
        <f t="shared" si="47"/>
        <v>0</v>
      </c>
    </row>
    <row r="480" spans="1:14" x14ac:dyDescent="0.35">
      <c r="A480" t="s">
        <v>585</v>
      </c>
      <c r="B480" t="s">
        <v>2115</v>
      </c>
      <c r="C480" s="7" t="s">
        <v>9</v>
      </c>
      <c r="D480" t="s">
        <v>55</v>
      </c>
      <c r="E480" t="s">
        <v>1856</v>
      </c>
      <c r="F480" t="s">
        <v>1760</v>
      </c>
      <c r="I480">
        <f t="shared" si="42"/>
        <v>0</v>
      </c>
      <c r="J480">
        <f t="shared" si="43"/>
        <v>0</v>
      </c>
      <c r="K480">
        <f t="shared" si="44"/>
        <v>1</v>
      </c>
      <c r="L480">
        <f t="shared" si="45"/>
        <v>0</v>
      </c>
      <c r="M480">
        <f t="shared" si="46"/>
        <v>0</v>
      </c>
      <c r="N480">
        <f t="shared" si="47"/>
        <v>0</v>
      </c>
    </row>
    <row r="481" spans="1:14" x14ac:dyDescent="0.35">
      <c r="A481" t="s">
        <v>585</v>
      </c>
      <c r="B481" t="s">
        <v>2115</v>
      </c>
      <c r="C481" s="7" t="s">
        <v>9</v>
      </c>
      <c r="D481" t="s">
        <v>55</v>
      </c>
      <c r="E481" t="s">
        <v>1956</v>
      </c>
      <c r="F481" t="s">
        <v>1760</v>
      </c>
      <c r="I481">
        <f t="shared" si="42"/>
        <v>0</v>
      </c>
      <c r="J481">
        <f t="shared" si="43"/>
        <v>0</v>
      </c>
      <c r="K481">
        <f t="shared" si="44"/>
        <v>1</v>
      </c>
      <c r="L481">
        <f t="shared" si="45"/>
        <v>0</v>
      </c>
      <c r="M481">
        <f t="shared" si="46"/>
        <v>0</v>
      </c>
      <c r="N481">
        <f t="shared" si="47"/>
        <v>0</v>
      </c>
    </row>
    <row r="482" spans="1:14" x14ac:dyDescent="0.35">
      <c r="A482" t="s">
        <v>1458</v>
      </c>
      <c r="B482" t="s">
        <v>2116</v>
      </c>
      <c r="C482" s="7" t="s">
        <v>9</v>
      </c>
      <c r="D482" t="s">
        <v>55</v>
      </c>
      <c r="E482" t="s">
        <v>1921</v>
      </c>
      <c r="F482" t="s">
        <v>1727</v>
      </c>
      <c r="G482" t="s">
        <v>2117</v>
      </c>
      <c r="H482" t="s">
        <v>2118</v>
      </c>
      <c r="I482">
        <f t="shared" si="42"/>
        <v>0</v>
      </c>
      <c r="J482">
        <f t="shared" si="43"/>
        <v>0</v>
      </c>
      <c r="K482">
        <f t="shared" si="44"/>
        <v>0</v>
      </c>
      <c r="L482">
        <f t="shared" si="45"/>
        <v>0</v>
      </c>
      <c r="M482">
        <f t="shared" si="46"/>
        <v>1</v>
      </c>
      <c r="N482">
        <f t="shared" si="47"/>
        <v>1</v>
      </c>
    </row>
    <row r="483" spans="1:14" x14ac:dyDescent="0.35">
      <c r="A483" t="s">
        <v>1458</v>
      </c>
      <c r="B483" t="s">
        <v>2116</v>
      </c>
      <c r="C483" s="7" t="s">
        <v>9</v>
      </c>
      <c r="D483" t="s">
        <v>55</v>
      </c>
      <c r="E483" t="s">
        <v>2119</v>
      </c>
      <c r="F483" t="s">
        <v>1754</v>
      </c>
      <c r="G483" t="s">
        <v>2117</v>
      </c>
      <c r="H483" t="s">
        <v>2118</v>
      </c>
      <c r="I483">
        <f t="shared" si="42"/>
        <v>0</v>
      </c>
      <c r="J483">
        <f t="shared" si="43"/>
        <v>0</v>
      </c>
      <c r="K483">
        <f t="shared" si="44"/>
        <v>0</v>
      </c>
      <c r="L483">
        <f t="shared" si="45"/>
        <v>1</v>
      </c>
      <c r="M483">
        <f t="shared" si="46"/>
        <v>0</v>
      </c>
      <c r="N483">
        <f t="shared" si="47"/>
        <v>1</v>
      </c>
    </row>
    <row r="484" spans="1:14" x14ac:dyDescent="0.35">
      <c r="A484" t="s">
        <v>1458</v>
      </c>
      <c r="B484" t="s">
        <v>2116</v>
      </c>
      <c r="C484" s="7" t="s">
        <v>9</v>
      </c>
      <c r="D484" t="s">
        <v>55</v>
      </c>
      <c r="E484" t="s">
        <v>1905</v>
      </c>
      <c r="F484" t="s">
        <v>1760</v>
      </c>
      <c r="G484" t="s">
        <v>2117</v>
      </c>
      <c r="H484" t="s">
        <v>2118</v>
      </c>
      <c r="I484">
        <f t="shared" si="42"/>
        <v>0</v>
      </c>
      <c r="J484">
        <f t="shared" si="43"/>
        <v>0</v>
      </c>
      <c r="K484">
        <f t="shared" si="44"/>
        <v>1</v>
      </c>
      <c r="L484">
        <f t="shared" si="45"/>
        <v>0</v>
      </c>
      <c r="M484">
        <f t="shared" si="46"/>
        <v>0</v>
      </c>
      <c r="N484">
        <f t="shared" si="47"/>
        <v>1</v>
      </c>
    </row>
    <row r="485" spans="1:14" x14ac:dyDescent="0.35">
      <c r="A485" t="s">
        <v>1458</v>
      </c>
      <c r="B485" t="s">
        <v>2116</v>
      </c>
      <c r="C485" s="7" t="s">
        <v>9</v>
      </c>
      <c r="D485" t="s">
        <v>55</v>
      </c>
      <c r="E485" t="s">
        <v>1904</v>
      </c>
      <c r="F485" t="s">
        <v>1760</v>
      </c>
      <c r="G485" t="s">
        <v>2117</v>
      </c>
      <c r="H485" t="s">
        <v>2118</v>
      </c>
      <c r="I485">
        <f t="shared" si="42"/>
        <v>0</v>
      </c>
      <c r="J485">
        <f t="shared" si="43"/>
        <v>0</v>
      </c>
      <c r="K485">
        <f t="shared" si="44"/>
        <v>1</v>
      </c>
      <c r="L485">
        <f t="shared" si="45"/>
        <v>0</v>
      </c>
      <c r="M485">
        <f t="shared" si="46"/>
        <v>0</v>
      </c>
      <c r="N485">
        <f t="shared" si="47"/>
        <v>1</v>
      </c>
    </row>
    <row r="486" spans="1:14" x14ac:dyDescent="0.35">
      <c r="A486" t="s">
        <v>1458</v>
      </c>
      <c r="B486" t="s">
        <v>2116</v>
      </c>
      <c r="C486" s="7" t="s">
        <v>9</v>
      </c>
      <c r="D486" t="s">
        <v>55</v>
      </c>
      <c r="E486" t="s">
        <v>2120</v>
      </c>
      <c r="F486" t="s">
        <v>1727</v>
      </c>
      <c r="G486" t="s">
        <v>2117</v>
      </c>
      <c r="H486" t="s">
        <v>2118</v>
      </c>
      <c r="I486">
        <f t="shared" si="42"/>
        <v>0</v>
      </c>
      <c r="J486">
        <f t="shared" si="43"/>
        <v>0</v>
      </c>
      <c r="K486">
        <f t="shared" si="44"/>
        <v>0</v>
      </c>
      <c r="L486">
        <f t="shared" si="45"/>
        <v>0</v>
      </c>
      <c r="M486">
        <f t="shared" si="46"/>
        <v>1</v>
      </c>
      <c r="N486">
        <f t="shared" si="47"/>
        <v>1</v>
      </c>
    </row>
    <row r="487" spans="1:14" x14ac:dyDescent="0.35">
      <c r="A487" t="s">
        <v>1458</v>
      </c>
      <c r="B487" t="s">
        <v>2116</v>
      </c>
      <c r="C487" s="7" t="s">
        <v>9</v>
      </c>
      <c r="D487" t="s">
        <v>55</v>
      </c>
      <c r="E487" t="s">
        <v>2121</v>
      </c>
      <c r="F487" t="s">
        <v>1727</v>
      </c>
      <c r="G487" t="s">
        <v>2117</v>
      </c>
      <c r="H487" t="s">
        <v>2118</v>
      </c>
      <c r="I487">
        <f t="shared" si="42"/>
        <v>0</v>
      </c>
      <c r="J487">
        <f t="shared" si="43"/>
        <v>0</v>
      </c>
      <c r="K487">
        <f t="shared" si="44"/>
        <v>0</v>
      </c>
      <c r="L487">
        <f t="shared" si="45"/>
        <v>0</v>
      </c>
      <c r="M487">
        <f t="shared" si="46"/>
        <v>1</v>
      </c>
      <c r="N487">
        <f t="shared" si="47"/>
        <v>1</v>
      </c>
    </row>
    <row r="488" spans="1:14" x14ac:dyDescent="0.35">
      <c r="A488" t="s">
        <v>1458</v>
      </c>
      <c r="B488" t="s">
        <v>2116</v>
      </c>
      <c r="C488" s="7" t="s">
        <v>9</v>
      </c>
      <c r="D488" t="s">
        <v>55</v>
      </c>
      <c r="E488" t="s">
        <v>1922</v>
      </c>
      <c r="F488" t="s">
        <v>1727</v>
      </c>
      <c r="G488" t="s">
        <v>2117</v>
      </c>
      <c r="H488" t="s">
        <v>2118</v>
      </c>
      <c r="I488">
        <f t="shared" si="42"/>
        <v>0</v>
      </c>
      <c r="J488">
        <f t="shared" si="43"/>
        <v>0</v>
      </c>
      <c r="K488">
        <f t="shared" si="44"/>
        <v>0</v>
      </c>
      <c r="L488">
        <f t="shared" si="45"/>
        <v>0</v>
      </c>
      <c r="M488">
        <f t="shared" si="46"/>
        <v>1</v>
      </c>
      <c r="N488">
        <f t="shared" si="47"/>
        <v>1</v>
      </c>
    </row>
    <row r="489" spans="1:14" x14ac:dyDescent="0.35">
      <c r="A489" t="s">
        <v>1125</v>
      </c>
      <c r="B489" t="s">
        <v>2122</v>
      </c>
      <c r="C489" s="7" t="s">
        <v>9</v>
      </c>
      <c r="D489" t="s">
        <v>100</v>
      </c>
      <c r="E489" t="s">
        <v>1910</v>
      </c>
      <c r="F489" t="s">
        <v>1754</v>
      </c>
      <c r="I489">
        <f t="shared" si="42"/>
        <v>0</v>
      </c>
      <c r="J489">
        <f t="shared" si="43"/>
        <v>0</v>
      </c>
      <c r="K489">
        <f t="shared" si="44"/>
        <v>0</v>
      </c>
      <c r="L489">
        <f t="shared" si="45"/>
        <v>1</v>
      </c>
      <c r="M489">
        <f t="shared" si="46"/>
        <v>0</v>
      </c>
      <c r="N489">
        <f t="shared" si="47"/>
        <v>0</v>
      </c>
    </row>
    <row r="490" spans="1:14" x14ac:dyDescent="0.35">
      <c r="A490" t="s">
        <v>1125</v>
      </c>
      <c r="B490" t="s">
        <v>2122</v>
      </c>
      <c r="C490" s="7" t="s">
        <v>9</v>
      </c>
      <c r="D490" t="s">
        <v>100</v>
      </c>
      <c r="E490" t="s">
        <v>1911</v>
      </c>
      <c r="F490" t="s">
        <v>1754</v>
      </c>
      <c r="I490">
        <f t="shared" si="42"/>
        <v>0</v>
      </c>
      <c r="J490">
        <f t="shared" si="43"/>
        <v>0</v>
      </c>
      <c r="K490">
        <f t="shared" si="44"/>
        <v>0</v>
      </c>
      <c r="L490">
        <f t="shared" si="45"/>
        <v>1</v>
      </c>
      <c r="M490">
        <f t="shared" si="46"/>
        <v>0</v>
      </c>
      <c r="N490">
        <f t="shared" si="47"/>
        <v>0</v>
      </c>
    </row>
    <row r="491" spans="1:14" x14ac:dyDescent="0.35">
      <c r="A491" t="s">
        <v>1192</v>
      </c>
      <c r="B491" t="s">
        <v>2123</v>
      </c>
      <c r="C491" s="7" t="s">
        <v>9</v>
      </c>
      <c r="D491" t="s">
        <v>554</v>
      </c>
      <c r="E491" t="s">
        <v>1910</v>
      </c>
      <c r="F491" t="s">
        <v>1754</v>
      </c>
      <c r="I491">
        <f t="shared" si="42"/>
        <v>0</v>
      </c>
      <c r="J491">
        <f t="shared" si="43"/>
        <v>0</v>
      </c>
      <c r="K491">
        <f t="shared" si="44"/>
        <v>0</v>
      </c>
      <c r="L491">
        <f t="shared" si="45"/>
        <v>1</v>
      </c>
      <c r="M491">
        <f t="shared" si="46"/>
        <v>0</v>
      </c>
      <c r="N491">
        <f t="shared" si="47"/>
        <v>0</v>
      </c>
    </row>
    <row r="492" spans="1:14" x14ac:dyDescent="0.35">
      <c r="A492" t="s">
        <v>1192</v>
      </c>
      <c r="B492" t="s">
        <v>2123</v>
      </c>
      <c r="C492" s="7" t="s">
        <v>9</v>
      </c>
      <c r="D492" t="s">
        <v>554</v>
      </c>
      <c r="E492" t="s">
        <v>1911</v>
      </c>
      <c r="F492" t="s">
        <v>1754</v>
      </c>
      <c r="I492">
        <f t="shared" si="42"/>
        <v>0</v>
      </c>
      <c r="J492">
        <f t="shared" si="43"/>
        <v>0</v>
      </c>
      <c r="K492">
        <f t="shared" si="44"/>
        <v>0</v>
      </c>
      <c r="L492">
        <f t="shared" si="45"/>
        <v>1</v>
      </c>
      <c r="M492">
        <f t="shared" si="46"/>
        <v>0</v>
      </c>
      <c r="N492">
        <f t="shared" si="47"/>
        <v>0</v>
      </c>
    </row>
    <row r="493" spans="1:14" x14ac:dyDescent="0.35">
      <c r="A493" t="s">
        <v>1192</v>
      </c>
      <c r="B493" t="s">
        <v>2123</v>
      </c>
      <c r="C493" s="7" t="s">
        <v>9</v>
      </c>
      <c r="D493" t="s">
        <v>554</v>
      </c>
      <c r="E493" t="s">
        <v>1828</v>
      </c>
      <c r="F493" t="s">
        <v>1754</v>
      </c>
      <c r="I493">
        <f t="shared" si="42"/>
        <v>0</v>
      </c>
      <c r="J493">
        <f t="shared" si="43"/>
        <v>0</v>
      </c>
      <c r="K493">
        <f t="shared" si="44"/>
        <v>0</v>
      </c>
      <c r="L493">
        <f t="shared" si="45"/>
        <v>1</v>
      </c>
      <c r="M493">
        <f t="shared" si="46"/>
        <v>0</v>
      </c>
      <c r="N493">
        <f t="shared" si="47"/>
        <v>0</v>
      </c>
    </row>
    <row r="494" spans="1:14" x14ac:dyDescent="0.35">
      <c r="A494" t="s">
        <v>621</v>
      </c>
      <c r="B494" t="s">
        <v>2124</v>
      </c>
      <c r="C494" s="7" t="s">
        <v>9</v>
      </c>
      <c r="D494" t="s">
        <v>623</v>
      </c>
      <c r="E494" t="s">
        <v>2095</v>
      </c>
      <c r="F494" t="s">
        <v>1754</v>
      </c>
      <c r="I494">
        <f t="shared" si="42"/>
        <v>0</v>
      </c>
      <c r="J494">
        <f t="shared" si="43"/>
        <v>0</v>
      </c>
      <c r="K494">
        <f t="shared" si="44"/>
        <v>0</v>
      </c>
      <c r="L494">
        <f t="shared" si="45"/>
        <v>1</v>
      </c>
      <c r="M494">
        <f t="shared" si="46"/>
        <v>0</v>
      </c>
      <c r="N494">
        <f t="shared" si="47"/>
        <v>0</v>
      </c>
    </row>
    <row r="495" spans="1:14" x14ac:dyDescent="0.35">
      <c r="A495" t="s">
        <v>621</v>
      </c>
      <c r="B495" t="s">
        <v>2124</v>
      </c>
      <c r="C495" s="7" t="s">
        <v>9</v>
      </c>
      <c r="D495" t="s">
        <v>623</v>
      </c>
      <c r="E495" t="s">
        <v>1945</v>
      </c>
      <c r="F495" t="s">
        <v>1754</v>
      </c>
      <c r="I495">
        <f t="shared" si="42"/>
        <v>0</v>
      </c>
      <c r="J495">
        <f t="shared" si="43"/>
        <v>0</v>
      </c>
      <c r="K495">
        <f t="shared" si="44"/>
        <v>0</v>
      </c>
      <c r="L495">
        <f t="shared" si="45"/>
        <v>1</v>
      </c>
      <c r="M495">
        <f t="shared" si="46"/>
        <v>0</v>
      </c>
      <c r="N495">
        <f t="shared" si="47"/>
        <v>0</v>
      </c>
    </row>
    <row r="496" spans="1:14" x14ac:dyDescent="0.35">
      <c r="A496" t="s">
        <v>494</v>
      </c>
      <c r="B496" t="s">
        <v>2125</v>
      </c>
      <c r="C496" s="7" t="s">
        <v>9</v>
      </c>
      <c r="D496" t="s">
        <v>92</v>
      </c>
      <c r="E496" t="s">
        <v>1840</v>
      </c>
      <c r="F496" t="s">
        <v>1760</v>
      </c>
      <c r="I496">
        <f t="shared" si="42"/>
        <v>0</v>
      </c>
      <c r="J496">
        <f t="shared" si="43"/>
        <v>0</v>
      </c>
      <c r="K496">
        <f t="shared" si="44"/>
        <v>1</v>
      </c>
      <c r="L496">
        <f t="shared" si="45"/>
        <v>0</v>
      </c>
      <c r="M496">
        <f t="shared" si="46"/>
        <v>0</v>
      </c>
      <c r="N496">
        <f t="shared" si="47"/>
        <v>0</v>
      </c>
    </row>
    <row r="497" spans="1:14" x14ac:dyDescent="0.35">
      <c r="A497" t="s">
        <v>724</v>
      </c>
      <c r="B497" t="s">
        <v>2126</v>
      </c>
      <c r="C497" s="7" t="s">
        <v>9</v>
      </c>
      <c r="D497" t="s">
        <v>51</v>
      </c>
      <c r="E497" t="s">
        <v>2127</v>
      </c>
      <c r="F497" t="s">
        <v>1754</v>
      </c>
      <c r="I497">
        <f t="shared" si="42"/>
        <v>0</v>
      </c>
      <c r="J497">
        <f t="shared" si="43"/>
        <v>0</v>
      </c>
      <c r="K497">
        <f t="shared" si="44"/>
        <v>0</v>
      </c>
      <c r="L497">
        <f t="shared" si="45"/>
        <v>1</v>
      </c>
      <c r="M497">
        <f t="shared" si="46"/>
        <v>0</v>
      </c>
      <c r="N497">
        <f t="shared" si="47"/>
        <v>0</v>
      </c>
    </row>
    <row r="498" spans="1:14" x14ac:dyDescent="0.35">
      <c r="A498" t="s">
        <v>724</v>
      </c>
      <c r="B498" t="s">
        <v>2126</v>
      </c>
      <c r="C498" s="7" t="s">
        <v>9</v>
      </c>
      <c r="D498" t="s">
        <v>51</v>
      </c>
      <c r="E498" t="s">
        <v>2128</v>
      </c>
      <c r="F498" t="s">
        <v>1754</v>
      </c>
      <c r="I498">
        <f t="shared" si="42"/>
        <v>0</v>
      </c>
      <c r="J498">
        <f t="shared" si="43"/>
        <v>0</v>
      </c>
      <c r="K498">
        <f t="shared" si="44"/>
        <v>0</v>
      </c>
      <c r="L498">
        <f t="shared" si="45"/>
        <v>1</v>
      </c>
      <c r="M498">
        <f t="shared" si="46"/>
        <v>0</v>
      </c>
      <c r="N498">
        <f t="shared" si="47"/>
        <v>0</v>
      </c>
    </row>
    <row r="499" spans="1:14" x14ac:dyDescent="0.35">
      <c r="A499" t="s">
        <v>153</v>
      </c>
      <c r="B499" t="s">
        <v>2129</v>
      </c>
      <c r="C499" s="7" t="s">
        <v>9</v>
      </c>
      <c r="D499" t="s">
        <v>155</v>
      </c>
      <c r="E499" t="s">
        <v>2130</v>
      </c>
      <c r="F499" t="s">
        <v>1754</v>
      </c>
      <c r="I499">
        <f t="shared" si="42"/>
        <v>0</v>
      </c>
      <c r="J499">
        <f t="shared" si="43"/>
        <v>0</v>
      </c>
      <c r="K499">
        <f t="shared" si="44"/>
        <v>0</v>
      </c>
      <c r="L499">
        <f t="shared" si="45"/>
        <v>1</v>
      </c>
      <c r="M499">
        <f t="shared" si="46"/>
        <v>0</v>
      </c>
      <c r="N499">
        <f t="shared" si="47"/>
        <v>0</v>
      </c>
    </row>
    <row r="500" spans="1:14" x14ac:dyDescent="0.35">
      <c r="A500" t="s">
        <v>153</v>
      </c>
      <c r="B500" t="s">
        <v>2129</v>
      </c>
      <c r="C500" s="7" t="s">
        <v>9</v>
      </c>
      <c r="D500" t="s">
        <v>155</v>
      </c>
      <c r="E500" t="s">
        <v>1911</v>
      </c>
      <c r="F500" t="s">
        <v>1754</v>
      </c>
      <c r="I500">
        <f t="shared" si="42"/>
        <v>0</v>
      </c>
      <c r="J500">
        <f t="shared" si="43"/>
        <v>0</v>
      </c>
      <c r="K500">
        <f t="shared" si="44"/>
        <v>0</v>
      </c>
      <c r="L500">
        <f t="shared" si="45"/>
        <v>1</v>
      </c>
      <c r="M500">
        <f t="shared" si="46"/>
        <v>0</v>
      </c>
      <c r="N500">
        <f t="shared" si="47"/>
        <v>0</v>
      </c>
    </row>
    <row r="501" spans="1:14" x14ac:dyDescent="0.35">
      <c r="A501" t="s">
        <v>153</v>
      </c>
      <c r="B501" t="s">
        <v>2129</v>
      </c>
      <c r="C501" s="7" t="s">
        <v>9</v>
      </c>
      <c r="D501" t="s">
        <v>155</v>
      </c>
      <c r="E501" t="s">
        <v>1910</v>
      </c>
      <c r="F501" t="s">
        <v>1754</v>
      </c>
      <c r="I501">
        <f t="shared" si="42"/>
        <v>0</v>
      </c>
      <c r="J501">
        <f t="shared" si="43"/>
        <v>0</v>
      </c>
      <c r="K501">
        <f t="shared" si="44"/>
        <v>0</v>
      </c>
      <c r="L501">
        <f t="shared" si="45"/>
        <v>1</v>
      </c>
      <c r="M501">
        <f t="shared" si="46"/>
        <v>0</v>
      </c>
      <c r="N501">
        <f t="shared" si="47"/>
        <v>0</v>
      </c>
    </row>
    <row r="502" spans="1:14" x14ac:dyDescent="0.35">
      <c r="A502" t="s">
        <v>1476</v>
      </c>
      <c r="B502" t="s">
        <v>2131</v>
      </c>
      <c r="C502" s="7" t="s">
        <v>9</v>
      </c>
      <c r="D502" t="s">
        <v>100</v>
      </c>
      <c r="E502" t="s">
        <v>1832</v>
      </c>
      <c r="F502" t="s">
        <v>1754</v>
      </c>
      <c r="I502">
        <f t="shared" si="42"/>
        <v>0</v>
      </c>
      <c r="J502">
        <f t="shared" si="43"/>
        <v>0</v>
      </c>
      <c r="K502">
        <f t="shared" si="44"/>
        <v>0</v>
      </c>
      <c r="L502">
        <f t="shared" si="45"/>
        <v>1</v>
      </c>
      <c r="M502">
        <f t="shared" si="46"/>
        <v>0</v>
      </c>
      <c r="N502">
        <f t="shared" si="47"/>
        <v>0</v>
      </c>
    </row>
    <row r="503" spans="1:14" x14ac:dyDescent="0.35">
      <c r="A503" t="s">
        <v>1476</v>
      </c>
      <c r="B503" t="s">
        <v>2131</v>
      </c>
      <c r="C503" s="7" t="s">
        <v>9</v>
      </c>
      <c r="D503" t="s">
        <v>100</v>
      </c>
      <c r="E503" t="s">
        <v>1991</v>
      </c>
      <c r="F503" t="s">
        <v>1754</v>
      </c>
      <c r="I503">
        <f t="shared" si="42"/>
        <v>0</v>
      </c>
      <c r="J503">
        <f t="shared" si="43"/>
        <v>0</v>
      </c>
      <c r="K503">
        <f t="shared" si="44"/>
        <v>0</v>
      </c>
      <c r="L503">
        <f t="shared" si="45"/>
        <v>1</v>
      </c>
      <c r="M503">
        <f t="shared" si="46"/>
        <v>0</v>
      </c>
      <c r="N503">
        <f t="shared" si="47"/>
        <v>0</v>
      </c>
    </row>
    <row r="504" spans="1:14" x14ac:dyDescent="0.35">
      <c r="A504" t="s">
        <v>1476</v>
      </c>
      <c r="B504" t="s">
        <v>2131</v>
      </c>
      <c r="C504" s="7" t="s">
        <v>9</v>
      </c>
      <c r="D504" t="s">
        <v>100</v>
      </c>
      <c r="E504" t="s">
        <v>1994</v>
      </c>
      <c r="F504" t="s">
        <v>1754</v>
      </c>
      <c r="I504">
        <f t="shared" si="42"/>
        <v>0</v>
      </c>
      <c r="J504">
        <f t="shared" si="43"/>
        <v>0</v>
      </c>
      <c r="K504">
        <f t="shared" si="44"/>
        <v>0</v>
      </c>
      <c r="L504">
        <f t="shared" si="45"/>
        <v>1</v>
      </c>
      <c r="M504">
        <f t="shared" si="46"/>
        <v>0</v>
      </c>
      <c r="N504">
        <f t="shared" si="47"/>
        <v>0</v>
      </c>
    </row>
    <row r="505" spans="1:14" x14ac:dyDescent="0.35">
      <c r="A505" t="s">
        <v>1476</v>
      </c>
      <c r="B505" t="s">
        <v>2131</v>
      </c>
      <c r="C505" s="7" t="s">
        <v>9</v>
      </c>
      <c r="D505" t="s">
        <v>100</v>
      </c>
      <c r="E505" t="s">
        <v>1993</v>
      </c>
      <c r="F505" t="s">
        <v>1754</v>
      </c>
      <c r="I505">
        <f t="shared" si="42"/>
        <v>0</v>
      </c>
      <c r="J505">
        <f t="shared" si="43"/>
        <v>0</v>
      </c>
      <c r="K505">
        <f t="shared" si="44"/>
        <v>0</v>
      </c>
      <c r="L505">
        <f t="shared" si="45"/>
        <v>1</v>
      </c>
      <c r="M505">
        <f t="shared" si="46"/>
        <v>0</v>
      </c>
      <c r="N505">
        <f t="shared" si="47"/>
        <v>0</v>
      </c>
    </row>
    <row r="506" spans="1:14" x14ac:dyDescent="0.35">
      <c r="A506" t="s">
        <v>1476</v>
      </c>
      <c r="B506" t="s">
        <v>2131</v>
      </c>
      <c r="C506" s="7" t="s">
        <v>9</v>
      </c>
      <c r="D506" t="s">
        <v>100</v>
      </c>
      <c r="E506" t="s">
        <v>1836</v>
      </c>
      <c r="F506" t="s">
        <v>1754</v>
      </c>
      <c r="I506">
        <f t="shared" si="42"/>
        <v>0</v>
      </c>
      <c r="J506">
        <f t="shared" si="43"/>
        <v>0</v>
      </c>
      <c r="K506">
        <f t="shared" si="44"/>
        <v>0</v>
      </c>
      <c r="L506">
        <f t="shared" si="45"/>
        <v>1</v>
      </c>
      <c r="M506">
        <f t="shared" si="46"/>
        <v>0</v>
      </c>
      <c r="N506">
        <f t="shared" si="47"/>
        <v>0</v>
      </c>
    </row>
    <row r="507" spans="1:14" x14ac:dyDescent="0.35">
      <c r="A507" t="s">
        <v>1476</v>
      </c>
      <c r="B507" t="s">
        <v>2131</v>
      </c>
      <c r="C507" s="7" t="s">
        <v>9</v>
      </c>
      <c r="D507" t="s">
        <v>100</v>
      </c>
      <c r="E507" t="s">
        <v>1992</v>
      </c>
      <c r="F507" t="s">
        <v>1754</v>
      </c>
      <c r="I507">
        <f t="shared" si="42"/>
        <v>0</v>
      </c>
      <c r="J507">
        <f t="shared" si="43"/>
        <v>0</v>
      </c>
      <c r="K507">
        <f t="shared" si="44"/>
        <v>0</v>
      </c>
      <c r="L507">
        <f t="shared" si="45"/>
        <v>1</v>
      </c>
      <c r="M507">
        <f t="shared" si="46"/>
        <v>0</v>
      </c>
      <c r="N507">
        <f t="shared" si="47"/>
        <v>0</v>
      </c>
    </row>
    <row r="508" spans="1:14" x14ac:dyDescent="0.35">
      <c r="A508" t="s">
        <v>445</v>
      </c>
      <c r="B508" t="s">
        <v>2132</v>
      </c>
      <c r="C508" s="7" t="s">
        <v>9</v>
      </c>
      <c r="D508" t="s">
        <v>447</v>
      </c>
      <c r="E508" t="s">
        <v>1910</v>
      </c>
      <c r="F508" t="s">
        <v>1754</v>
      </c>
      <c r="I508">
        <f t="shared" si="42"/>
        <v>0</v>
      </c>
      <c r="J508">
        <f t="shared" si="43"/>
        <v>0</v>
      </c>
      <c r="K508">
        <f t="shared" si="44"/>
        <v>0</v>
      </c>
      <c r="L508">
        <f t="shared" si="45"/>
        <v>1</v>
      </c>
      <c r="M508">
        <f t="shared" si="46"/>
        <v>0</v>
      </c>
      <c r="N508">
        <f t="shared" si="47"/>
        <v>0</v>
      </c>
    </row>
    <row r="509" spans="1:14" x14ac:dyDescent="0.35">
      <c r="A509" t="s">
        <v>445</v>
      </c>
      <c r="B509" t="s">
        <v>2132</v>
      </c>
      <c r="C509" s="7" t="s">
        <v>9</v>
      </c>
      <c r="D509" t="s">
        <v>447</v>
      </c>
      <c r="E509" t="s">
        <v>2078</v>
      </c>
      <c r="F509" t="s">
        <v>1754</v>
      </c>
      <c r="I509">
        <f t="shared" si="42"/>
        <v>0</v>
      </c>
      <c r="J509">
        <f t="shared" si="43"/>
        <v>0</v>
      </c>
      <c r="K509">
        <f t="shared" si="44"/>
        <v>0</v>
      </c>
      <c r="L509">
        <f t="shared" si="45"/>
        <v>1</v>
      </c>
      <c r="M509">
        <f t="shared" si="46"/>
        <v>0</v>
      </c>
      <c r="N509">
        <f t="shared" si="47"/>
        <v>0</v>
      </c>
    </row>
    <row r="510" spans="1:14" x14ac:dyDescent="0.35">
      <c r="A510" t="s">
        <v>445</v>
      </c>
      <c r="B510" t="s">
        <v>2132</v>
      </c>
      <c r="C510" s="7" t="s">
        <v>9</v>
      </c>
      <c r="D510" t="s">
        <v>447</v>
      </c>
      <c r="E510" t="s">
        <v>1825</v>
      </c>
      <c r="F510" t="s">
        <v>1754</v>
      </c>
      <c r="I510">
        <f t="shared" si="42"/>
        <v>0</v>
      </c>
      <c r="J510">
        <f t="shared" si="43"/>
        <v>0</v>
      </c>
      <c r="K510">
        <f t="shared" si="44"/>
        <v>0</v>
      </c>
      <c r="L510">
        <f t="shared" si="45"/>
        <v>1</v>
      </c>
      <c r="M510">
        <f t="shared" si="46"/>
        <v>0</v>
      </c>
      <c r="N510">
        <f t="shared" si="47"/>
        <v>0</v>
      </c>
    </row>
    <row r="511" spans="1:14" x14ac:dyDescent="0.35">
      <c r="A511" t="s">
        <v>445</v>
      </c>
      <c r="B511" t="s">
        <v>2132</v>
      </c>
      <c r="C511" s="7" t="s">
        <v>9</v>
      </c>
      <c r="D511" t="s">
        <v>447</v>
      </c>
      <c r="E511" t="s">
        <v>1953</v>
      </c>
      <c r="F511" t="s">
        <v>1754</v>
      </c>
      <c r="I511">
        <f t="shared" si="42"/>
        <v>0</v>
      </c>
      <c r="J511">
        <f t="shared" si="43"/>
        <v>0</v>
      </c>
      <c r="K511">
        <f t="shared" si="44"/>
        <v>0</v>
      </c>
      <c r="L511">
        <f t="shared" si="45"/>
        <v>1</v>
      </c>
      <c r="M511">
        <f t="shared" si="46"/>
        <v>0</v>
      </c>
      <c r="N511">
        <f t="shared" si="47"/>
        <v>0</v>
      </c>
    </row>
    <row r="512" spans="1:14" x14ac:dyDescent="0.35">
      <c r="A512" t="s">
        <v>445</v>
      </c>
      <c r="B512" t="s">
        <v>2132</v>
      </c>
      <c r="C512" s="7" t="s">
        <v>9</v>
      </c>
      <c r="D512" t="s">
        <v>447</v>
      </c>
      <c r="E512" t="s">
        <v>1911</v>
      </c>
      <c r="F512" t="s">
        <v>1754</v>
      </c>
      <c r="I512">
        <f t="shared" si="42"/>
        <v>0</v>
      </c>
      <c r="J512">
        <f t="shared" si="43"/>
        <v>0</v>
      </c>
      <c r="K512">
        <f t="shared" si="44"/>
        <v>0</v>
      </c>
      <c r="L512">
        <f t="shared" si="45"/>
        <v>1</v>
      </c>
      <c r="M512">
        <f t="shared" si="46"/>
        <v>0</v>
      </c>
      <c r="N512">
        <f t="shared" si="47"/>
        <v>0</v>
      </c>
    </row>
    <row r="513" spans="1:14" x14ac:dyDescent="0.35">
      <c r="A513" t="s">
        <v>445</v>
      </c>
      <c r="B513" t="s">
        <v>2132</v>
      </c>
      <c r="C513" s="7" t="s">
        <v>9</v>
      </c>
      <c r="D513" t="s">
        <v>447</v>
      </c>
      <c r="E513" t="s">
        <v>1826</v>
      </c>
      <c r="F513" t="s">
        <v>1754</v>
      </c>
      <c r="I513">
        <f t="shared" si="42"/>
        <v>0</v>
      </c>
      <c r="J513">
        <f t="shared" si="43"/>
        <v>0</v>
      </c>
      <c r="K513">
        <f t="shared" si="44"/>
        <v>0</v>
      </c>
      <c r="L513">
        <f t="shared" si="45"/>
        <v>1</v>
      </c>
      <c r="M513">
        <f t="shared" si="46"/>
        <v>0</v>
      </c>
      <c r="N513">
        <f t="shared" si="47"/>
        <v>0</v>
      </c>
    </row>
    <row r="514" spans="1:14" x14ac:dyDescent="0.35">
      <c r="A514" t="s">
        <v>445</v>
      </c>
      <c r="B514" t="s">
        <v>2132</v>
      </c>
      <c r="C514" s="7" t="s">
        <v>9</v>
      </c>
      <c r="D514" t="s">
        <v>447</v>
      </c>
      <c r="E514" t="s">
        <v>1951</v>
      </c>
      <c r="F514" t="s">
        <v>1754</v>
      </c>
      <c r="I514">
        <f t="shared" si="42"/>
        <v>0</v>
      </c>
      <c r="J514">
        <f t="shared" si="43"/>
        <v>0</v>
      </c>
      <c r="K514">
        <f t="shared" si="44"/>
        <v>0</v>
      </c>
      <c r="L514">
        <f t="shared" si="45"/>
        <v>1</v>
      </c>
      <c r="M514">
        <f t="shared" si="46"/>
        <v>0</v>
      </c>
      <c r="N514">
        <f t="shared" si="47"/>
        <v>0</v>
      </c>
    </row>
    <row r="515" spans="1:14" x14ac:dyDescent="0.35">
      <c r="A515" t="s">
        <v>1068</v>
      </c>
      <c r="B515" t="s">
        <v>2133</v>
      </c>
      <c r="C515" s="7" t="s">
        <v>9</v>
      </c>
      <c r="D515" t="s">
        <v>55</v>
      </c>
      <c r="E515" t="s">
        <v>2121</v>
      </c>
      <c r="F515" t="s">
        <v>1727</v>
      </c>
      <c r="I515">
        <f t="shared" ref="I515:I578" si="48">IF($F515=$F$1,1,0)</f>
        <v>0</v>
      </c>
      <c r="J515">
        <f t="shared" ref="J515:J578" si="49">IF($F515=$J$1,1,0)</f>
        <v>0</v>
      </c>
      <c r="K515">
        <f t="shared" ref="K515:K578" si="50">IF($F515=$K$1,1,0)</f>
        <v>0</v>
      </c>
      <c r="L515">
        <f t="shared" ref="L515:L578" si="51">IF($F515=$L$1,1,0)</f>
        <v>0</v>
      </c>
      <c r="M515">
        <f t="shared" ref="M515:M578" si="52">IF($F515=$M$1,1,0)</f>
        <v>1</v>
      </c>
      <c r="N515">
        <f t="shared" ref="N515:N578" si="53">IF($G515&lt;&gt;"",1,0)</f>
        <v>0</v>
      </c>
    </row>
    <row r="516" spans="1:14" x14ac:dyDescent="0.35">
      <c r="A516" t="s">
        <v>1068</v>
      </c>
      <c r="B516" t="s">
        <v>2133</v>
      </c>
      <c r="C516" s="7" t="s">
        <v>9</v>
      </c>
      <c r="D516" t="s">
        <v>55</v>
      </c>
      <c r="E516" t="s">
        <v>1830</v>
      </c>
      <c r="F516" t="s">
        <v>1754</v>
      </c>
      <c r="I516">
        <f t="shared" si="48"/>
        <v>0</v>
      </c>
      <c r="J516">
        <f t="shared" si="49"/>
        <v>0</v>
      </c>
      <c r="K516">
        <f t="shared" si="50"/>
        <v>0</v>
      </c>
      <c r="L516">
        <f t="shared" si="51"/>
        <v>1</v>
      </c>
      <c r="M516">
        <f t="shared" si="52"/>
        <v>0</v>
      </c>
      <c r="N516">
        <f t="shared" si="53"/>
        <v>0</v>
      </c>
    </row>
    <row r="517" spans="1:14" x14ac:dyDescent="0.35">
      <c r="A517" t="s">
        <v>1378</v>
      </c>
      <c r="B517" t="s">
        <v>2134</v>
      </c>
      <c r="C517" s="7" t="s">
        <v>9</v>
      </c>
      <c r="D517" t="s">
        <v>55</v>
      </c>
      <c r="E517" t="s">
        <v>2106</v>
      </c>
      <c r="F517" t="s">
        <v>1805</v>
      </c>
      <c r="I517">
        <f t="shared" si="48"/>
        <v>0</v>
      </c>
      <c r="J517">
        <f t="shared" si="49"/>
        <v>1</v>
      </c>
      <c r="K517">
        <f t="shared" si="50"/>
        <v>0</v>
      </c>
      <c r="L517">
        <f t="shared" si="51"/>
        <v>0</v>
      </c>
      <c r="M517">
        <f t="shared" si="52"/>
        <v>0</v>
      </c>
      <c r="N517">
        <f t="shared" si="53"/>
        <v>0</v>
      </c>
    </row>
    <row r="518" spans="1:14" x14ac:dyDescent="0.35">
      <c r="A518" t="s">
        <v>496</v>
      </c>
      <c r="B518" t="s">
        <v>2135</v>
      </c>
      <c r="C518" s="7" t="s">
        <v>9</v>
      </c>
      <c r="D518" t="s">
        <v>497</v>
      </c>
      <c r="E518" t="s">
        <v>1856</v>
      </c>
      <c r="F518" t="s">
        <v>1760</v>
      </c>
      <c r="I518">
        <f t="shared" si="48"/>
        <v>0</v>
      </c>
      <c r="J518">
        <f t="shared" si="49"/>
        <v>0</v>
      </c>
      <c r="K518">
        <f t="shared" si="50"/>
        <v>1</v>
      </c>
      <c r="L518">
        <f t="shared" si="51"/>
        <v>0</v>
      </c>
      <c r="M518">
        <f t="shared" si="52"/>
        <v>0</v>
      </c>
      <c r="N518">
        <f t="shared" si="53"/>
        <v>0</v>
      </c>
    </row>
    <row r="519" spans="1:14" x14ac:dyDescent="0.35">
      <c r="A519" t="s">
        <v>715</v>
      </c>
      <c r="B519" t="s">
        <v>2136</v>
      </c>
      <c r="C519" s="7" t="s">
        <v>9</v>
      </c>
      <c r="D519" t="s">
        <v>447</v>
      </c>
      <c r="E519" t="s">
        <v>1896</v>
      </c>
      <c r="F519" t="s">
        <v>1754</v>
      </c>
      <c r="I519">
        <f t="shared" si="48"/>
        <v>0</v>
      </c>
      <c r="J519">
        <f t="shared" si="49"/>
        <v>0</v>
      </c>
      <c r="K519">
        <f t="shared" si="50"/>
        <v>0</v>
      </c>
      <c r="L519">
        <f t="shared" si="51"/>
        <v>1</v>
      </c>
      <c r="M519">
        <f t="shared" si="52"/>
        <v>0</v>
      </c>
      <c r="N519">
        <f t="shared" si="53"/>
        <v>0</v>
      </c>
    </row>
    <row r="520" spans="1:14" x14ac:dyDescent="0.35">
      <c r="A520" t="s">
        <v>715</v>
      </c>
      <c r="B520" t="s">
        <v>2136</v>
      </c>
      <c r="C520" s="7" t="s">
        <v>9</v>
      </c>
      <c r="D520" t="s">
        <v>447</v>
      </c>
      <c r="E520" t="s">
        <v>1845</v>
      </c>
      <c r="F520" t="s">
        <v>1754</v>
      </c>
      <c r="I520">
        <f t="shared" si="48"/>
        <v>0</v>
      </c>
      <c r="J520">
        <f t="shared" si="49"/>
        <v>0</v>
      </c>
      <c r="K520">
        <f t="shared" si="50"/>
        <v>0</v>
      </c>
      <c r="L520">
        <f t="shared" si="51"/>
        <v>1</v>
      </c>
      <c r="M520">
        <f t="shared" si="52"/>
        <v>0</v>
      </c>
      <c r="N520">
        <f t="shared" si="53"/>
        <v>0</v>
      </c>
    </row>
    <row r="521" spans="1:14" x14ac:dyDescent="0.35">
      <c r="A521" t="s">
        <v>715</v>
      </c>
      <c r="B521" t="s">
        <v>2136</v>
      </c>
      <c r="C521" s="7" t="s">
        <v>9</v>
      </c>
      <c r="D521" t="s">
        <v>447</v>
      </c>
      <c r="E521" t="s">
        <v>1847</v>
      </c>
      <c r="F521" t="s">
        <v>1754</v>
      </c>
      <c r="I521">
        <f t="shared" si="48"/>
        <v>0</v>
      </c>
      <c r="J521">
        <f t="shared" si="49"/>
        <v>0</v>
      </c>
      <c r="K521">
        <f t="shared" si="50"/>
        <v>0</v>
      </c>
      <c r="L521">
        <f t="shared" si="51"/>
        <v>1</v>
      </c>
      <c r="M521">
        <f t="shared" si="52"/>
        <v>0</v>
      </c>
      <c r="N521">
        <f t="shared" si="53"/>
        <v>0</v>
      </c>
    </row>
    <row r="522" spans="1:14" x14ac:dyDescent="0.35">
      <c r="A522" t="s">
        <v>715</v>
      </c>
      <c r="B522" t="s">
        <v>2136</v>
      </c>
      <c r="C522" s="7" t="s">
        <v>9</v>
      </c>
      <c r="D522" t="s">
        <v>447</v>
      </c>
      <c r="E522" t="s">
        <v>1894</v>
      </c>
      <c r="F522" t="s">
        <v>1754</v>
      </c>
      <c r="I522">
        <f t="shared" si="48"/>
        <v>0</v>
      </c>
      <c r="J522">
        <f t="shared" si="49"/>
        <v>0</v>
      </c>
      <c r="K522">
        <f t="shared" si="50"/>
        <v>0</v>
      </c>
      <c r="L522">
        <f t="shared" si="51"/>
        <v>1</v>
      </c>
      <c r="M522">
        <f t="shared" si="52"/>
        <v>0</v>
      </c>
      <c r="N522">
        <f t="shared" si="53"/>
        <v>0</v>
      </c>
    </row>
    <row r="523" spans="1:14" x14ac:dyDescent="0.35">
      <c r="A523" t="s">
        <v>820</v>
      </c>
      <c r="B523" t="s">
        <v>2137</v>
      </c>
      <c r="C523" s="7" t="s">
        <v>9</v>
      </c>
      <c r="D523" t="s">
        <v>97</v>
      </c>
      <c r="E523" t="s">
        <v>1822</v>
      </c>
      <c r="F523" t="s">
        <v>1760</v>
      </c>
      <c r="I523">
        <f t="shared" si="48"/>
        <v>0</v>
      </c>
      <c r="J523">
        <f t="shared" si="49"/>
        <v>0</v>
      </c>
      <c r="K523">
        <f t="shared" si="50"/>
        <v>1</v>
      </c>
      <c r="L523">
        <f t="shared" si="51"/>
        <v>0</v>
      </c>
      <c r="M523">
        <f t="shared" si="52"/>
        <v>0</v>
      </c>
      <c r="N523">
        <f t="shared" si="53"/>
        <v>0</v>
      </c>
    </row>
    <row r="524" spans="1:14" x14ac:dyDescent="0.35">
      <c r="A524" t="s">
        <v>820</v>
      </c>
      <c r="B524" t="s">
        <v>2137</v>
      </c>
      <c r="C524" s="7" t="s">
        <v>9</v>
      </c>
      <c r="D524" t="s">
        <v>97</v>
      </c>
      <c r="E524" t="s">
        <v>1823</v>
      </c>
      <c r="F524" t="s">
        <v>1760</v>
      </c>
      <c r="I524">
        <f t="shared" si="48"/>
        <v>0</v>
      </c>
      <c r="J524">
        <f t="shared" si="49"/>
        <v>0</v>
      </c>
      <c r="K524">
        <f t="shared" si="50"/>
        <v>1</v>
      </c>
      <c r="L524">
        <f t="shared" si="51"/>
        <v>0</v>
      </c>
      <c r="M524">
        <f t="shared" si="52"/>
        <v>0</v>
      </c>
      <c r="N524">
        <f t="shared" si="53"/>
        <v>0</v>
      </c>
    </row>
    <row r="525" spans="1:14" x14ac:dyDescent="0.35">
      <c r="A525" t="s">
        <v>1023</v>
      </c>
      <c r="B525" t="s">
        <v>2138</v>
      </c>
      <c r="C525" s="7" t="s">
        <v>9</v>
      </c>
      <c r="D525" t="s">
        <v>55</v>
      </c>
      <c r="E525" t="s">
        <v>1806</v>
      </c>
      <c r="F525" t="s">
        <v>1754</v>
      </c>
      <c r="G525" t="s">
        <v>2139</v>
      </c>
      <c r="H525" t="s">
        <v>2140</v>
      </c>
      <c r="I525">
        <f t="shared" si="48"/>
        <v>0</v>
      </c>
      <c r="J525">
        <f t="shared" si="49"/>
        <v>0</v>
      </c>
      <c r="K525">
        <f t="shared" si="50"/>
        <v>0</v>
      </c>
      <c r="L525">
        <f t="shared" si="51"/>
        <v>1</v>
      </c>
      <c r="M525">
        <f t="shared" si="52"/>
        <v>0</v>
      </c>
      <c r="N525">
        <f t="shared" si="53"/>
        <v>1</v>
      </c>
    </row>
    <row r="526" spans="1:14" x14ac:dyDescent="0.35">
      <c r="A526" t="s">
        <v>1023</v>
      </c>
      <c r="B526" t="s">
        <v>2138</v>
      </c>
      <c r="C526" s="7" t="s">
        <v>9</v>
      </c>
      <c r="D526" t="s">
        <v>55</v>
      </c>
      <c r="E526" t="s">
        <v>1807</v>
      </c>
      <c r="F526" t="s">
        <v>1754</v>
      </c>
      <c r="G526" t="s">
        <v>2139</v>
      </c>
      <c r="H526" t="s">
        <v>2140</v>
      </c>
      <c r="I526">
        <f t="shared" si="48"/>
        <v>0</v>
      </c>
      <c r="J526">
        <f t="shared" si="49"/>
        <v>0</v>
      </c>
      <c r="K526">
        <f t="shared" si="50"/>
        <v>0</v>
      </c>
      <c r="L526">
        <f t="shared" si="51"/>
        <v>1</v>
      </c>
      <c r="M526">
        <f t="shared" si="52"/>
        <v>0</v>
      </c>
      <c r="N526">
        <f t="shared" si="53"/>
        <v>1</v>
      </c>
    </row>
    <row r="527" spans="1:14" x14ac:dyDescent="0.35">
      <c r="A527" t="s">
        <v>1023</v>
      </c>
      <c r="B527" t="s">
        <v>2138</v>
      </c>
      <c r="C527" s="7" t="s">
        <v>9</v>
      </c>
      <c r="D527" t="s">
        <v>55</v>
      </c>
      <c r="E527" t="s">
        <v>1868</v>
      </c>
      <c r="F527" t="s">
        <v>1727</v>
      </c>
      <c r="G527" t="s">
        <v>2139</v>
      </c>
      <c r="H527" t="s">
        <v>2140</v>
      </c>
      <c r="I527">
        <f t="shared" si="48"/>
        <v>0</v>
      </c>
      <c r="J527">
        <f t="shared" si="49"/>
        <v>0</v>
      </c>
      <c r="K527">
        <f t="shared" si="50"/>
        <v>0</v>
      </c>
      <c r="L527">
        <f t="shared" si="51"/>
        <v>0</v>
      </c>
      <c r="M527">
        <f t="shared" si="52"/>
        <v>1</v>
      </c>
      <c r="N527">
        <f t="shared" si="53"/>
        <v>1</v>
      </c>
    </row>
    <row r="528" spans="1:14" x14ac:dyDescent="0.35">
      <c r="A528" t="s">
        <v>1688</v>
      </c>
      <c r="B528" t="s">
        <v>2141</v>
      </c>
      <c r="C528" s="7" t="s">
        <v>9</v>
      </c>
      <c r="D528" t="s">
        <v>55</v>
      </c>
      <c r="E528" t="s">
        <v>1822</v>
      </c>
      <c r="F528" t="s">
        <v>1760</v>
      </c>
      <c r="I528">
        <f t="shared" si="48"/>
        <v>0</v>
      </c>
      <c r="J528">
        <f t="shared" si="49"/>
        <v>0</v>
      </c>
      <c r="K528">
        <f t="shared" si="50"/>
        <v>1</v>
      </c>
      <c r="L528">
        <f t="shared" si="51"/>
        <v>0</v>
      </c>
      <c r="M528">
        <f t="shared" si="52"/>
        <v>0</v>
      </c>
      <c r="N528">
        <f t="shared" si="53"/>
        <v>0</v>
      </c>
    </row>
    <row r="529" spans="1:14" x14ac:dyDescent="0.35">
      <c r="A529" t="s">
        <v>1688</v>
      </c>
      <c r="B529" t="s">
        <v>2141</v>
      </c>
      <c r="C529" s="7" t="s">
        <v>9</v>
      </c>
      <c r="D529" t="s">
        <v>55</v>
      </c>
      <c r="E529" t="s">
        <v>1968</v>
      </c>
      <c r="F529" t="s">
        <v>1760</v>
      </c>
      <c r="I529">
        <f t="shared" si="48"/>
        <v>0</v>
      </c>
      <c r="J529">
        <f t="shared" si="49"/>
        <v>0</v>
      </c>
      <c r="K529">
        <f t="shared" si="50"/>
        <v>1</v>
      </c>
      <c r="L529">
        <f t="shared" si="51"/>
        <v>0</v>
      </c>
      <c r="M529">
        <f t="shared" si="52"/>
        <v>0</v>
      </c>
      <c r="N529">
        <f t="shared" si="53"/>
        <v>0</v>
      </c>
    </row>
    <row r="530" spans="1:14" x14ac:dyDescent="0.35">
      <c r="A530" t="s">
        <v>1688</v>
      </c>
      <c r="B530" t="s">
        <v>2141</v>
      </c>
      <c r="C530" s="7" t="s">
        <v>9</v>
      </c>
      <c r="D530" t="s">
        <v>55</v>
      </c>
      <c r="E530" t="s">
        <v>1821</v>
      </c>
      <c r="F530" t="s">
        <v>1760</v>
      </c>
      <c r="I530">
        <f t="shared" si="48"/>
        <v>0</v>
      </c>
      <c r="J530">
        <f t="shared" si="49"/>
        <v>0</v>
      </c>
      <c r="K530">
        <f t="shared" si="50"/>
        <v>1</v>
      </c>
      <c r="L530">
        <f t="shared" si="51"/>
        <v>0</v>
      </c>
      <c r="M530">
        <f t="shared" si="52"/>
        <v>0</v>
      </c>
      <c r="N530">
        <f t="shared" si="53"/>
        <v>0</v>
      </c>
    </row>
    <row r="531" spans="1:14" x14ac:dyDescent="0.35">
      <c r="A531" t="s">
        <v>1326</v>
      </c>
      <c r="B531" t="s">
        <v>2142</v>
      </c>
      <c r="C531" s="7" t="s">
        <v>9</v>
      </c>
      <c r="D531" t="s">
        <v>51</v>
      </c>
      <c r="E531" t="s">
        <v>1840</v>
      </c>
      <c r="F531" t="s">
        <v>1760</v>
      </c>
      <c r="I531">
        <f t="shared" si="48"/>
        <v>0</v>
      </c>
      <c r="J531">
        <f t="shared" si="49"/>
        <v>0</v>
      </c>
      <c r="K531">
        <f t="shared" si="50"/>
        <v>1</v>
      </c>
      <c r="L531">
        <f t="shared" si="51"/>
        <v>0</v>
      </c>
      <c r="M531">
        <f t="shared" si="52"/>
        <v>0</v>
      </c>
      <c r="N531">
        <f t="shared" si="53"/>
        <v>0</v>
      </c>
    </row>
    <row r="532" spans="1:14" x14ac:dyDescent="0.35">
      <c r="A532" t="s">
        <v>1326</v>
      </c>
      <c r="B532" t="s">
        <v>2142</v>
      </c>
      <c r="C532" s="7" t="s">
        <v>9</v>
      </c>
      <c r="D532" t="s">
        <v>51</v>
      </c>
      <c r="E532" t="s">
        <v>2002</v>
      </c>
      <c r="F532" t="s">
        <v>1754</v>
      </c>
      <c r="I532">
        <f t="shared" si="48"/>
        <v>0</v>
      </c>
      <c r="J532">
        <f t="shared" si="49"/>
        <v>0</v>
      </c>
      <c r="K532">
        <f t="shared" si="50"/>
        <v>0</v>
      </c>
      <c r="L532">
        <f t="shared" si="51"/>
        <v>1</v>
      </c>
      <c r="M532">
        <f t="shared" si="52"/>
        <v>0</v>
      </c>
      <c r="N532">
        <f t="shared" si="53"/>
        <v>0</v>
      </c>
    </row>
    <row r="533" spans="1:14" x14ac:dyDescent="0.35">
      <c r="A533" t="s">
        <v>1326</v>
      </c>
      <c r="B533" t="s">
        <v>2142</v>
      </c>
      <c r="C533" s="7" t="s">
        <v>9</v>
      </c>
      <c r="D533" t="s">
        <v>51</v>
      </c>
      <c r="E533" t="s">
        <v>2003</v>
      </c>
      <c r="F533" t="s">
        <v>1754</v>
      </c>
      <c r="I533">
        <f t="shared" si="48"/>
        <v>0</v>
      </c>
      <c r="J533">
        <f t="shared" si="49"/>
        <v>0</v>
      </c>
      <c r="K533">
        <f t="shared" si="50"/>
        <v>0</v>
      </c>
      <c r="L533">
        <f t="shared" si="51"/>
        <v>1</v>
      </c>
      <c r="M533">
        <f t="shared" si="52"/>
        <v>0</v>
      </c>
      <c r="N533">
        <f t="shared" si="53"/>
        <v>0</v>
      </c>
    </row>
    <row r="534" spans="1:14" x14ac:dyDescent="0.35">
      <c r="A534" t="s">
        <v>1230</v>
      </c>
      <c r="B534" t="s">
        <v>2143</v>
      </c>
      <c r="C534" s="7" t="s">
        <v>9</v>
      </c>
      <c r="D534" t="s">
        <v>92</v>
      </c>
      <c r="E534" t="s">
        <v>1818</v>
      </c>
      <c r="F534" t="s">
        <v>1760</v>
      </c>
      <c r="I534">
        <f t="shared" si="48"/>
        <v>0</v>
      </c>
      <c r="J534">
        <f t="shared" si="49"/>
        <v>0</v>
      </c>
      <c r="K534">
        <f t="shared" si="50"/>
        <v>1</v>
      </c>
      <c r="L534">
        <f t="shared" si="51"/>
        <v>0</v>
      </c>
      <c r="M534">
        <f t="shared" si="52"/>
        <v>0</v>
      </c>
      <c r="N534">
        <f t="shared" si="53"/>
        <v>0</v>
      </c>
    </row>
    <row r="535" spans="1:14" x14ac:dyDescent="0.35">
      <c r="A535" t="s">
        <v>1230</v>
      </c>
      <c r="B535" t="s">
        <v>2143</v>
      </c>
      <c r="C535" s="7" t="s">
        <v>9</v>
      </c>
      <c r="D535" t="s">
        <v>92</v>
      </c>
      <c r="E535" t="s">
        <v>1806</v>
      </c>
      <c r="F535" t="s">
        <v>1754</v>
      </c>
      <c r="I535">
        <f t="shared" si="48"/>
        <v>0</v>
      </c>
      <c r="J535">
        <f t="shared" si="49"/>
        <v>0</v>
      </c>
      <c r="K535">
        <f t="shared" si="50"/>
        <v>0</v>
      </c>
      <c r="L535">
        <f t="shared" si="51"/>
        <v>1</v>
      </c>
      <c r="M535">
        <f t="shared" si="52"/>
        <v>0</v>
      </c>
      <c r="N535">
        <f t="shared" si="53"/>
        <v>0</v>
      </c>
    </row>
    <row r="536" spans="1:14" x14ac:dyDescent="0.35">
      <c r="A536" t="s">
        <v>1230</v>
      </c>
      <c r="B536" t="s">
        <v>2143</v>
      </c>
      <c r="C536" s="7" t="s">
        <v>9</v>
      </c>
      <c r="D536" t="s">
        <v>92</v>
      </c>
      <c r="E536" t="s">
        <v>1807</v>
      </c>
      <c r="F536" t="s">
        <v>1754</v>
      </c>
      <c r="I536">
        <f t="shared" si="48"/>
        <v>0</v>
      </c>
      <c r="J536">
        <f t="shared" si="49"/>
        <v>0</v>
      </c>
      <c r="K536">
        <f t="shared" si="50"/>
        <v>0</v>
      </c>
      <c r="L536">
        <f t="shared" si="51"/>
        <v>1</v>
      </c>
      <c r="M536">
        <f t="shared" si="52"/>
        <v>0</v>
      </c>
      <c r="N536">
        <f t="shared" si="53"/>
        <v>0</v>
      </c>
    </row>
    <row r="537" spans="1:14" x14ac:dyDescent="0.35">
      <c r="A537" t="s">
        <v>1355</v>
      </c>
      <c r="B537" t="s">
        <v>2144</v>
      </c>
      <c r="C537" s="7" t="s">
        <v>9</v>
      </c>
      <c r="D537" t="s">
        <v>570</v>
      </c>
      <c r="E537" t="s">
        <v>1959</v>
      </c>
      <c r="F537" t="s">
        <v>1760</v>
      </c>
      <c r="I537">
        <f t="shared" si="48"/>
        <v>0</v>
      </c>
      <c r="J537">
        <f t="shared" si="49"/>
        <v>0</v>
      </c>
      <c r="K537">
        <f t="shared" si="50"/>
        <v>1</v>
      </c>
      <c r="L537">
        <f t="shared" si="51"/>
        <v>0</v>
      </c>
      <c r="M537">
        <f t="shared" si="52"/>
        <v>0</v>
      </c>
      <c r="N537">
        <f t="shared" si="53"/>
        <v>0</v>
      </c>
    </row>
    <row r="538" spans="1:14" x14ac:dyDescent="0.35">
      <c r="A538" t="s">
        <v>1355</v>
      </c>
      <c r="B538" t="s">
        <v>2144</v>
      </c>
      <c r="C538" s="7" t="s">
        <v>9</v>
      </c>
      <c r="D538" t="s">
        <v>570</v>
      </c>
      <c r="E538" t="s">
        <v>1807</v>
      </c>
      <c r="F538" t="s">
        <v>1754</v>
      </c>
      <c r="I538">
        <f t="shared" si="48"/>
        <v>0</v>
      </c>
      <c r="J538">
        <f t="shared" si="49"/>
        <v>0</v>
      </c>
      <c r="K538">
        <f t="shared" si="50"/>
        <v>0</v>
      </c>
      <c r="L538">
        <f t="shared" si="51"/>
        <v>1</v>
      </c>
      <c r="M538">
        <f t="shared" si="52"/>
        <v>0</v>
      </c>
      <c r="N538">
        <f t="shared" si="53"/>
        <v>0</v>
      </c>
    </row>
    <row r="539" spans="1:14" x14ac:dyDescent="0.35">
      <c r="A539" t="s">
        <v>1355</v>
      </c>
      <c r="B539" t="s">
        <v>2144</v>
      </c>
      <c r="C539" s="7" t="s">
        <v>9</v>
      </c>
      <c r="D539" t="s">
        <v>570</v>
      </c>
      <c r="E539" t="s">
        <v>1956</v>
      </c>
      <c r="F539" t="s">
        <v>1760</v>
      </c>
      <c r="I539">
        <f t="shared" si="48"/>
        <v>0</v>
      </c>
      <c r="J539">
        <f t="shared" si="49"/>
        <v>0</v>
      </c>
      <c r="K539">
        <f t="shared" si="50"/>
        <v>1</v>
      </c>
      <c r="L539">
        <f t="shared" si="51"/>
        <v>0</v>
      </c>
      <c r="M539">
        <f t="shared" si="52"/>
        <v>0</v>
      </c>
      <c r="N539">
        <f t="shared" si="53"/>
        <v>0</v>
      </c>
    </row>
    <row r="540" spans="1:14" x14ac:dyDescent="0.35">
      <c r="A540" t="s">
        <v>1355</v>
      </c>
      <c r="B540" t="s">
        <v>2144</v>
      </c>
      <c r="C540" s="7" t="s">
        <v>9</v>
      </c>
      <c r="D540" t="s">
        <v>570</v>
      </c>
      <c r="E540" t="s">
        <v>1856</v>
      </c>
      <c r="F540" t="s">
        <v>1760</v>
      </c>
      <c r="I540">
        <f t="shared" si="48"/>
        <v>0</v>
      </c>
      <c r="J540">
        <f t="shared" si="49"/>
        <v>0</v>
      </c>
      <c r="K540">
        <f t="shared" si="50"/>
        <v>1</v>
      </c>
      <c r="L540">
        <f t="shared" si="51"/>
        <v>0</v>
      </c>
      <c r="M540">
        <f t="shared" si="52"/>
        <v>0</v>
      </c>
      <c r="N540">
        <f t="shared" si="53"/>
        <v>0</v>
      </c>
    </row>
    <row r="541" spans="1:14" x14ac:dyDescent="0.35">
      <c r="A541" t="s">
        <v>1355</v>
      </c>
      <c r="B541" t="s">
        <v>2144</v>
      </c>
      <c r="C541" s="7" t="s">
        <v>9</v>
      </c>
      <c r="D541" t="s">
        <v>570</v>
      </c>
      <c r="E541" t="s">
        <v>1806</v>
      </c>
      <c r="F541" t="s">
        <v>1754</v>
      </c>
      <c r="I541">
        <f t="shared" si="48"/>
        <v>0</v>
      </c>
      <c r="J541">
        <f t="shared" si="49"/>
        <v>0</v>
      </c>
      <c r="K541">
        <f t="shared" si="50"/>
        <v>0</v>
      </c>
      <c r="L541">
        <f t="shared" si="51"/>
        <v>1</v>
      </c>
      <c r="M541">
        <f t="shared" si="52"/>
        <v>0</v>
      </c>
      <c r="N541">
        <f t="shared" si="53"/>
        <v>0</v>
      </c>
    </row>
    <row r="542" spans="1:14" x14ac:dyDescent="0.35">
      <c r="A542" t="s">
        <v>46</v>
      </c>
      <c r="B542" t="s">
        <v>2145</v>
      </c>
      <c r="C542" s="7" t="s">
        <v>9</v>
      </c>
      <c r="D542" t="s">
        <v>570</v>
      </c>
      <c r="E542" t="s">
        <v>1846</v>
      </c>
      <c r="F542" t="s">
        <v>1760</v>
      </c>
      <c r="G542" t="s">
        <v>2146</v>
      </c>
      <c r="H542" t="s">
        <v>2073</v>
      </c>
      <c r="I542">
        <f t="shared" si="48"/>
        <v>0</v>
      </c>
      <c r="J542">
        <f t="shared" si="49"/>
        <v>0</v>
      </c>
      <c r="K542">
        <f t="shared" si="50"/>
        <v>1</v>
      </c>
      <c r="L542">
        <f t="shared" si="51"/>
        <v>0</v>
      </c>
      <c r="M542">
        <f t="shared" si="52"/>
        <v>0</v>
      </c>
      <c r="N542">
        <f t="shared" si="53"/>
        <v>1</v>
      </c>
    </row>
    <row r="543" spans="1:14" x14ac:dyDescent="0.35">
      <c r="A543" t="s">
        <v>1371</v>
      </c>
      <c r="B543" t="s">
        <v>2147</v>
      </c>
      <c r="C543" s="7" t="s">
        <v>9</v>
      </c>
      <c r="D543" t="s">
        <v>55</v>
      </c>
      <c r="E543" t="s">
        <v>1931</v>
      </c>
      <c r="F543" t="s">
        <v>1754</v>
      </c>
      <c r="I543">
        <f t="shared" si="48"/>
        <v>0</v>
      </c>
      <c r="J543">
        <f t="shared" si="49"/>
        <v>0</v>
      </c>
      <c r="K543">
        <f t="shared" si="50"/>
        <v>0</v>
      </c>
      <c r="L543">
        <f t="shared" si="51"/>
        <v>1</v>
      </c>
      <c r="M543">
        <f t="shared" si="52"/>
        <v>0</v>
      </c>
      <c r="N543">
        <f t="shared" si="53"/>
        <v>0</v>
      </c>
    </row>
    <row r="544" spans="1:14" x14ac:dyDescent="0.35">
      <c r="A544" t="s">
        <v>1371</v>
      </c>
      <c r="B544" t="s">
        <v>2147</v>
      </c>
      <c r="C544" s="7" t="s">
        <v>9</v>
      </c>
      <c r="D544" t="s">
        <v>55</v>
      </c>
      <c r="E544" t="s">
        <v>1928</v>
      </c>
      <c r="F544" t="s">
        <v>1754</v>
      </c>
      <c r="I544">
        <f t="shared" si="48"/>
        <v>0</v>
      </c>
      <c r="J544">
        <f t="shared" si="49"/>
        <v>0</v>
      </c>
      <c r="K544">
        <f t="shared" si="50"/>
        <v>0</v>
      </c>
      <c r="L544">
        <f t="shared" si="51"/>
        <v>1</v>
      </c>
      <c r="M544">
        <f t="shared" si="52"/>
        <v>0</v>
      </c>
      <c r="N544">
        <f t="shared" si="53"/>
        <v>0</v>
      </c>
    </row>
    <row r="545" spans="1:14" x14ac:dyDescent="0.35">
      <c r="A545" t="s">
        <v>1371</v>
      </c>
      <c r="B545" t="s">
        <v>2147</v>
      </c>
      <c r="C545" s="7" t="s">
        <v>9</v>
      </c>
      <c r="D545" t="s">
        <v>55</v>
      </c>
      <c r="E545" t="s">
        <v>1896</v>
      </c>
      <c r="F545" t="s">
        <v>1754</v>
      </c>
      <c r="I545">
        <f t="shared" si="48"/>
        <v>0</v>
      </c>
      <c r="J545">
        <f t="shared" si="49"/>
        <v>0</v>
      </c>
      <c r="K545">
        <f t="shared" si="50"/>
        <v>0</v>
      </c>
      <c r="L545">
        <f t="shared" si="51"/>
        <v>1</v>
      </c>
      <c r="M545">
        <f t="shared" si="52"/>
        <v>0</v>
      </c>
      <c r="N545">
        <f t="shared" si="53"/>
        <v>0</v>
      </c>
    </row>
    <row r="546" spans="1:14" x14ac:dyDescent="0.35">
      <c r="A546" t="s">
        <v>1371</v>
      </c>
      <c r="B546" t="s">
        <v>2147</v>
      </c>
      <c r="C546" s="7" t="s">
        <v>9</v>
      </c>
      <c r="D546" t="s">
        <v>55</v>
      </c>
      <c r="E546" t="s">
        <v>1894</v>
      </c>
      <c r="F546" t="s">
        <v>1754</v>
      </c>
      <c r="I546">
        <f t="shared" si="48"/>
        <v>0</v>
      </c>
      <c r="J546">
        <f t="shared" si="49"/>
        <v>0</v>
      </c>
      <c r="K546">
        <f t="shared" si="50"/>
        <v>0</v>
      </c>
      <c r="L546">
        <f t="shared" si="51"/>
        <v>1</v>
      </c>
      <c r="M546">
        <f t="shared" si="52"/>
        <v>0</v>
      </c>
      <c r="N546">
        <f t="shared" si="53"/>
        <v>0</v>
      </c>
    </row>
    <row r="547" spans="1:14" x14ac:dyDescent="0.35">
      <c r="A547" t="s">
        <v>203</v>
      </c>
      <c r="B547" t="s">
        <v>2148</v>
      </c>
      <c r="C547" s="7" t="s">
        <v>9</v>
      </c>
      <c r="D547" t="s">
        <v>206</v>
      </c>
      <c r="E547" t="s">
        <v>2119</v>
      </c>
      <c r="F547" t="s">
        <v>1754</v>
      </c>
      <c r="I547">
        <f t="shared" si="48"/>
        <v>0</v>
      </c>
      <c r="J547">
        <f t="shared" si="49"/>
        <v>0</v>
      </c>
      <c r="K547">
        <f t="shared" si="50"/>
        <v>0</v>
      </c>
      <c r="L547">
        <f t="shared" si="51"/>
        <v>1</v>
      </c>
      <c r="M547">
        <f t="shared" si="52"/>
        <v>0</v>
      </c>
      <c r="N547">
        <f t="shared" si="53"/>
        <v>0</v>
      </c>
    </row>
    <row r="548" spans="1:14" x14ac:dyDescent="0.35">
      <c r="A548" t="s">
        <v>672</v>
      </c>
      <c r="B548" t="s">
        <v>2149</v>
      </c>
      <c r="C548" s="7" t="s">
        <v>9</v>
      </c>
      <c r="D548" t="s">
        <v>180</v>
      </c>
      <c r="E548" t="s">
        <v>1951</v>
      </c>
      <c r="F548" t="s">
        <v>1754</v>
      </c>
      <c r="I548">
        <f t="shared" si="48"/>
        <v>0</v>
      </c>
      <c r="J548">
        <f t="shared" si="49"/>
        <v>0</v>
      </c>
      <c r="K548">
        <f t="shared" si="50"/>
        <v>0</v>
      </c>
      <c r="L548">
        <f t="shared" si="51"/>
        <v>1</v>
      </c>
      <c r="M548">
        <f t="shared" si="52"/>
        <v>0</v>
      </c>
      <c r="N548">
        <f t="shared" si="53"/>
        <v>0</v>
      </c>
    </row>
    <row r="549" spans="1:14" x14ac:dyDescent="0.35">
      <c r="A549" t="s">
        <v>672</v>
      </c>
      <c r="B549" t="s">
        <v>2149</v>
      </c>
      <c r="C549" s="7" t="s">
        <v>9</v>
      </c>
      <c r="D549" t="s">
        <v>180</v>
      </c>
      <c r="E549" t="s">
        <v>1953</v>
      </c>
      <c r="F549" t="s">
        <v>1754</v>
      </c>
      <c r="I549">
        <f t="shared" si="48"/>
        <v>0</v>
      </c>
      <c r="J549">
        <f t="shared" si="49"/>
        <v>0</v>
      </c>
      <c r="K549">
        <f t="shared" si="50"/>
        <v>0</v>
      </c>
      <c r="L549">
        <f t="shared" si="51"/>
        <v>1</v>
      </c>
      <c r="M549">
        <f t="shared" si="52"/>
        <v>0</v>
      </c>
      <c r="N549">
        <f t="shared" si="53"/>
        <v>0</v>
      </c>
    </row>
    <row r="550" spans="1:14" x14ac:dyDescent="0.35">
      <c r="A550" t="s">
        <v>380</v>
      </c>
      <c r="B550" t="s">
        <v>2150</v>
      </c>
      <c r="C550" s="7" t="s">
        <v>9</v>
      </c>
      <c r="D550" t="s">
        <v>382</v>
      </c>
      <c r="E550" t="s">
        <v>1823</v>
      </c>
      <c r="F550" t="s">
        <v>1760</v>
      </c>
      <c r="G550" t="s">
        <v>2151</v>
      </c>
      <c r="H550" t="s">
        <v>2152</v>
      </c>
      <c r="I550">
        <f t="shared" si="48"/>
        <v>0</v>
      </c>
      <c r="J550">
        <f t="shared" si="49"/>
        <v>0</v>
      </c>
      <c r="K550">
        <f t="shared" si="50"/>
        <v>1</v>
      </c>
      <c r="L550">
        <f t="shared" si="51"/>
        <v>0</v>
      </c>
      <c r="M550">
        <f t="shared" si="52"/>
        <v>0</v>
      </c>
      <c r="N550">
        <f t="shared" si="53"/>
        <v>1</v>
      </c>
    </row>
    <row r="551" spans="1:14" x14ac:dyDescent="0.35">
      <c r="A551" t="s">
        <v>380</v>
      </c>
      <c r="B551" t="s">
        <v>2150</v>
      </c>
      <c r="C551" s="7" t="s">
        <v>9</v>
      </c>
      <c r="D551" t="s">
        <v>382</v>
      </c>
      <c r="E551" t="s">
        <v>1840</v>
      </c>
      <c r="F551" t="s">
        <v>1760</v>
      </c>
      <c r="G551" t="s">
        <v>2151</v>
      </c>
      <c r="H551" t="s">
        <v>2152</v>
      </c>
      <c r="I551">
        <f t="shared" si="48"/>
        <v>0</v>
      </c>
      <c r="J551">
        <f t="shared" si="49"/>
        <v>0</v>
      </c>
      <c r="K551">
        <f t="shared" si="50"/>
        <v>1</v>
      </c>
      <c r="L551">
        <f t="shared" si="51"/>
        <v>0</v>
      </c>
      <c r="M551">
        <f t="shared" si="52"/>
        <v>0</v>
      </c>
      <c r="N551">
        <f t="shared" si="53"/>
        <v>1</v>
      </c>
    </row>
    <row r="552" spans="1:14" x14ac:dyDescent="0.35">
      <c r="A552" t="s">
        <v>380</v>
      </c>
      <c r="B552" t="s">
        <v>2150</v>
      </c>
      <c r="C552" s="7" t="s">
        <v>9</v>
      </c>
      <c r="D552" t="s">
        <v>382</v>
      </c>
      <c r="E552" t="s">
        <v>1842</v>
      </c>
      <c r="F552" t="s">
        <v>1760</v>
      </c>
      <c r="G552" t="s">
        <v>2151</v>
      </c>
      <c r="H552" t="s">
        <v>2152</v>
      </c>
      <c r="I552">
        <f t="shared" si="48"/>
        <v>0</v>
      </c>
      <c r="J552">
        <f t="shared" si="49"/>
        <v>0</v>
      </c>
      <c r="K552">
        <f t="shared" si="50"/>
        <v>1</v>
      </c>
      <c r="L552">
        <f t="shared" si="51"/>
        <v>0</v>
      </c>
      <c r="M552">
        <f t="shared" si="52"/>
        <v>0</v>
      </c>
      <c r="N552">
        <f t="shared" si="53"/>
        <v>1</v>
      </c>
    </row>
    <row r="553" spans="1:14" x14ac:dyDescent="0.35">
      <c r="A553" t="s">
        <v>380</v>
      </c>
      <c r="B553" t="s">
        <v>2150</v>
      </c>
      <c r="C553" s="7" t="s">
        <v>9</v>
      </c>
      <c r="D553" t="s">
        <v>382</v>
      </c>
      <c r="E553" t="s">
        <v>1838</v>
      </c>
      <c r="F553" t="s">
        <v>1760</v>
      </c>
      <c r="G553" t="s">
        <v>2151</v>
      </c>
      <c r="H553" t="s">
        <v>2152</v>
      </c>
      <c r="I553">
        <f t="shared" si="48"/>
        <v>0</v>
      </c>
      <c r="J553">
        <f t="shared" si="49"/>
        <v>0</v>
      </c>
      <c r="K553">
        <f t="shared" si="50"/>
        <v>1</v>
      </c>
      <c r="L553">
        <f t="shared" si="51"/>
        <v>0</v>
      </c>
      <c r="M553">
        <f t="shared" si="52"/>
        <v>0</v>
      </c>
      <c r="N553">
        <f t="shared" si="53"/>
        <v>1</v>
      </c>
    </row>
    <row r="554" spans="1:14" x14ac:dyDescent="0.35">
      <c r="A554" t="s">
        <v>380</v>
      </c>
      <c r="B554" t="s">
        <v>2150</v>
      </c>
      <c r="C554" s="7" t="s">
        <v>9</v>
      </c>
      <c r="D554" t="s">
        <v>382</v>
      </c>
      <c r="E554" t="s">
        <v>1841</v>
      </c>
      <c r="F554" t="s">
        <v>1760</v>
      </c>
      <c r="G554" t="s">
        <v>2151</v>
      </c>
      <c r="H554" t="s">
        <v>2152</v>
      </c>
      <c r="I554">
        <f t="shared" si="48"/>
        <v>0</v>
      </c>
      <c r="J554">
        <f t="shared" si="49"/>
        <v>0</v>
      </c>
      <c r="K554">
        <f t="shared" si="50"/>
        <v>1</v>
      </c>
      <c r="L554">
        <f t="shared" si="51"/>
        <v>0</v>
      </c>
      <c r="M554">
        <f t="shared" si="52"/>
        <v>0</v>
      </c>
      <c r="N554">
        <f t="shared" si="53"/>
        <v>1</v>
      </c>
    </row>
    <row r="555" spans="1:14" x14ac:dyDescent="0.35">
      <c r="A555" t="s">
        <v>380</v>
      </c>
      <c r="B555" t="s">
        <v>2150</v>
      </c>
      <c r="C555" s="7" t="s">
        <v>9</v>
      </c>
      <c r="D555" t="s">
        <v>382</v>
      </c>
      <c r="E555" t="s">
        <v>1843</v>
      </c>
      <c r="F555" t="s">
        <v>1760</v>
      </c>
      <c r="G555" t="s">
        <v>2151</v>
      </c>
      <c r="H555" t="s">
        <v>2152</v>
      </c>
      <c r="I555">
        <f t="shared" si="48"/>
        <v>0</v>
      </c>
      <c r="J555">
        <f t="shared" si="49"/>
        <v>0</v>
      </c>
      <c r="K555">
        <f t="shared" si="50"/>
        <v>1</v>
      </c>
      <c r="L555">
        <f t="shared" si="51"/>
        <v>0</v>
      </c>
      <c r="M555">
        <f t="shared" si="52"/>
        <v>0</v>
      </c>
      <c r="N555">
        <f t="shared" si="53"/>
        <v>1</v>
      </c>
    </row>
    <row r="556" spans="1:14" x14ac:dyDescent="0.35">
      <c r="A556" t="s">
        <v>380</v>
      </c>
      <c r="B556" t="s">
        <v>2150</v>
      </c>
      <c r="C556" s="7" t="s">
        <v>9</v>
      </c>
      <c r="D556" t="s">
        <v>382</v>
      </c>
      <c r="E556" t="s">
        <v>1822</v>
      </c>
      <c r="F556" t="s">
        <v>1760</v>
      </c>
      <c r="G556" t="s">
        <v>2151</v>
      </c>
      <c r="H556" t="s">
        <v>2152</v>
      </c>
      <c r="I556">
        <f t="shared" si="48"/>
        <v>0</v>
      </c>
      <c r="J556">
        <f t="shared" si="49"/>
        <v>0</v>
      </c>
      <c r="K556">
        <f t="shared" si="50"/>
        <v>1</v>
      </c>
      <c r="L556">
        <f t="shared" si="51"/>
        <v>0</v>
      </c>
      <c r="M556">
        <f t="shared" si="52"/>
        <v>0</v>
      </c>
      <c r="N556">
        <f t="shared" si="53"/>
        <v>1</v>
      </c>
    </row>
    <row r="557" spans="1:14" x14ac:dyDescent="0.35">
      <c r="A557" t="s">
        <v>380</v>
      </c>
      <c r="B557" t="s">
        <v>2150</v>
      </c>
      <c r="C557" s="7" t="s">
        <v>9</v>
      </c>
      <c r="D557" t="s">
        <v>382</v>
      </c>
      <c r="E557" t="s">
        <v>1839</v>
      </c>
      <c r="F557" t="s">
        <v>1760</v>
      </c>
      <c r="G557" t="s">
        <v>2151</v>
      </c>
      <c r="H557" t="s">
        <v>2152</v>
      </c>
      <c r="I557">
        <f t="shared" si="48"/>
        <v>0</v>
      </c>
      <c r="J557">
        <f t="shared" si="49"/>
        <v>0</v>
      </c>
      <c r="K557">
        <f t="shared" si="50"/>
        <v>1</v>
      </c>
      <c r="L557">
        <f t="shared" si="51"/>
        <v>0</v>
      </c>
      <c r="M557">
        <f t="shared" si="52"/>
        <v>0</v>
      </c>
      <c r="N557">
        <f t="shared" si="53"/>
        <v>1</v>
      </c>
    </row>
    <row r="558" spans="1:14" x14ac:dyDescent="0.35">
      <c r="A558" t="s">
        <v>380</v>
      </c>
      <c r="B558" t="s">
        <v>2150</v>
      </c>
      <c r="C558" s="7" t="s">
        <v>9</v>
      </c>
      <c r="D558" t="s">
        <v>382</v>
      </c>
      <c r="E558" t="s">
        <v>1821</v>
      </c>
      <c r="F558" t="s">
        <v>1760</v>
      </c>
      <c r="G558" t="s">
        <v>2151</v>
      </c>
      <c r="H558" t="s">
        <v>2152</v>
      </c>
      <c r="I558">
        <f t="shared" si="48"/>
        <v>0</v>
      </c>
      <c r="J558">
        <f t="shared" si="49"/>
        <v>0</v>
      </c>
      <c r="K558">
        <f t="shared" si="50"/>
        <v>1</v>
      </c>
      <c r="L558">
        <f t="shared" si="51"/>
        <v>0</v>
      </c>
      <c r="M558">
        <f t="shared" si="52"/>
        <v>0</v>
      </c>
      <c r="N558">
        <f t="shared" si="53"/>
        <v>1</v>
      </c>
    </row>
    <row r="559" spans="1:14" x14ac:dyDescent="0.35">
      <c r="A559" t="s">
        <v>380</v>
      </c>
      <c r="B559" t="s">
        <v>2150</v>
      </c>
      <c r="C559" s="7" t="s">
        <v>9</v>
      </c>
      <c r="D559" t="s">
        <v>382</v>
      </c>
      <c r="E559" t="s">
        <v>1858</v>
      </c>
      <c r="F559" t="s">
        <v>1760</v>
      </c>
      <c r="G559" t="s">
        <v>2151</v>
      </c>
      <c r="H559" t="s">
        <v>2152</v>
      </c>
      <c r="I559">
        <f t="shared" si="48"/>
        <v>0</v>
      </c>
      <c r="J559">
        <f t="shared" si="49"/>
        <v>0</v>
      </c>
      <c r="K559">
        <f t="shared" si="50"/>
        <v>1</v>
      </c>
      <c r="L559">
        <f t="shared" si="51"/>
        <v>0</v>
      </c>
      <c r="M559">
        <f t="shared" si="52"/>
        <v>0</v>
      </c>
      <c r="N559">
        <f t="shared" si="53"/>
        <v>1</v>
      </c>
    </row>
    <row r="560" spans="1:14" x14ac:dyDescent="0.35">
      <c r="A560" t="s">
        <v>380</v>
      </c>
      <c r="B560" t="s">
        <v>2150</v>
      </c>
      <c r="C560" s="7" t="s">
        <v>9</v>
      </c>
      <c r="D560" t="s">
        <v>382</v>
      </c>
      <c r="E560" t="s">
        <v>1951</v>
      </c>
      <c r="F560" t="s">
        <v>1754</v>
      </c>
      <c r="G560" t="s">
        <v>2151</v>
      </c>
      <c r="H560" t="s">
        <v>2152</v>
      </c>
      <c r="I560">
        <f t="shared" si="48"/>
        <v>0</v>
      </c>
      <c r="J560">
        <f t="shared" si="49"/>
        <v>0</v>
      </c>
      <c r="K560">
        <f t="shared" si="50"/>
        <v>0</v>
      </c>
      <c r="L560">
        <f t="shared" si="51"/>
        <v>1</v>
      </c>
      <c r="M560">
        <f t="shared" si="52"/>
        <v>0</v>
      </c>
      <c r="N560">
        <f t="shared" si="53"/>
        <v>1</v>
      </c>
    </row>
    <row r="561" spans="1:14" x14ac:dyDescent="0.35">
      <c r="A561" t="s">
        <v>380</v>
      </c>
      <c r="B561" t="s">
        <v>2150</v>
      </c>
      <c r="C561" s="7" t="s">
        <v>9</v>
      </c>
      <c r="D561" t="s">
        <v>382</v>
      </c>
      <c r="E561" t="s">
        <v>1953</v>
      </c>
      <c r="F561" t="s">
        <v>1754</v>
      </c>
      <c r="G561" t="s">
        <v>2151</v>
      </c>
      <c r="H561" t="s">
        <v>2152</v>
      </c>
      <c r="I561">
        <f t="shared" si="48"/>
        <v>0</v>
      </c>
      <c r="J561">
        <f t="shared" si="49"/>
        <v>0</v>
      </c>
      <c r="K561">
        <f t="shared" si="50"/>
        <v>0</v>
      </c>
      <c r="L561">
        <f t="shared" si="51"/>
        <v>1</v>
      </c>
      <c r="M561">
        <f t="shared" si="52"/>
        <v>0</v>
      </c>
      <c r="N561">
        <f t="shared" si="53"/>
        <v>1</v>
      </c>
    </row>
    <row r="562" spans="1:14" x14ac:dyDescent="0.35">
      <c r="A562" t="s">
        <v>309</v>
      </c>
      <c r="B562" t="s">
        <v>2153</v>
      </c>
      <c r="C562" s="7" t="s">
        <v>9</v>
      </c>
      <c r="D562" t="s">
        <v>152</v>
      </c>
      <c r="E562" t="s">
        <v>1935</v>
      </c>
      <c r="F562" t="s">
        <v>1760</v>
      </c>
      <c r="I562">
        <f t="shared" si="48"/>
        <v>0</v>
      </c>
      <c r="J562">
        <f t="shared" si="49"/>
        <v>0</v>
      </c>
      <c r="K562">
        <f t="shared" si="50"/>
        <v>1</v>
      </c>
      <c r="L562">
        <f t="shared" si="51"/>
        <v>0</v>
      </c>
      <c r="M562">
        <f t="shared" si="52"/>
        <v>0</v>
      </c>
      <c r="N562">
        <f t="shared" si="53"/>
        <v>0</v>
      </c>
    </row>
    <row r="563" spans="1:14" x14ac:dyDescent="0.35">
      <c r="A563" t="s">
        <v>309</v>
      </c>
      <c r="B563" t="s">
        <v>2153</v>
      </c>
      <c r="C563" s="7" t="s">
        <v>9</v>
      </c>
      <c r="D563" t="s">
        <v>152</v>
      </c>
      <c r="E563" t="s">
        <v>1936</v>
      </c>
      <c r="F563" t="s">
        <v>1760</v>
      </c>
      <c r="I563">
        <f t="shared" si="48"/>
        <v>0</v>
      </c>
      <c r="J563">
        <f t="shared" si="49"/>
        <v>0</v>
      </c>
      <c r="K563">
        <f t="shared" si="50"/>
        <v>1</v>
      </c>
      <c r="L563">
        <f t="shared" si="51"/>
        <v>0</v>
      </c>
      <c r="M563">
        <f t="shared" si="52"/>
        <v>0</v>
      </c>
      <c r="N563">
        <f t="shared" si="53"/>
        <v>0</v>
      </c>
    </row>
    <row r="564" spans="1:14" x14ac:dyDescent="0.35">
      <c r="A564" t="s">
        <v>331</v>
      </c>
      <c r="B564" t="s">
        <v>2154</v>
      </c>
      <c r="C564" s="7" t="s">
        <v>9</v>
      </c>
      <c r="D564" t="s">
        <v>333</v>
      </c>
      <c r="E564" t="s">
        <v>2000</v>
      </c>
      <c r="F564" t="s">
        <v>1886</v>
      </c>
      <c r="I564">
        <f t="shared" si="48"/>
        <v>0</v>
      </c>
      <c r="J564">
        <f t="shared" si="49"/>
        <v>0</v>
      </c>
      <c r="K564">
        <f t="shared" si="50"/>
        <v>0</v>
      </c>
      <c r="L564">
        <f t="shared" si="51"/>
        <v>0</v>
      </c>
      <c r="M564">
        <f t="shared" si="52"/>
        <v>0</v>
      </c>
      <c r="N564">
        <f t="shared" si="53"/>
        <v>0</v>
      </c>
    </row>
    <row r="565" spans="1:14" x14ac:dyDescent="0.35">
      <c r="A565" t="s">
        <v>814</v>
      </c>
      <c r="B565" t="s">
        <v>2155</v>
      </c>
      <c r="C565" s="7" t="s">
        <v>9</v>
      </c>
      <c r="D565" t="s">
        <v>55</v>
      </c>
      <c r="E565" t="s">
        <v>1821</v>
      </c>
      <c r="F565" t="s">
        <v>1760</v>
      </c>
      <c r="I565">
        <f t="shared" si="48"/>
        <v>0</v>
      </c>
      <c r="J565">
        <f t="shared" si="49"/>
        <v>0</v>
      </c>
      <c r="K565">
        <f t="shared" si="50"/>
        <v>1</v>
      </c>
      <c r="L565">
        <f t="shared" si="51"/>
        <v>0</v>
      </c>
      <c r="M565">
        <f t="shared" si="52"/>
        <v>0</v>
      </c>
      <c r="N565">
        <f t="shared" si="53"/>
        <v>0</v>
      </c>
    </row>
    <row r="566" spans="1:14" x14ac:dyDescent="0.35">
      <c r="A566" t="s">
        <v>814</v>
      </c>
      <c r="B566" t="s">
        <v>2155</v>
      </c>
      <c r="C566" s="7" t="s">
        <v>9</v>
      </c>
      <c r="D566" t="s">
        <v>55</v>
      </c>
      <c r="E566" t="s">
        <v>1961</v>
      </c>
      <c r="F566" t="s">
        <v>1805</v>
      </c>
      <c r="I566">
        <f t="shared" si="48"/>
        <v>0</v>
      </c>
      <c r="J566">
        <f t="shared" si="49"/>
        <v>1</v>
      </c>
      <c r="K566">
        <f t="shared" si="50"/>
        <v>0</v>
      </c>
      <c r="L566">
        <f t="shared" si="51"/>
        <v>0</v>
      </c>
      <c r="M566">
        <f t="shared" si="52"/>
        <v>0</v>
      </c>
      <c r="N566">
        <f t="shared" si="53"/>
        <v>0</v>
      </c>
    </row>
    <row r="567" spans="1:14" x14ac:dyDescent="0.35">
      <c r="A567" t="s">
        <v>1543</v>
      </c>
      <c r="B567" t="s">
        <v>2156</v>
      </c>
      <c r="C567" s="7" t="s">
        <v>9</v>
      </c>
      <c r="D567" t="s">
        <v>55</v>
      </c>
      <c r="E567" t="s">
        <v>1963</v>
      </c>
      <c r="F567" t="s">
        <v>1760</v>
      </c>
      <c r="I567">
        <f t="shared" si="48"/>
        <v>0</v>
      </c>
      <c r="J567">
        <f t="shared" si="49"/>
        <v>0</v>
      </c>
      <c r="K567">
        <f t="shared" si="50"/>
        <v>1</v>
      </c>
      <c r="L567">
        <f t="shared" si="51"/>
        <v>0</v>
      </c>
      <c r="M567">
        <f t="shared" si="52"/>
        <v>0</v>
      </c>
      <c r="N567">
        <f t="shared" si="53"/>
        <v>0</v>
      </c>
    </row>
    <row r="568" spans="1:14" x14ac:dyDescent="0.35">
      <c r="A568" t="s">
        <v>1543</v>
      </c>
      <c r="B568" t="s">
        <v>2156</v>
      </c>
      <c r="C568" s="7" t="s">
        <v>9</v>
      </c>
      <c r="D568" t="s">
        <v>55</v>
      </c>
      <c r="E568" t="s">
        <v>1968</v>
      </c>
      <c r="F568" t="s">
        <v>1760</v>
      </c>
      <c r="I568">
        <f t="shared" si="48"/>
        <v>0</v>
      </c>
      <c r="J568">
        <f t="shared" si="49"/>
        <v>0</v>
      </c>
      <c r="K568">
        <f t="shared" si="50"/>
        <v>1</v>
      </c>
      <c r="L568">
        <f t="shared" si="51"/>
        <v>0</v>
      </c>
      <c r="M568">
        <f t="shared" si="52"/>
        <v>0</v>
      </c>
      <c r="N568">
        <f t="shared" si="53"/>
        <v>0</v>
      </c>
    </row>
    <row r="569" spans="1:14" x14ac:dyDescent="0.35">
      <c r="A569" t="s">
        <v>403</v>
      </c>
      <c r="B569" t="s">
        <v>2157</v>
      </c>
      <c r="C569" s="7" t="s">
        <v>9</v>
      </c>
      <c r="D569" t="s">
        <v>97</v>
      </c>
      <c r="E569" t="s">
        <v>1822</v>
      </c>
      <c r="F569" t="s">
        <v>1760</v>
      </c>
      <c r="I569">
        <f t="shared" si="48"/>
        <v>0</v>
      </c>
      <c r="J569">
        <f t="shared" si="49"/>
        <v>0</v>
      </c>
      <c r="K569">
        <f t="shared" si="50"/>
        <v>1</v>
      </c>
      <c r="L569">
        <f t="shared" si="51"/>
        <v>0</v>
      </c>
      <c r="M569">
        <f t="shared" si="52"/>
        <v>0</v>
      </c>
      <c r="N569">
        <f t="shared" si="53"/>
        <v>0</v>
      </c>
    </row>
    <row r="570" spans="1:14" x14ac:dyDescent="0.35">
      <c r="A570" t="s">
        <v>403</v>
      </c>
      <c r="B570" t="s">
        <v>2157</v>
      </c>
      <c r="C570" s="7" t="s">
        <v>9</v>
      </c>
      <c r="D570" t="s">
        <v>97</v>
      </c>
      <c r="E570" t="s">
        <v>1821</v>
      </c>
      <c r="F570" t="s">
        <v>1760</v>
      </c>
      <c r="I570">
        <f t="shared" si="48"/>
        <v>0</v>
      </c>
      <c r="J570">
        <f t="shared" si="49"/>
        <v>0</v>
      </c>
      <c r="K570">
        <f t="shared" si="50"/>
        <v>1</v>
      </c>
      <c r="L570">
        <f t="shared" si="51"/>
        <v>0</v>
      </c>
      <c r="M570">
        <f t="shared" si="52"/>
        <v>0</v>
      </c>
      <c r="N570">
        <f t="shared" si="53"/>
        <v>0</v>
      </c>
    </row>
    <row r="571" spans="1:14" x14ac:dyDescent="0.35">
      <c r="A571" t="s">
        <v>403</v>
      </c>
      <c r="B571" t="s">
        <v>2157</v>
      </c>
      <c r="C571" s="7" t="s">
        <v>9</v>
      </c>
      <c r="D571" t="s">
        <v>97</v>
      </c>
      <c r="E571" t="s">
        <v>1858</v>
      </c>
      <c r="F571" t="s">
        <v>1760</v>
      </c>
      <c r="I571">
        <f t="shared" si="48"/>
        <v>0</v>
      </c>
      <c r="J571">
        <f t="shared" si="49"/>
        <v>0</v>
      </c>
      <c r="K571">
        <f t="shared" si="50"/>
        <v>1</v>
      </c>
      <c r="L571">
        <f t="shared" si="51"/>
        <v>0</v>
      </c>
      <c r="M571">
        <f t="shared" si="52"/>
        <v>0</v>
      </c>
      <c r="N571">
        <f t="shared" si="53"/>
        <v>0</v>
      </c>
    </row>
    <row r="572" spans="1:14" x14ac:dyDescent="0.35">
      <c r="A572" t="s">
        <v>403</v>
      </c>
      <c r="B572" t="s">
        <v>2157</v>
      </c>
      <c r="C572" s="7" t="s">
        <v>9</v>
      </c>
      <c r="D572" t="s">
        <v>97</v>
      </c>
      <c r="E572" t="s">
        <v>1843</v>
      </c>
      <c r="F572" t="s">
        <v>1760</v>
      </c>
      <c r="I572">
        <f t="shared" si="48"/>
        <v>0</v>
      </c>
      <c r="J572">
        <f t="shared" si="49"/>
        <v>0</v>
      </c>
      <c r="K572">
        <f t="shared" si="50"/>
        <v>1</v>
      </c>
      <c r="L572">
        <f t="shared" si="51"/>
        <v>0</v>
      </c>
      <c r="M572">
        <f t="shared" si="52"/>
        <v>0</v>
      </c>
      <c r="N572">
        <f t="shared" si="53"/>
        <v>0</v>
      </c>
    </row>
    <row r="573" spans="1:14" x14ac:dyDescent="0.35">
      <c r="A573" t="s">
        <v>403</v>
      </c>
      <c r="B573" t="s">
        <v>2157</v>
      </c>
      <c r="C573" s="7" t="s">
        <v>9</v>
      </c>
      <c r="D573" t="s">
        <v>97</v>
      </c>
      <c r="E573" t="s">
        <v>1892</v>
      </c>
      <c r="F573" t="s">
        <v>1760</v>
      </c>
      <c r="I573">
        <f t="shared" si="48"/>
        <v>0</v>
      </c>
      <c r="J573">
        <f t="shared" si="49"/>
        <v>0</v>
      </c>
      <c r="K573">
        <f t="shared" si="50"/>
        <v>1</v>
      </c>
      <c r="L573">
        <f t="shared" si="51"/>
        <v>0</v>
      </c>
      <c r="M573">
        <f t="shared" si="52"/>
        <v>0</v>
      </c>
      <c r="N573">
        <f t="shared" si="53"/>
        <v>0</v>
      </c>
    </row>
    <row r="574" spans="1:14" x14ac:dyDescent="0.35">
      <c r="A574" t="s">
        <v>403</v>
      </c>
      <c r="B574" t="s">
        <v>2157</v>
      </c>
      <c r="C574" s="7" t="s">
        <v>9</v>
      </c>
      <c r="D574" t="s">
        <v>97</v>
      </c>
      <c r="E574" t="s">
        <v>1842</v>
      </c>
      <c r="F574" t="s">
        <v>1760</v>
      </c>
      <c r="I574">
        <f t="shared" si="48"/>
        <v>0</v>
      </c>
      <c r="J574">
        <f t="shared" si="49"/>
        <v>0</v>
      </c>
      <c r="K574">
        <f t="shared" si="50"/>
        <v>1</v>
      </c>
      <c r="L574">
        <f t="shared" si="51"/>
        <v>0</v>
      </c>
      <c r="M574">
        <f t="shared" si="52"/>
        <v>0</v>
      </c>
      <c r="N574">
        <f t="shared" si="53"/>
        <v>0</v>
      </c>
    </row>
    <row r="575" spans="1:14" x14ac:dyDescent="0.35">
      <c r="A575" t="s">
        <v>1171</v>
      </c>
      <c r="B575" t="s">
        <v>2158</v>
      </c>
      <c r="C575" s="7" t="s">
        <v>9</v>
      </c>
      <c r="D575" t="s">
        <v>55</v>
      </c>
      <c r="E575" t="s">
        <v>1959</v>
      </c>
      <c r="F575" t="s">
        <v>1760</v>
      </c>
      <c r="I575">
        <f t="shared" si="48"/>
        <v>0</v>
      </c>
      <c r="J575">
        <f t="shared" si="49"/>
        <v>0</v>
      </c>
      <c r="K575">
        <f t="shared" si="50"/>
        <v>1</v>
      </c>
      <c r="L575">
        <f t="shared" si="51"/>
        <v>0</v>
      </c>
      <c r="M575">
        <f t="shared" si="52"/>
        <v>0</v>
      </c>
      <c r="N575">
        <f t="shared" si="53"/>
        <v>0</v>
      </c>
    </row>
    <row r="576" spans="1:14" x14ac:dyDescent="0.35">
      <c r="A576" t="s">
        <v>1171</v>
      </c>
      <c r="B576" t="s">
        <v>2158</v>
      </c>
      <c r="C576" s="7" t="s">
        <v>9</v>
      </c>
      <c r="D576" t="s">
        <v>55</v>
      </c>
      <c r="E576" t="s">
        <v>1996</v>
      </c>
      <c r="F576" t="s">
        <v>1886</v>
      </c>
      <c r="I576">
        <f t="shared" si="48"/>
        <v>0</v>
      </c>
      <c r="J576">
        <f t="shared" si="49"/>
        <v>0</v>
      </c>
      <c r="K576">
        <f t="shared" si="50"/>
        <v>0</v>
      </c>
      <c r="L576">
        <f t="shared" si="51"/>
        <v>0</v>
      </c>
      <c r="M576">
        <f t="shared" si="52"/>
        <v>0</v>
      </c>
      <c r="N576">
        <f t="shared" si="53"/>
        <v>0</v>
      </c>
    </row>
    <row r="577" spans="1:14" x14ac:dyDescent="0.35">
      <c r="A577" t="s">
        <v>1171</v>
      </c>
      <c r="B577" t="s">
        <v>2158</v>
      </c>
      <c r="C577" s="7" t="s">
        <v>9</v>
      </c>
      <c r="D577" t="s">
        <v>55</v>
      </c>
      <c r="E577" t="s">
        <v>1955</v>
      </c>
      <c r="F577" t="s">
        <v>1760</v>
      </c>
      <c r="I577">
        <f t="shared" si="48"/>
        <v>0</v>
      </c>
      <c r="J577">
        <f t="shared" si="49"/>
        <v>0</v>
      </c>
      <c r="K577">
        <f t="shared" si="50"/>
        <v>1</v>
      </c>
      <c r="L577">
        <f t="shared" si="51"/>
        <v>0</v>
      </c>
      <c r="M577">
        <f t="shared" si="52"/>
        <v>0</v>
      </c>
      <c r="N577">
        <f t="shared" si="53"/>
        <v>0</v>
      </c>
    </row>
    <row r="578" spans="1:14" x14ac:dyDescent="0.35">
      <c r="A578" t="s">
        <v>1171</v>
      </c>
      <c r="B578" t="s">
        <v>2158</v>
      </c>
      <c r="C578" s="7" t="s">
        <v>9</v>
      </c>
      <c r="D578" t="s">
        <v>55</v>
      </c>
      <c r="E578" t="s">
        <v>1856</v>
      </c>
      <c r="F578" t="s">
        <v>1760</v>
      </c>
      <c r="I578">
        <f t="shared" si="48"/>
        <v>0</v>
      </c>
      <c r="J578">
        <f t="shared" si="49"/>
        <v>0</v>
      </c>
      <c r="K578">
        <f t="shared" si="50"/>
        <v>1</v>
      </c>
      <c r="L578">
        <f t="shared" si="51"/>
        <v>0</v>
      </c>
      <c r="M578">
        <f t="shared" si="52"/>
        <v>0</v>
      </c>
      <c r="N578">
        <f t="shared" si="53"/>
        <v>0</v>
      </c>
    </row>
    <row r="579" spans="1:14" x14ac:dyDescent="0.35">
      <c r="A579" t="s">
        <v>1171</v>
      </c>
      <c r="B579" t="s">
        <v>2158</v>
      </c>
      <c r="C579" s="7" t="s">
        <v>9</v>
      </c>
      <c r="D579" t="s">
        <v>55</v>
      </c>
      <c r="E579" t="s">
        <v>1804</v>
      </c>
      <c r="F579" t="s">
        <v>1805</v>
      </c>
      <c r="I579">
        <f t="shared" ref="I579:I642" si="54">IF($F579=$F$1,1,0)</f>
        <v>0</v>
      </c>
      <c r="J579">
        <f t="shared" ref="J579:J642" si="55">IF($F579=$J$1,1,0)</f>
        <v>1</v>
      </c>
      <c r="K579">
        <f t="shared" ref="K579:K642" si="56">IF($F579=$K$1,1,0)</f>
        <v>0</v>
      </c>
      <c r="L579">
        <f t="shared" ref="L579:L642" si="57">IF($F579=$L$1,1,0)</f>
        <v>0</v>
      </c>
      <c r="M579">
        <f t="shared" ref="M579:M642" si="58">IF($F579=$M$1,1,0)</f>
        <v>0</v>
      </c>
      <c r="N579">
        <f t="shared" ref="N579:N642" si="59">IF($G579&lt;&gt;"",1,0)</f>
        <v>0</v>
      </c>
    </row>
    <row r="580" spans="1:14" x14ac:dyDescent="0.35">
      <c r="A580" t="s">
        <v>1171</v>
      </c>
      <c r="B580" t="s">
        <v>2158</v>
      </c>
      <c r="C580" s="7" t="s">
        <v>9</v>
      </c>
      <c r="D580" t="s">
        <v>55</v>
      </c>
      <c r="E580" t="s">
        <v>1957</v>
      </c>
      <c r="F580" t="s">
        <v>1760</v>
      </c>
      <c r="I580">
        <f t="shared" si="54"/>
        <v>0</v>
      </c>
      <c r="J580">
        <f t="shared" si="55"/>
        <v>0</v>
      </c>
      <c r="K580">
        <f t="shared" si="56"/>
        <v>1</v>
      </c>
      <c r="L580">
        <f t="shared" si="57"/>
        <v>0</v>
      </c>
      <c r="M580">
        <f t="shared" si="58"/>
        <v>0</v>
      </c>
      <c r="N580">
        <f t="shared" si="59"/>
        <v>0</v>
      </c>
    </row>
    <row r="581" spans="1:14" x14ac:dyDescent="0.35">
      <c r="A581" t="s">
        <v>1171</v>
      </c>
      <c r="B581" t="s">
        <v>2158</v>
      </c>
      <c r="C581" s="7" t="s">
        <v>9</v>
      </c>
      <c r="D581" t="s">
        <v>55</v>
      </c>
      <c r="E581" t="s">
        <v>1958</v>
      </c>
      <c r="F581" t="s">
        <v>1760</v>
      </c>
      <c r="I581">
        <f t="shared" si="54"/>
        <v>0</v>
      </c>
      <c r="J581">
        <f t="shared" si="55"/>
        <v>0</v>
      </c>
      <c r="K581">
        <f t="shared" si="56"/>
        <v>1</v>
      </c>
      <c r="L581">
        <f t="shared" si="57"/>
        <v>0</v>
      </c>
      <c r="M581">
        <f t="shared" si="58"/>
        <v>0</v>
      </c>
      <c r="N581">
        <f t="shared" si="59"/>
        <v>0</v>
      </c>
    </row>
    <row r="582" spans="1:14" x14ac:dyDescent="0.35">
      <c r="A582" t="s">
        <v>1171</v>
      </c>
      <c r="B582" t="s">
        <v>2158</v>
      </c>
      <c r="C582" s="7" t="s">
        <v>9</v>
      </c>
      <c r="D582" t="s">
        <v>55</v>
      </c>
      <c r="E582" t="s">
        <v>1956</v>
      </c>
      <c r="F582" t="s">
        <v>1760</v>
      </c>
      <c r="I582">
        <f t="shared" si="54"/>
        <v>0</v>
      </c>
      <c r="J582">
        <f t="shared" si="55"/>
        <v>0</v>
      </c>
      <c r="K582">
        <f t="shared" si="56"/>
        <v>1</v>
      </c>
      <c r="L582">
        <f t="shared" si="57"/>
        <v>0</v>
      </c>
      <c r="M582">
        <f t="shared" si="58"/>
        <v>0</v>
      </c>
      <c r="N582">
        <f t="shared" si="59"/>
        <v>0</v>
      </c>
    </row>
    <row r="583" spans="1:14" x14ac:dyDescent="0.35">
      <c r="A583" t="s">
        <v>1171</v>
      </c>
      <c r="B583" t="s">
        <v>2158</v>
      </c>
      <c r="C583" s="7" t="s">
        <v>9</v>
      </c>
      <c r="D583" t="s">
        <v>55</v>
      </c>
      <c r="E583" t="s">
        <v>2159</v>
      </c>
      <c r="F583" t="s">
        <v>1805</v>
      </c>
      <c r="I583">
        <f t="shared" si="54"/>
        <v>0</v>
      </c>
      <c r="J583">
        <f t="shared" si="55"/>
        <v>1</v>
      </c>
      <c r="K583">
        <f t="shared" si="56"/>
        <v>0</v>
      </c>
      <c r="L583">
        <f t="shared" si="57"/>
        <v>0</v>
      </c>
      <c r="M583">
        <f t="shared" si="58"/>
        <v>0</v>
      </c>
      <c r="N583">
        <f t="shared" si="59"/>
        <v>0</v>
      </c>
    </row>
    <row r="584" spans="1:14" x14ac:dyDescent="0.35">
      <c r="A584" t="s">
        <v>770</v>
      </c>
      <c r="B584" t="s">
        <v>2160</v>
      </c>
      <c r="C584" s="7" t="s">
        <v>9</v>
      </c>
      <c r="D584" t="s">
        <v>55</v>
      </c>
      <c r="E584" t="s">
        <v>1875</v>
      </c>
      <c r="F584" t="s">
        <v>1727</v>
      </c>
      <c r="I584">
        <f t="shared" si="54"/>
        <v>0</v>
      </c>
      <c r="J584">
        <f t="shared" si="55"/>
        <v>0</v>
      </c>
      <c r="K584">
        <f t="shared" si="56"/>
        <v>0</v>
      </c>
      <c r="L584">
        <f t="shared" si="57"/>
        <v>0</v>
      </c>
      <c r="M584">
        <f t="shared" si="58"/>
        <v>1</v>
      </c>
      <c r="N584">
        <f t="shared" si="59"/>
        <v>0</v>
      </c>
    </row>
    <row r="585" spans="1:14" x14ac:dyDescent="0.35">
      <c r="A585" t="s">
        <v>770</v>
      </c>
      <c r="B585" t="s">
        <v>2160</v>
      </c>
      <c r="C585" s="7" t="s">
        <v>9</v>
      </c>
      <c r="D585" t="s">
        <v>55</v>
      </c>
      <c r="E585" t="s">
        <v>1874</v>
      </c>
      <c r="F585" t="s">
        <v>1727</v>
      </c>
      <c r="I585">
        <f t="shared" si="54"/>
        <v>0</v>
      </c>
      <c r="J585">
        <f t="shared" si="55"/>
        <v>0</v>
      </c>
      <c r="K585">
        <f t="shared" si="56"/>
        <v>0</v>
      </c>
      <c r="L585">
        <f t="shared" si="57"/>
        <v>0</v>
      </c>
      <c r="M585">
        <f t="shared" si="58"/>
        <v>1</v>
      </c>
      <c r="N585">
        <f t="shared" si="59"/>
        <v>0</v>
      </c>
    </row>
    <row r="586" spans="1:14" x14ac:dyDescent="0.35">
      <c r="A586" t="s">
        <v>1613</v>
      </c>
      <c r="B586" t="s">
        <v>2161</v>
      </c>
      <c r="C586" s="7" t="s">
        <v>9</v>
      </c>
      <c r="D586" t="s">
        <v>1615</v>
      </c>
      <c r="E586" t="s">
        <v>1997</v>
      </c>
      <c r="F586" t="s">
        <v>1886</v>
      </c>
      <c r="I586">
        <f t="shared" si="54"/>
        <v>0</v>
      </c>
      <c r="J586">
        <f t="shared" si="55"/>
        <v>0</v>
      </c>
      <c r="K586">
        <f t="shared" si="56"/>
        <v>0</v>
      </c>
      <c r="L586">
        <f t="shared" si="57"/>
        <v>0</v>
      </c>
      <c r="M586">
        <f t="shared" si="58"/>
        <v>0</v>
      </c>
      <c r="N586">
        <f t="shared" si="59"/>
        <v>0</v>
      </c>
    </row>
    <row r="587" spans="1:14" x14ac:dyDescent="0.35">
      <c r="A587" t="s">
        <v>1613</v>
      </c>
      <c r="B587" t="s">
        <v>2161</v>
      </c>
      <c r="C587" s="7" t="s">
        <v>9</v>
      </c>
      <c r="D587" t="s">
        <v>1615</v>
      </c>
      <c r="E587" t="s">
        <v>1996</v>
      </c>
      <c r="F587" t="s">
        <v>1886</v>
      </c>
      <c r="I587">
        <f t="shared" si="54"/>
        <v>0</v>
      </c>
      <c r="J587">
        <f t="shared" si="55"/>
        <v>0</v>
      </c>
      <c r="K587">
        <f t="shared" si="56"/>
        <v>0</v>
      </c>
      <c r="L587">
        <f t="shared" si="57"/>
        <v>0</v>
      </c>
      <c r="M587">
        <f t="shared" si="58"/>
        <v>0</v>
      </c>
      <c r="N587">
        <f t="shared" si="59"/>
        <v>0</v>
      </c>
    </row>
    <row r="588" spans="1:14" x14ac:dyDescent="0.35">
      <c r="A588" t="s">
        <v>1613</v>
      </c>
      <c r="B588" t="s">
        <v>2161</v>
      </c>
      <c r="C588" s="7" t="s">
        <v>9</v>
      </c>
      <c r="D588" t="s">
        <v>1615</v>
      </c>
      <c r="E588" t="s">
        <v>1998</v>
      </c>
      <c r="F588" t="s">
        <v>1886</v>
      </c>
      <c r="I588">
        <f t="shared" si="54"/>
        <v>0</v>
      </c>
      <c r="J588">
        <f t="shared" si="55"/>
        <v>0</v>
      </c>
      <c r="K588">
        <f t="shared" si="56"/>
        <v>0</v>
      </c>
      <c r="L588">
        <f t="shared" si="57"/>
        <v>0</v>
      </c>
      <c r="M588">
        <f t="shared" si="58"/>
        <v>0</v>
      </c>
      <c r="N588">
        <f t="shared" si="59"/>
        <v>0</v>
      </c>
    </row>
    <row r="589" spans="1:14" x14ac:dyDescent="0.35">
      <c r="A589" t="s">
        <v>1613</v>
      </c>
      <c r="B589" t="s">
        <v>2161</v>
      </c>
      <c r="C589" s="7" t="s">
        <v>9</v>
      </c>
      <c r="D589" t="s">
        <v>1615</v>
      </c>
      <c r="E589" t="s">
        <v>2000</v>
      </c>
      <c r="F589" t="s">
        <v>1886</v>
      </c>
      <c r="I589">
        <f t="shared" si="54"/>
        <v>0</v>
      </c>
      <c r="J589">
        <f t="shared" si="55"/>
        <v>0</v>
      </c>
      <c r="K589">
        <f t="shared" si="56"/>
        <v>0</v>
      </c>
      <c r="L589">
        <f t="shared" si="57"/>
        <v>0</v>
      </c>
      <c r="M589">
        <f t="shared" si="58"/>
        <v>0</v>
      </c>
      <c r="N589">
        <f t="shared" si="59"/>
        <v>0</v>
      </c>
    </row>
    <row r="590" spans="1:14" x14ac:dyDescent="0.35">
      <c r="A590" t="s">
        <v>1613</v>
      </c>
      <c r="B590" t="s">
        <v>2161</v>
      </c>
      <c r="C590" s="7" t="s">
        <v>9</v>
      </c>
      <c r="D590" t="s">
        <v>1615</v>
      </c>
      <c r="E590" t="s">
        <v>1999</v>
      </c>
      <c r="F590" t="s">
        <v>1886</v>
      </c>
      <c r="I590">
        <f t="shared" si="54"/>
        <v>0</v>
      </c>
      <c r="J590">
        <f t="shared" si="55"/>
        <v>0</v>
      </c>
      <c r="K590">
        <f t="shared" si="56"/>
        <v>0</v>
      </c>
      <c r="L590">
        <f t="shared" si="57"/>
        <v>0</v>
      </c>
      <c r="M590">
        <f t="shared" si="58"/>
        <v>0</v>
      </c>
      <c r="N590">
        <f t="shared" si="59"/>
        <v>0</v>
      </c>
    </row>
    <row r="591" spans="1:14" x14ac:dyDescent="0.35">
      <c r="A591" t="s">
        <v>1146</v>
      </c>
      <c r="B591" t="s">
        <v>2162</v>
      </c>
      <c r="C591" s="7" t="s">
        <v>9</v>
      </c>
      <c r="D591" t="s">
        <v>51</v>
      </c>
      <c r="E591" t="s">
        <v>2106</v>
      </c>
      <c r="F591" t="s">
        <v>1805</v>
      </c>
      <c r="I591">
        <f t="shared" si="54"/>
        <v>0</v>
      </c>
      <c r="J591">
        <f t="shared" si="55"/>
        <v>1</v>
      </c>
      <c r="K591">
        <f t="shared" si="56"/>
        <v>0</v>
      </c>
      <c r="L591">
        <f t="shared" si="57"/>
        <v>0</v>
      </c>
      <c r="M591">
        <f t="shared" si="58"/>
        <v>0</v>
      </c>
      <c r="N591">
        <f t="shared" si="59"/>
        <v>0</v>
      </c>
    </row>
    <row r="592" spans="1:14" x14ac:dyDescent="0.35">
      <c r="A592" t="s">
        <v>1146</v>
      </c>
      <c r="B592" t="s">
        <v>2162</v>
      </c>
      <c r="C592" s="7" t="s">
        <v>9</v>
      </c>
      <c r="D592" t="s">
        <v>51</v>
      </c>
      <c r="E592" t="s">
        <v>1961</v>
      </c>
      <c r="F592" t="s">
        <v>1805</v>
      </c>
      <c r="I592">
        <f t="shared" si="54"/>
        <v>0</v>
      </c>
      <c r="J592">
        <f t="shared" si="55"/>
        <v>1</v>
      </c>
      <c r="K592">
        <f t="shared" si="56"/>
        <v>0</v>
      </c>
      <c r="L592">
        <f t="shared" si="57"/>
        <v>0</v>
      </c>
      <c r="M592">
        <f t="shared" si="58"/>
        <v>0</v>
      </c>
      <c r="N592">
        <f t="shared" si="59"/>
        <v>0</v>
      </c>
    </row>
    <row r="593" spans="1:14" x14ac:dyDescent="0.35">
      <c r="A593" t="s">
        <v>1146</v>
      </c>
      <c r="B593" t="s">
        <v>2162</v>
      </c>
      <c r="C593" s="7" t="s">
        <v>9</v>
      </c>
      <c r="D593" t="s">
        <v>51</v>
      </c>
      <c r="E593" t="s">
        <v>2163</v>
      </c>
      <c r="F593" t="s">
        <v>1805</v>
      </c>
      <c r="I593">
        <f t="shared" si="54"/>
        <v>0</v>
      </c>
      <c r="J593">
        <f t="shared" si="55"/>
        <v>1</v>
      </c>
      <c r="K593">
        <f t="shared" si="56"/>
        <v>0</v>
      </c>
      <c r="L593">
        <f t="shared" si="57"/>
        <v>0</v>
      </c>
      <c r="M593">
        <f t="shared" si="58"/>
        <v>0</v>
      </c>
      <c r="N593">
        <f t="shared" si="59"/>
        <v>0</v>
      </c>
    </row>
    <row r="594" spans="1:14" x14ac:dyDescent="0.35">
      <c r="A594" t="s">
        <v>1146</v>
      </c>
      <c r="B594" t="s">
        <v>2162</v>
      </c>
      <c r="C594" s="7" t="s">
        <v>9</v>
      </c>
      <c r="D594" t="s">
        <v>51</v>
      </c>
      <c r="E594" t="s">
        <v>2164</v>
      </c>
      <c r="F594" t="s">
        <v>1805</v>
      </c>
      <c r="I594">
        <f t="shared" si="54"/>
        <v>0</v>
      </c>
      <c r="J594">
        <f t="shared" si="55"/>
        <v>1</v>
      </c>
      <c r="K594">
        <f t="shared" si="56"/>
        <v>0</v>
      </c>
      <c r="L594">
        <f t="shared" si="57"/>
        <v>0</v>
      </c>
      <c r="M594">
        <f t="shared" si="58"/>
        <v>0</v>
      </c>
      <c r="N594">
        <f t="shared" si="59"/>
        <v>0</v>
      </c>
    </row>
    <row r="595" spans="1:14" x14ac:dyDescent="0.35">
      <c r="A595" t="s">
        <v>1146</v>
      </c>
      <c r="B595" t="s">
        <v>2162</v>
      </c>
      <c r="C595" s="7" t="s">
        <v>9</v>
      </c>
      <c r="D595" t="s">
        <v>51</v>
      </c>
      <c r="E595" t="s">
        <v>2165</v>
      </c>
      <c r="F595" t="s">
        <v>1805</v>
      </c>
      <c r="I595">
        <f t="shared" si="54"/>
        <v>0</v>
      </c>
      <c r="J595">
        <f t="shared" si="55"/>
        <v>1</v>
      </c>
      <c r="K595">
        <f t="shared" si="56"/>
        <v>0</v>
      </c>
      <c r="L595">
        <f t="shared" si="57"/>
        <v>0</v>
      </c>
      <c r="M595">
        <f t="shared" si="58"/>
        <v>0</v>
      </c>
      <c r="N595">
        <f t="shared" si="59"/>
        <v>0</v>
      </c>
    </row>
    <row r="596" spans="1:14" x14ac:dyDescent="0.35">
      <c r="A596" t="s">
        <v>1146</v>
      </c>
      <c r="B596" t="s">
        <v>2162</v>
      </c>
      <c r="C596" s="7" t="s">
        <v>9</v>
      </c>
      <c r="D596" t="s">
        <v>51</v>
      </c>
      <c r="E596" t="s">
        <v>2166</v>
      </c>
      <c r="F596" t="s">
        <v>1805</v>
      </c>
      <c r="I596">
        <f t="shared" si="54"/>
        <v>0</v>
      </c>
      <c r="J596">
        <f t="shared" si="55"/>
        <v>1</v>
      </c>
      <c r="K596">
        <f t="shared" si="56"/>
        <v>0</v>
      </c>
      <c r="L596">
        <f t="shared" si="57"/>
        <v>0</v>
      </c>
      <c r="M596">
        <f t="shared" si="58"/>
        <v>0</v>
      </c>
      <c r="N596">
        <f t="shared" si="59"/>
        <v>0</v>
      </c>
    </row>
    <row r="597" spans="1:14" x14ac:dyDescent="0.35">
      <c r="A597" t="s">
        <v>1146</v>
      </c>
      <c r="B597" t="s">
        <v>2162</v>
      </c>
      <c r="C597" s="7" t="s">
        <v>9</v>
      </c>
      <c r="D597" t="s">
        <v>51</v>
      </c>
      <c r="E597" t="s">
        <v>1980</v>
      </c>
      <c r="F597" t="s">
        <v>1805</v>
      </c>
      <c r="I597">
        <f t="shared" si="54"/>
        <v>0</v>
      </c>
      <c r="J597">
        <f t="shared" si="55"/>
        <v>1</v>
      </c>
      <c r="K597">
        <f t="shared" si="56"/>
        <v>0</v>
      </c>
      <c r="L597">
        <f t="shared" si="57"/>
        <v>0</v>
      </c>
      <c r="M597">
        <f t="shared" si="58"/>
        <v>0</v>
      </c>
      <c r="N597">
        <f t="shared" si="59"/>
        <v>0</v>
      </c>
    </row>
    <row r="598" spans="1:14" x14ac:dyDescent="0.35">
      <c r="A598" t="s">
        <v>1146</v>
      </c>
      <c r="B598" t="s">
        <v>2162</v>
      </c>
      <c r="C598" s="7" t="s">
        <v>9</v>
      </c>
      <c r="D598" t="s">
        <v>51</v>
      </c>
      <c r="E598" t="s">
        <v>1988</v>
      </c>
      <c r="F598" t="s">
        <v>1805</v>
      </c>
      <c r="I598">
        <f t="shared" si="54"/>
        <v>0</v>
      </c>
      <c r="J598">
        <f t="shared" si="55"/>
        <v>1</v>
      </c>
      <c r="K598">
        <f t="shared" si="56"/>
        <v>0</v>
      </c>
      <c r="L598">
        <f t="shared" si="57"/>
        <v>0</v>
      </c>
      <c r="M598">
        <f t="shared" si="58"/>
        <v>0</v>
      </c>
      <c r="N598">
        <f t="shared" si="59"/>
        <v>0</v>
      </c>
    </row>
    <row r="599" spans="1:14" x14ac:dyDescent="0.35">
      <c r="A599" t="s">
        <v>1146</v>
      </c>
      <c r="B599" t="s">
        <v>2162</v>
      </c>
      <c r="C599" s="7" t="s">
        <v>9</v>
      </c>
      <c r="D599" t="s">
        <v>51</v>
      </c>
      <c r="E599" t="s">
        <v>2167</v>
      </c>
      <c r="F599" t="s">
        <v>1805</v>
      </c>
      <c r="I599">
        <f t="shared" si="54"/>
        <v>0</v>
      </c>
      <c r="J599">
        <f t="shared" si="55"/>
        <v>1</v>
      </c>
      <c r="K599">
        <f t="shared" si="56"/>
        <v>0</v>
      </c>
      <c r="L599">
        <f t="shared" si="57"/>
        <v>0</v>
      </c>
      <c r="M599">
        <f t="shared" si="58"/>
        <v>0</v>
      </c>
      <c r="N599">
        <f t="shared" si="59"/>
        <v>0</v>
      </c>
    </row>
    <row r="600" spans="1:14" x14ac:dyDescent="0.35">
      <c r="A600" t="s">
        <v>1146</v>
      </c>
      <c r="B600" t="s">
        <v>2162</v>
      </c>
      <c r="C600" s="7" t="s">
        <v>9</v>
      </c>
      <c r="D600" t="s">
        <v>51</v>
      </c>
      <c r="E600" t="s">
        <v>1810</v>
      </c>
      <c r="F600" t="s">
        <v>1754</v>
      </c>
      <c r="I600">
        <f t="shared" si="54"/>
        <v>0</v>
      </c>
      <c r="J600">
        <f t="shared" si="55"/>
        <v>0</v>
      </c>
      <c r="K600">
        <f t="shared" si="56"/>
        <v>0</v>
      </c>
      <c r="L600">
        <f t="shared" si="57"/>
        <v>1</v>
      </c>
      <c r="M600">
        <f t="shared" si="58"/>
        <v>0</v>
      </c>
      <c r="N600">
        <f t="shared" si="59"/>
        <v>0</v>
      </c>
    </row>
    <row r="601" spans="1:14" x14ac:dyDescent="0.35">
      <c r="A601" t="s">
        <v>952</v>
      </c>
      <c r="B601" t="s">
        <v>2168</v>
      </c>
      <c r="C601" s="7" t="s">
        <v>9</v>
      </c>
      <c r="D601" t="s">
        <v>55</v>
      </c>
      <c r="E601" t="s">
        <v>1854</v>
      </c>
      <c r="F601" t="s">
        <v>1754</v>
      </c>
      <c r="I601">
        <f t="shared" si="54"/>
        <v>0</v>
      </c>
      <c r="J601">
        <f t="shared" si="55"/>
        <v>0</v>
      </c>
      <c r="K601">
        <f t="shared" si="56"/>
        <v>0</v>
      </c>
      <c r="L601">
        <f t="shared" si="57"/>
        <v>1</v>
      </c>
      <c r="M601">
        <f t="shared" si="58"/>
        <v>0</v>
      </c>
      <c r="N601">
        <f t="shared" si="59"/>
        <v>0</v>
      </c>
    </row>
    <row r="602" spans="1:14" x14ac:dyDescent="0.35">
      <c r="A602" t="s">
        <v>952</v>
      </c>
      <c r="B602" t="s">
        <v>2168</v>
      </c>
      <c r="C602" s="7" t="s">
        <v>9</v>
      </c>
      <c r="D602" t="s">
        <v>55</v>
      </c>
      <c r="E602" t="s">
        <v>2042</v>
      </c>
      <c r="F602" t="s">
        <v>1754</v>
      </c>
      <c r="I602">
        <f t="shared" si="54"/>
        <v>0</v>
      </c>
      <c r="J602">
        <f t="shared" si="55"/>
        <v>0</v>
      </c>
      <c r="K602">
        <f t="shared" si="56"/>
        <v>0</v>
      </c>
      <c r="L602">
        <f t="shared" si="57"/>
        <v>1</v>
      </c>
      <c r="M602">
        <f t="shared" si="58"/>
        <v>0</v>
      </c>
      <c r="N602">
        <f t="shared" si="59"/>
        <v>0</v>
      </c>
    </row>
    <row r="603" spans="1:14" x14ac:dyDescent="0.35">
      <c r="A603" t="s">
        <v>952</v>
      </c>
      <c r="B603" t="s">
        <v>2168</v>
      </c>
      <c r="C603" s="7" t="s">
        <v>9</v>
      </c>
      <c r="D603" t="s">
        <v>55</v>
      </c>
      <c r="E603" t="s">
        <v>1910</v>
      </c>
      <c r="F603" t="s">
        <v>1754</v>
      </c>
      <c r="I603">
        <f t="shared" si="54"/>
        <v>0</v>
      </c>
      <c r="J603">
        <f t="shared" si="55"/>
        <v>0</v>
      </c>
      <c r="K603">
        <f t="shared" si="56"/>
        <v>0</v>
      </c>
      <c r="L603">
        <f t="shared" si="57"/>
        <v>1</v>
      </c>
      <c r="M603">
        <f t="shared" si="58"/>
        <v>0</v>
      </c>
      <c r="N603">
        <f t="shared" si="59"/>
        <v>0</v>
      </c>
    </row>
    <row r="604" spans="1:14" x14ac:dyDescent="0.35">
      <c r="A604" t="s">
        <v>952</v>
      </c>
      <c r="B604" t="s">
        <v>2168</v>
      </c>
      <c r="C604" s="7" t="s">
        <v>9</v>
      </c>
      <c r="D604" t="s">
        <v>55</v>
      </c>
      <c r="E604" t="s">
        <v>1911</v>
      </c>
      <c r="F604" t="s">
        <v>1754</v>
      </c>
      <c r="I604">
        <f t="shared" si="54"/>
        <v>0</v>
      </c>
      <c r="J604">
        <f t="shared" si="55"/>
        <v>0</v>
      </c>
      <c r="K604">
        <f t="shared" si="56"/>
        <v>0</v>
      </c>
      <c r="L604">
        <f t="shared" si="57"/>
        <v>1</v>
      </c>
      <c r="M604">
        <f t="shared" si="58"/>
        <v>0</v>
      </c>
      <c r="N604">
        <f t="shared" si="59"/>
        <v>0</v>
      </c>
    </row>
    <row r="605" spans="1:14" x14ac:dyDescent="0.35">
      <c r="A605" t="s">
        <v>883</v>
      </c>
      <c r="B605" t="s">
        <v>2169</v>
      </c>
      <c r="C605" s="7" t="s">
        <v>9</v>
      </c>
      <c r="D605" t="s">
        <v>100</v>
      </c>
      <c r="E605" t="s">
        <v>1806</v>
      </c>
      <c r="F605" t="s">
        <v>1754</v>
      </c>
      <c r="I605">
        <f t="shared" si="54"/>
        <v>0</v>
      </c>
      <c r="J605">
        <f t="shared" si="55"/>
        <v>0</v>
      </c>
      <c r="K605">
        <f t="shared" si="56"/>
        <v>0</v>
      </c>
      <c r="L605">
        <f t="shared" si="57"/>
        <v>1</v>
      </c>
      <c r="M605">
        <f t="shared" si="58"/>
        <v>0</v>
      </c>
      <c r="N605">
        <f t="shared" si="59"/>
        <v>0</v>
      </c>
    </row>
    <row r="606" spans="1:14" x14ac:dyDescent="0.35">
      <c r="A606" t="s">
        <v>883</v>
      </c>
      <c r="B606" t="s">
        <v>2169</v>
      </c>
      <c r="C606" s="7" t="s">
        <v>9</v>
      </c>
      <c r="D606" t="s">
        <v>100</v>
      </c>
      <c r="E606" t="s">
        <v>1807</v>
      </c>
      <c r="F606" t="s">
        <v>1754</v>
      </c>
      <c r="I606">
        <f t="shared" si="54"/>
        <v>0</v>
      </c>
      <c r="J606">
        <f t="shared" si="55"/>
        <v>0</v>
      </c>
      <c r="K606">
        <f t="shared" si="56"/>
        <v>0</v>
      </c>
      <c r="L606">
        <f t="shared" si="57"/>
        <v>1</v>
      </c>
      <c r="M606">
        <f t="shared" si="58"/>
        <v>0</v>
      </c>
      <c r="N606">
        <f t="shared" si="59"/>
        <v>0</v>
      </c>
    </row>
    <row r="607" spans="1:14" x14ac:dyDescent="0.35">
      <c r="A607" t="s">
        <v>883</v>
      </c>
      <c r="B607" t="s">
        <v>2169</v>
      </c>
      <c r="C607" s="7" t="s">
        <v>9</v>
      </c>
      <c r="D607" t="s">
        <v>100</v>
      </c>
      <c r="E607" t="s">
        <v>1829</v>
      </c>
      <c r="F607" t="s">
        <v>1754</v>
      </c>
      <c r="I607">
        <f t="shared" si="54"/>
        <v>0</v>
      </c>
      <c r="J607">
        <f t="shared" si="55"/>
        <v>0</v>
      </c>
      <c r="K607">
        <f t="shared" si="56"/>
        <v>0</v>
      </c>
      <c r="L607">
        <f t="shared" si="57"/>
        <v>1</v>
      </c>
      <c r="M607">
        <f t="shared" si="58"/>
        <v>0</v>
      </c>
      <c r="N607">
        <f t="shared" si="59"/>
        <v>0</v>
      </c>
    </row>
    <row r="608" spans="1:14" x14ac:dyDescent="0.35">
      <c r="A608" t="s">
        <v>883</v>
      </c>
      <c r="B608" t="s">
        <v>2169</v>
      </c>
      <c r="C608" s="7" t="s">
        <v>9</v>
      </c>
      <c r="D608" t="s">
        <v>100</v>
      </c>
      <c r="E608" t="s">
        <v>1858</v>
      </c>
      <c r="F608" t="s">
        <v>1760</v>
      </c>
      <c r="I608">
        <f t="shared" si="54"/>
        <v>0</v>
      </c>
      <c r="J608">
        <f t="shared" si="55"/>
        <v>0</v>
      </c>
      <c r="K608">
        <f t="shared" si="56"/>
        <v>1</v>
      </c>
      <c r="L608">
        <f t="shared" si="57"/>
        <v>0</v>
      </c>
      <c r="M608">
        <f t="shared" si="58"/>
        <v>0</v>
      </c>
      <c r="N608">
        <f t="shared" si="59"/>
        <v>0</v>
      </c>
    </row>
    <row r="609" spans="1:14" x14ac:dyDescent="0.35">
      <c r="A609" t="s">
        <v>883</v>
      </c>
      <c r="B609" t="s">
        <v>2169</v>
      </c>
      <c r="C609" s="7" t="s">
        <v>9</v>
      </c>
      <c r="D609" t="s">
        <v>100</v>
      </c>
      <c r="E609" t="s">
        <v>2062</v>
      </c>
      <c r="F609" t="s">
        <v>1727</v>
      </c>
      <c r="I609">
        <f t="shared" si="54"/>
        <v>0</v>
      </c>
      <c r="J609">
        <f t="shared" si="55"/>
        <v>0</v>
      </c>
      <c r="K609">
        <f t="shared" si="56"/>
        <v>0</v>
      </c>
      <c r="L609">
        <f t="shared" si="57"/>
        <v>0</v>
      </c>
      <c r="M609">
        <f t="shared" si="58"/>
        <v>1</v>
      </c>
      <c r="N609">
        <f t="shared" si="59"/>
        <v>0</v>
      </c>
    </row>
    <row r="610" spans="1:14" x14ac:dyDescent="0.35">
      <c r="A610" t="s">
        <v>457</v>
      </c>
      <c r="B610" t="s">
        <v>2170</v>
      </c>
      <c r="C610" s="7" t="s">
        <v>9</v>
      </c>
      <c r="D610" t="s">
        <v>55</v>
      </c>
      <c r="E610" t="s">
        <v>1839</v>
      </c>
      <c r="F610" t="s">
        <v>1760</v>
      </c>
      <c r="I610">
        <f t="shared" si="54"/>
        <v>0</v>
      </c>
      <c r="J610">
        <f t="shared" si="55"/>
        <v>0</v>
      </c>
      <c r="K610">
        <f t="shared" si="56"/>
        <v>1</v>
      </c>
      <c r="L610">
        <f t="shared" si="57"/>
        <v>0</v>
      </c>
      <c r="M610">
        <f t="shared" si="58"/>
        <v>0</v>
      </c>
      <c r="N610">
        <f t="shared" si="59"/>
        <v>0</v>
      </c>
    </row>
    <row r="611" spans="1:14" x14ac:dyDescent="0.35">
      <c r="A611" t="s">
        <v>457</v>
      </c>
      <c r="B611" t="s">
        <v>2170</v>
      </c>
      <c r="C611" s="7" t="s">
        <v>9</v>
      </c>
      <c r="D611" t="s">
        <v>55</v>
      </c>
      <c r="E611" t="s">
        <v>1816</v>
      </c>
      <c r="F611" t="s">
        <v>1760</v>
      </c>
      <c r="I611">
        <f t="shared" si="54"/>
        <v>0</v>
      </c>
      <c r="J611">
        <f t="shared" si="55"/>
        <v>0</v>
      </c>
      <c r="K611">
        <f t="shared" si="56"/>
        <v>1</v>
      </c>
      <c r="L611">
        <f t="shared" si="57"/>
        <v>0</v>
      </c>
      <c r="M611">
        <f t="shared" si="58"/>
        <v>0</v>
      </c>
      <c r="N611">
        <f t="shared" si="59"/>
        <v>0</v>
      </c>
    </row>
    <row r="612" spans="1:14" x14ac:dyDescent="0.35">
      <c r="A612" t="s">
        <v>391</v>
      </c>
      <c r="B612" t="s">
        <v>2171</v>
      </c>
      <c r="C612" s="7" t="s">
        <v>9</v>
      </c>
      <c r="D612" t="s">
        <v>92</v>
      </c>
      <c r="E612" t="s">
        <v>1818</v>
      </c>
      <c r="F612" t="s">
        <v>1760</v>
      </c>
      <c r="I612">
        <f t="shared" si="54"/>
        <v>0</v>
      </c>
      <c r="J612">
        <f t="shared" si="55"/>
        <v>0</v>
      </c>
      <c r="K612">
        <f t="shared" si="56"/>
        <v>1</v>
      </c>
      <c r="L612">
        <f t="shared" si="57"/>
        <v>0</v>
      </c>
      <c r="M612">
        <f t="shared" si="58"/>
        <v>0</v>
      </c>
      <c r="N612">
        <f t="shared" si="59"/>
        <v>0</v>
      </c>
    </row>
    <row r="613" spans="1:14" x14ac:dyDescent="0.35">
      <c r="A613" t="s">
        <v>391</v>
      </c>
      <c r="B613" t="s">
        <v>2171</v>
      </c>
      <c r="C613" s="7" t="s">
        <v>9</v>
      </c>
      <c r="D613" t="s">
        <v>92</v>
      </c>
      <c r="E613" t="s">
        <v>1813</v>
      </c>
      <c r="F613" t="s">
        <v>1760</v>
      </c>
      <c r="I613">
        <f t="shared" si="54"/>
        <v>0</v>
      </c>
      <c r="J613">
        <f t="shared" si="55"/>
        <v>0</v>
      </c>
      <c r="K613">
        <f t="shared" si="56"/>
        <v>1</v>
      </c>
      <c r="L613">
        <f t="shared" si="57"/>
        <v>0</v>
      </c>
      <c r="M613">
        <f t="shared" si="58"/>
        <v>0</v>
      </c>
      <c r="N613">
        <f t="shared" si="59"/>
        <v>0</v>
      </c>
    </row>
    <row r="614" spans="1:14" x14ac:dyDescent="0.35">
      <c r="A614" t="s">
        <v>391</v>
      </c>
      <c r="B614" t="s">
        <v>2171</v>
      </c>
      <c r="C614" s="7" t="s">
        <v>9</v>
      </c>
      <c r="D614" t="s">
        <v>92</v>
      </c>
      <c r="E614" t="s">
        <v>1819</v>
      </c>
      <c r="F614" t="s">
        <v>1760</v>
      </c>
      <c r="I614">
        <f t="shared" si="54"/>
        <v>0</v>
      </c>
      <c r="J614">
        <f t="shared" si="55"/>
        <v>0</v>
      </c>
      <c r="K614">
        <f t="shared" si="56"/>
        <v>1</v>
      </c>
      <c r="L614">
        <f t="shared" si="57"/>
        <v>0</v>
      </c>
      <c r="M614">
        <f t="shared" si="58"/>
        <v>0</v>
      </c>
      <c r="N614">
        <f t="shared" si="59"/>
        <v>0</v>
      </c>
    </row>
    <row r="615" spans="1:14" x14ac:dyDescent="0.35">
      <c r="A615" t="s">
        <v>391</v>
      </c>
      <c r="B615" t="s">
        <v>2171</v>
      </c>
      <c r="C615" s="7" t="s">
        <v>9</v>
      </c>
      <c r="D615" t="s">
        <v>92</v>
      </c>
      <c r="E615" t="s">
        <v>1816</v>
      </c>
      <c r="F615" t="s">
        <v>1760</v>
      </c>
      <c r="I615">
        <f t="shared" si="54"/>
        <v>0</v>
      </c>
      <c r="J615">
        <f t="shared" si="55"/>
        <v>0</v>
      </c>
      <c r="K615">
        <f t="shared" si="56"/>
        <v>1</v>
      </c>
      <c r="L615">
        <f t="shared" si="57"/>
        <v>0</v>
      </c>
      <c r="M615">
        <f t="shared" si="58"/>
        <v>0</v>
      </c>
      <c r="N615">
        <f t="shared" si="59"/>
        <v>0</v>
      </c>
    </row>
    <row r="616" spans="1:14" x14ac:dyDescent="0.35">
      <c r="A616" t="s">
        <v>391</v>
      </c>
      <c r="B616" t="s">
        <v>2171</v>
      </c>
      <c r="C616" s="7" t="s">
        <v>9</v>
      </c>
      <c r="D616" t="s">
        <v>92</v>
      </c>
      <c r="E616" t="s">
        <v>1941</v>
      </c>
      <c r="F616" t="s">
        <v>1754</v>
      </c>
      <c r="I616">
        <f t="shared" si="54"/>
        <v>0</v>
      </c>
      <c r="J616">
        <f t="shared" si="55"/>
        <v>0</v>
      </c>
      <c r="K616">
        <f t="shared" si="56"/>
        <v>0</v>
      </c>
      <c r="L616">
        <f t="shared" si="57"/>
        <v>1</v>
      </c>
      <c r="M616">
        <f t="shared" si="58"/>
        <v>0</v>
      </c>
      <c r="N616">
        <f t="shared" si="59"/>
        <v>0</v>
      </c>
    </row>
    <row r="617" spans="1:14" x14ac:dyDescent="0.35">
      <c r="A617" t="s">
        <v>391</v>
      </c>
      <c r="B617" t="s">
        <v>2171</v>
      </c>
      <c r="C617" s="7" t="s">
        <v>9</v>
      </c>
      <c r="D617" t="s">
        <v>92</v>
      </c>
      <c r="E617" t="s">
        <v>1940</v>
      </c>
      <c r="F617" t="s">
        <v>1754</v>
      </c>
      <c r="I617">
        <f t="shared" si="54"/>
        <v>0</v>
      </c>
      <c r="J617">
        <f t="shared" si="55"/>
        <v>0</v>
      </c>
      <c r="K617">
        <f t="shared" si="56"/>
        <v>0</v>
      </c>
      <c r="L617">
        <f t="shared" si="57"/>
        <v>1</v>
      </c>
      <c r="M617">
        <f t="shared" si="58"/>
        <v>0</v>
      </c>
      <c r="N617">
        <f t="shared" si="59"/>
        <v>0</v>
      </c>
    </row>
    <row r="618" spans="1:14" x14ac:dyDescent="0.35">
      <c r="A618" t="s">
        <v>391</v>
      </c>
      <c r="B618" t="s">
        <v>2171</v>
      </c>
      <c r="C618" s="7" t="s">
        <v>9</v>
      </c>
      <c r="D618" t="s">
        <v>92</v>
      </c>
      <c r="E618" t="s">
        <v>1829</v>
      </c>
      <c r="F618" t="s">
        <v>1754</v>
      </c>
      <c r="I618">
        <f t="shared" si="54"/>
        <v>0</v>
      </c>
      <c r="J618">
        <f t="shared" si="55"/>
        <v>0</v>
      </c>
      <c r="K618">
        <f t="shared" si="56"/>
        <v>0</v>
      </c>
      <c r="L618">
        <f t="shared" si="57"/>
        <v>1</v>
      </c>
      <c r="M618">
        <f t="shared" si="58"/>
        <v>0</v>
      </c>
      <c r="N618">
        <f t="shared" si="59"/>
        <v>0</v>
      </c>
    </row>
    <row r="619" spans="1:14" x14ac:dyDescent="0.35">
      <c r="A619" t="s">
        <v>391</v>
      </c>
      <c r="B619" t="s">
        <v>2171</v>
      </c>
      <c r="C619" s="7" t="s">
        <v>9</v>
      </c>
      <c r="D619" t="s">
        <v>92</v>
      </c>
      <c r="E619" t="s">
        <v>1814</v>
      </c>
      <c r="F619" t="s">
        <v>1760</v>
      </c>
      <c r="I619">
        <f t="shared" si="54"/>
        <v>0</v>
      </c>
      <c r="J619">
        <f t="shared" si="55"/>
        <v>0</v>
      </c>
      <c r="K619">
        <f t="shared" si="56"/>
        <v>1</v>
      </c>
      <c r="L619">
        <f t="shared" si="57"/>
        <v>0</v>
      </c>
      <c r="M619">
        <f t="shared" si="58"/>
        <v>0</v>
      </c>
      <c r="N619">
        <f t="shared" si="59"/>
        <v>0</v>
      </c>
    </row>
    <row r="620" spans="1:14" x14ac:dyDescent="0.35">
      <c r="A620" t="s">
        <v>104</v>
      </c>
      <c r="B620" t="s">
        <v>2172</v>
      </c>
      <c r="C620" s="7" t="s">
        <v>9</v>
      </c>
      <c r="D620" t="s">
        <v>105</v>
      </c>
      <c r="E620" t="s">
        <v>1885</v>
      </c>
      <c r="F620" t="s">
        <v>1886</v>
      </c>
      <c r="I620">
        <f t="shared" si="54"/>
        <v>0</v>
      </c>
      <c r="J620">
        <f t="shared" si="55"/>
        <v>0</v>
      </c>
      <c r="K620">
        <f t="shared" si="56"/>
        <v>0</v>
      </c>
      <c r="L620">
        <f t="shared" si="57"/>
        <v>0</v>
      </c>
      <c r="M620">
        <f t="shared" si="58"/>
        <v>0</v>
      </c>
      <c r="N620">
        <f t="shared" si="59"/>
        <v>0</v>
      </c>
    </row>
    <row r="621" spans="1:14" x14ac:dyDescent="0.35">
      <c r="A621" t="s">
        <v>1334</v>
      </c>
      <c r="B621" t="s">
        <v>2173</v>
      </c>
      <c r="C621" s="7" t="s">
        <v>9</v>
      </c>
      <c r="D621" t="s">
        <v>100</v>
      </c>
      <c r="E621" t="s">
        <v>2174</v>
      </c>
      <c r="F621" t="s">
        <v>1805</v>
      </c>
      <c r="I621">
        <f t="shared" si="54"/>
        <v>0</v>
      </c>
      <c r="J621">
        <f t="shared" si="55"/>
        <v>1</v>
      </c>
      <c r="K621">
        <f t="shared" si="56"/>
        <v>0</v>
      </c>
      <c r="L621">
        <f t="shared" si="57"/>
        <v>0</v>
      </c>
      <c r="M621">
        <f t="shared" si="58"/>
        <v>0</v>
      </c>
      <c r="N621">
        <f t="shared" si="59"/>
        <v>0</v>
      </c>
    </row>
    <row r="622" spans="1:14" x14ac:dyDescent="0.35">
      <c r="A622" t="s">
        <v>1334</v>
      </c>
      <c r="B622" t="s">
        <v>2173</v>
      </c>
      <c r="C622" s="7" t="s">
        <v>9</v>
      </c>
      <c r="D622" t="s">
        <v>100</v>
      </c>
      <c r="E622" t="s">
        <v>2175</v>
      </c>
      <c r="F622" t="s">
        <v>1727</v>
      </c>
      <c r="I622">
        <f t="shared" si="54"/>
        <v>0</v>
      </c>
      <c r="J622">
        <f t="shared" si="55"/>
        <v>0</v>
      </c>
      <c r="K622">
        <f t="shared" si="56"/>
        <v>0</v>
      </c>
      <c r="L622">
        <f t="shared" si="57"/>
        <v>0</v>
      </c>
      <c r="M622">
        <f t="shared" si="58"/>
        <v>1</v>
      </c>
      <c r="N622">
        <f t="shared" si="59"/>
        <v>0</v>
      </c>
    </row>
    <row r="623" spans="1:14" x14ac:dyDescent="0.35">
      <c r="A623" t="s">
        <v>1334</v>
      </c>
      <c r="B623" t="s">
        <v>2173</v>
      </c>
      <c r="C623" s="7" t="s">
        <v>9</v>
      </c>
      <c r="D623" t="s">
        <v>100</v>
      </c>
      <c r="E623" t="s">
        <v>1988</v>
      </c>
      <c r="F623" t="s">
        <v>1805</v>
      </c>
      <c r="I623">
        <f t="shared" si="54"/>
        <v>0</v>
      </c>
      <c r="J623">
        <f t="shared" si="55"/>
        <v>1</v>
      </c>
      <c r="K623">
        <f t="shared" si="56"/>
        <v>0</v>
      </c>
      <c r="L623">
        <f t="shared" si="57"/>
        <v>0</v>
      </c>
      <c r="M623">
        <f t="shared" si="58"/>
        <v>0</v>
      </c>
      <c r="N623">
        <f t="shared" si="59"/>
        <v>0</v>
      </c>
    </row>
    <row r="624" spans="1:14" x14ac:dyDescent="0.35">
      <c r="A624" t="s">
        <v>1334</v>
      </c>
      <c r="B624" t="s">
        <v>2173</v>
      </c>
      <c r="C624" s="7" t="s">
        <v>9</v>
      </c>
      <c r="D624" t="s">
        <v>100</v>
      </c>
      <c r="E624" t="s">
        <v>1911</v>
      </c>
      <c r="F624" t="s">
        <v>1754</v>
      </c>
      <c r="I624">
        <f t="shared" si="54"/>
        <v>0</v>
      </c>
      <c r="J624">
        <f t="shared" si="55"/>
        <v>0</v>
      </c>
      <c r="K624">
        <f t="shared" si="56"/>
        <v>0</v>
      </c>
      <c r="L624">
        <f t="shared" si="57"/>
        <v>1</v>
      </c>
      <c r="M624">
        <f t="shared" si="58"/>
        <v>0</v>
      </c>
      <c r="N624">
        <f t="shared" si="59"/>
        <v>0</v>
      </c>
    </row>
    <row r="625" spans="1:14" x14ac:dyDescent="0.35">
      <c r="A625" t="s">
        <v>1334</v>
      </c>
      <c r="B625" t="s">
        <v>2173</v>
      </c>
      <c r="C625" s="7" t="s">
        <v>9</v>
      </c>
      <c r="D625" t="s">
        <v>100</v>
      </c>
      <c r="E625" t="s">
        <v>1910</v>
      </c>
      <c r="F625" t="s">
        <v>1754</v>
      </c>
      <c r="I625">
        <f t="shared" si="54"/>
        <v>0</v>
      </c>
      <c r="J625">
        <f t="shared" si="55"/>
        <v>0</v>
      </c>
      <c r="K625">
        <f t="shared" si="56"/>
        <v>0</v>
      </c>
      <c r="L625">
        <f t="shared" si="57"/>
        <v>1</v>
      </c>
      <c r="M625">
        <f t="shared" si="58"/>
        <v>0</v>
      </c>
      <c r="N625">
        <f t="shared" si="59"/>
        <v>0</v>
      </c>
    </row>
    <row r="626" spans="1:14" x14ac:dyDescent="0.35">
      <c r="A626" t="s">
        <v>1571</v>
      </c>
      <c r="B626" t="s">
        <v>2176</v>
      </c>
      <c r="C626" s="7" t="s">
        <v>9</v>
      </c>
      <c r="D626" t="s">
        <v>92</v>
      </c>
      <c r="E626" t="s">
        <v>1807</v>
      </c>
      <c r="F626" t="s">
        <v>1754</v>
      </c>
      <c r="I626">
        <f t="shared" si="54"/>
        <v>0</v>
      </c>
      <c r="J626">
        <f t="shared" si="55"/>
        <v>0</v>
      </c>
      <c r="K626">
        <f t="shared" si="56"/>
        <v>0</v>
      </c>
      <c r="L626">
        <f t="shared" si="57"/>
        <v>1</v>
      </c>
      <c r="M626">
        <f t="shared" si="58"/>
        <v>0</v>
      </c>
      <c r="N626">
        <f t="shared" si="59"/>
        <v>0</v>
      </c>
    </row>
    <row r="627" spans="1:14" x14ac:dyDescent="0.35">
      <c r="A627" t="s">
        <v>1571</v>
      </c>
      <c r="B627" t="s">
        <v>2176</v>
      </c>
      <c r="C627" s="7" t="s">
        <v>9</v>
      </c>
      <c r="D627" t="s">
        <v>92</v>
      </c>
      <c r="E627" t="s">
        <v>1806</v>
      </c>
      <c r="F627" t="s">
        <v>1754</v>
      </c>
      <c r="I627">
        <f t="shared" si="54"/>
        <v>0</v>
      </c>
      <c r="J627">
        <f t="shared" si="55"/>
        <v>0</v>
      </c>
      <c r="K627">
        <f t="shared" si="56"/>
        <v>0</v>
      </c>
      <c r="L627">
        <f t="shared" si="57"/>
        <v>1</v>
      </c>
      <c r="M627">
        <f t="shared" si="58"/>
        <v>0</v>
      </c>
      <c r="N627">
        <f t="shared" si="59"/>
        <v>0</v>
      </c>
    </row>
    <row r="628" spans="1:14" x14ac:dyDescent="0.35">
      <c r="A628" t="s">
        <v>1274</v>
      </c>
      <c r="B628" t="s">
        <v>2177</v>
      </c>
      <c r="C628" s="7" t="s">
        <v>9</v>
      </c>
      <c r="D628" t="s">
        <v>1276</v>
      </c>
      <c r="E628" t="s">
        <v>1911</v>
      </c>
      <c r="F628" t="s">
        <v>1754</v>
      </c>
      <c r="I628">
        <f t="shared" si="54"/>
        <v>0</v>
      </c>
      <c r="J628">
        <f t="shared" si="55"/>
        <v>0</v>
      </c>
      <c r="K628">
        <f t="shared" si="56"/>
        <v>0</v>
      </c>
      <c r="L628">
        <f t="shared" si="57"/>
        <v>1</v>
      </c>
      <c r="M628">
        <f t="shared" si="58"/>
        <v>0</v>
      </c>
      <c r="N628">
        <f t="shared" si="59"/>
        <v>0</v>
      </c>
    </row>
    <row r="629" spans="1:14" x14ac:dyDescent="0.35">
      <c r="A629" t="s">
        <v>1274</v>
      </c>
      <c r="B629" t="s">
        <v>2177</v>
      </c>
      <c r="C629" s="7" t="s">
        <v>9</v>
      </c>
      <c r="D629" t="s">
        <v>1276</v>
      </c>
      <c r="E629" t="s">
        <v>2178</v>
      </c>
      <c r="F629" t="s">
        <v>1805</v>
      </c>
      <c r="I629">
        <f t="shared" si="54"/>
        <v>0</v>
      </c>
      <c r="J629">
        <f t="shared" si="55"/>
        <v>1</v>
      </c>
      <c r="K629">
        <f t="shared" si="56"/>
        <v>0</v>
      </c>
      <c r="L629">
        <f t="shared" si="57"/>
        <v>0</v>
      </c>
      <c r="M629">
        <f t="shared" si="58"/>
        <v>0</v>
      </c>
      <c r="N629">
        <f t="shared" si="59"/>
        <v>0</v>
      </c>
    </row>
    <row r="630" spans="1:14" x14ac:dyDescent="0.35">
      <c r="A630" t="s">
        <v>1274</v>
      </c>
      <c r="B630" t="s">
        <v>2177</v>
      </c>
      <c r="C630" s="7" t="s">
        <v>9</v>
      </c>
      <c r="D630" t="s">
        <v>1276</v>
      </c>
      <c r="E630" t="s">
        <v>1910</v>
      </c>
      <c r="F630" t="s">
        <v>1754</v>
      </c>
      <c r="I630">
        <f t="shared" si="54"/>
        <v>0</v>
      </c>
      <c r="J630">
        <f t="shared" si="55"/>
        <v>0</v>
      </c>
      <c r="K630">
        <f t="shared" si="56"/>
        <v>0</v>
      </c>
      <c r="L630">
        <f t="shared" si="57"/>
        <v>1</v>
      </c>
      <c r="M630">
        <f t="shared" si="58"/>
        <v>0</v>
      </c>
      <c r="N630">
        <f t="shared" si="59"/>
        <v>0</v>
      </c>
    </row>
    <row r="631" spans="1:14" x14ac:dyDescent="0.35">
      <c r="A631" t="s">
        <v>1274</v>
      </c>
      <c r="B631" t="s">
        <v>2177</v>
      </c>
      <c r="C631" s="7" t="s">
        <v>9</v>
      </c>
      <c r="D631" t="s">
        <v>1276</v>
      </c>
      <c r="E631" t="s">
        <v>1856</v>
      </c>
      <c r="F631" t="s">
        <v>1760</v>
      </c>
      <c r="I631">
        <f t="shared" si="54"/>
        <v>0</v>
      </c>
      <c r="J631">
        <f t="shared" si="55"/>
        <v>0</v>
      </c>
      <c r="K631">
        <f t="shared" si="56"/>
        <v>1</v>
      </c>
      <c r="L631">
        <f t="shared" si="57"/>
        <v>0</v>
      </c>
      <c r="M631">
        <f t="shared" si="58"/>
        <v>0</v>
      </c>
      <c r="N631">
        <f t="shared" si="59"/>
        <v>0</v>
      </c>
    </row>
    <row r="632" spans="1:14" x14ac:dyDescent="0.35">
      <c r="A632" t="s">
        <v>1274</v>
      </c>
      <c r="B632" t="s">
        <v>2177</v>
      </c>
      <c r="C632" s="7" t="s">
        <v>9</v>
      </c>
      <c r="D632" t="s">
        <v>1276</v>
      </c>
      <c r="E632" t="s">
        <v>1956</v>
      </c>
      <c r="F632" t="s">
        <v>1760</v>
      </c>
      <c r="I632">
        <f t="shared" si="54"/>
        <v>0</v>
      </c>
      <c r="J632">
        <f t="shared" si="55"/>
        <v>0</v>
      </c>
      <c r="K632">
        <f t="shared" si="56"/>
        <v>1</v>
      </c>
      <c r="L632">
        <f t="shared" si="57"/>
        <v>0</v>
      </c>
      <c r="M632">
        <f t="shared" si="58"/>
        <v>0</v>
      </c>
      <c r="N632">
        <f t="shared" si="59"/>
        <v>0</v>
      </c>
    </row>
    <row r="633" spans="1:14" x14ac:dyDescent="0.35">
      <c r="A633" t="s">
        <v>277</v>
      </c>
      <c r="B633" t="s">
        <v>2179</v>
      </c>
      <c r="C633" s="7" t="s">
        <v>9</v>
      </c>
      <c r="D633" t="s">
        <v>180</v>
      </c>
      <c r="E633" t="s">
        <v>1807</v>
      </c>
      <c r="F633" t="s">
        <v>1754</v>
      </c>
      <c r="I633">
        <f t="shared" si="54"/>
        <v>0</v>
      </c>
      <c r="J633">
        <f t="shared" si="55"/>
        <v>0</v>
      </c>
      <c r="K633">
        <f t="shared" si="56"/>
        <v>0</v>
      </c>
      <c r="L633">
        <f t="shared" si="57"/>
        <v>1</v>
      </c>
      <c r="M633">
        <f t="shared" si="58"/>
        <v>0</v>
      </c>
      <c r="N633">
        <f t="shared" si="59"/>
        <v>0</v>
      </c>
    </row>
    <row r="634" spans="1:14" x14ac:dyDescent="0.35">
      <c r="A634" t="s">
        <v>277</v>
      </c>
      <c r="B634" t="s">
        <v>2179</v>
      </c>
      <c r="C634" s="7" t="s">
        <v>9</v>
      </c>
      <c r="D634" t="s">
        <v>180</v>
      </c>
      <c r="E634" t="s">
        <v>1806</v>
      </c>
      <c r="F634" t="s">
        <v>1754</v>
      </c>
      <c r="I634">
        <f t="shared" si="54"/>
        <v>0</v>
      </c>
      <c r="J634">
        <f t="shared" si="55"/>
        <v>0</v>
      </c>
      <c r="K634">
        <f t="shared" si="56"/>
        <v>0</v>
      </c>
      <c r="L634">
        <f t="shared" si="57"/>
        <v>1</v>
      </c>
      <c r="M634">
        <f t="shared" si="58"/>
        <v>0</v>
      </c>
      <c r="N634">
        <f t="shared" si="59"/>
        <v>0</v>
      </c>
    </row>
    <row r="635" spans="1:14" x14ac:dyDescent="0.35">
      <c r="A635" t="s">
        <v>821</v>
      </c>
      <c r="B635" t="s">
        <v>2180</v>
      </c>
      <c r="C635" s="7" t="s">
        <v>9</v>
      </c>
      <c r="D635" t="s">
        <v>55</v>
      </c>
      <c r="E635" t="s">
        <v>1911</v>
      </c>
      <c r="F635" t="s">
        <v>1754</v>
      </c>
      <c r="I635">
        <f t="shared" si="54"/>
        <v>0</v>
      </c>
      <c r="J635">
        <f t="shared" si="55"/>
        <v>0</v>
      </c>
      <c r="K635">
        <f t="shared" si="56"/>
        <v>0</v>
      </c>
      <c r="L635">
        <f t="shared" si="57"/>
        <v>1</v>
      </c>
      <c r="M635">
        <f t="shared" si="58"/>
        <v>0</v>
      </c>
      <c r="N635">
        <f t="shared" si="59"/>
        <v>0</v>
      </c>
    </row>
    <row r="636" spans="1:14" x14ac:dyDescent="0.35">
      <c r="A636" t="s">
        <v>821</v>
      </c>
      <c r="B636" t="s">
        <v>2180</v>
      </c>
      <c r="C636" s="7" t="s">
        <v>9</v>
      </c>
      <c r="D636" t="s">
        <v>55</v>
      </c>
      <c r="E636" t="s">
        <v>1910</v>
      </c>
      <c r="F636" t="s">
        <v>1754</v>
      </c>
      <c r="I636">
        <f t="shared" si="54"/>
        <v>0</v>
      </c>
      <c r="J636">
        <f t="shared" si="55"/>
        <v>0</v>
      </c>
      <c r="K636">
        <f t="shared" si="56"/>
        <v>0</v>
      </c>
      <c r="L636">
        <f t="shared" si="57"/>
        <v>1</v>
      </c>
      <c r="M636">
        <f t="shared" si="58"/>
        <v>0</v>
      </c>
      <c r="N636">
        <f t="shared" si="59"/>
        <v>0</v>
      </c>
    </row>
    <row r="637" spans="1:14" x14ac:dyDescent="0.35">
      <c r="A637" t="s">
        <v>821</v>
      </c>
      <c r="B637" t="s">
        <v>2180</v>
      </c>
      <c r="C637" s="7" t="s">
        <v>9</v>
      </c>
      <c r="D637" t="s">
        <v>55</v>
      </c>
      <c r="E637" t="s">
        <v>1946</v>
      </c>
      <c r="F637" t="s">
        <v>1754</v>
      </c>
      <c r="I637">
        <f t="shared" si="54"/>
        <v>0</v>
      </c>
      <c r="J637">
        <f t="shared" si="55"/>
        <v>0</v>
      </c>
      <c r="K637">
        <f t="shared" si="56"/>
        <v>0</v>
      </c>
      <c r="L637">
        <f t="shared" si="57"/>
        <v>1</v>
      </c>
      <c r="M637">
        <f t="shared" si="58"/>
        <v>0</v>
      </c>
      <c r="N637">
        <f t="shared" si="59"/>
        <v>0</v>
      </c>
    </row>
    <row r="638" spans="1:14" x14ac:dyDescent="0.35">
      <c r="A638" t="s">
        <v>1270</v>
      </c>
      <c r="B638" t="s">
        <v>2181</v>
      </c>
      <c r="C638" s="7" t="s">
        <v>9</v>
      </c>
      <c r="D638" t="s">
        <v>267</v>
      </c>
      <c r="E638" t="s">
        <v>2182</v>
      </c>
      <c r="F638" t="s">
        <v>1754</v>
      </c>
      <c r="I638">
        <f t="shared" si="54"/>
        <v>0</v>
      </c>
      <c r="J638">
        <f t="shared" si="55"/>
        <v>0</v>
      </c>
      <c r="K638">
        <f t="shared" si="56"/>
        <v>0</v>
      </c>
      <c r="L638">
        <f t="shared" si="57"/>
        <v>1</v>
      </c>
      <c r="M638">
        <f t="shared" si="58"/>
        <v>0</v>
      </c>
      <c r="N638">
        <f t="shared" si="59"/>
        <v>0</v>
      </c>
    </row>
    <row r="639" spans="1:14" x14ac:dyDescent="0.35">
      <c r="A639" t="s">
        <v>526</v>
      </c>
      <c r="B639" t="s">
        <v>2183</v>
      </c>
      <c r="C639" s="7" t="s">
        <v>9</v>
      </c>
      <c r="D639" t="s">
        <v>528</v>
      </c>
      <c r="E639" t="s">
        <v>1856</v>
      </c>
      <c r="F639" t="s">
        <v>1760</v>
      </c>
      <c r="I639">
        <f t="shared" si="54"/>
        <v>0</v>
      </c>
      <c r="J639">
        <f t="shared" si="55"/>
        <v>0</v>
      </c>
      <c r="K639">
        <f t="shared" si="56"/>
        <v>1</v>
      </c>
      <c r="L639">
        <f t="shared" si="57"/>
        <v>0</v>
      </c>
      <c r="M639">
        <f t="shared" si="58"/>
        <v>0</v>
      </c>
      <c r="N639">
        <f t="shared" si="59"/>
        <v>0</v>
      </c>
    </row>
    <row r="640" spans="1:14" x14ac:dyDescent="0.35">
      <c r="A640" t="s">
        <v>526</v>
      </c>
      <c r="B640" t="s">
        <v>2183</v>
      </c>
      <c r="C640" s="7" t="s">
        <v>9</v>
      </c>
      <c r="D640" t="s">
        <v>528</v>
      </c>
      <c r="E640" t="s">
        <v>1806</v>
      </c>
      <c r="F640" t="s">
        <v>1754</v>
      </c>
      <c r="I640">
        <f t="shared" si="54"/>
        <v>0</v>
      </c>
      <c r="J640">
        <f t="shared" si="55"/>
        <v>0</v>
      </c>
      <c r="K640">
        <f t="shared" si="56"/>
        <v>0</v>
      </c>
      <c r="L640">
        <f t="shared" si="57"/>
        <v>1</v>
      </c>
      <c r="M640">
        <f t="shared" si="58"/>
        <v>0</v>
      </c>
      <c r="N640">
        <f t="shared" si="59"/>
        <v>0</v>
      </c>
    </row>
    <row r="641" spans="1:14" x14ac:dyDescent="0.35">
      <c r="A641" t="s">
        <v>526</v>
      </c>
      <c r="B641" t="s">
        <v>2183</v>
      </c>
      <c r="C641" s="7" t="s">
        <v>9</v>
      </c>
      <c r="D641" t="s">
        <v>528</v>
      </c>
      <c r="E641" t="s">
        <v>1807</v>
      </c>
      <c r="F641" t="s">
        <v>1754</v>
      </c>
      <c r="I641">
        <f t="shared" si="54"/>
        <v>0</v>
      </c>
      <c r="J641">
        <f t="shared" si="55"/>
        <v>0</v>
      </c>
      <c r="K641">
        <f t="shared" si="56"/>
        <v>0</v>
      </c>
      <c r="L641">
        <f t="shared" si="57"/>
        <v>1</v>
      </c>
      <c r="M641">
        <f t="shared" si="58"/>
        <v>0</v>
      </c>
      <c r="N641">
        <f t="shared" si="59"/>
        <v>0</v>
      </c>
    </row>
    <row r="642" spans="1:14" x14ac:dyDescent="0.35">
      <c r="A642" t="s">
        <v>526</v>
      </c>
      <c r="B642" t="s">
        <v>2183</v>
      </c>
      <c r="C642" s="7" t="s">
        <v>9</v>
      </c>
      <c r="D642" t="s">
        <v>528</v>
      </c>
      <c r="E642" t="s">
        <v>1956</v>
      </c>
      <c r="F642" t="s">
        <v>1760</v>
      </c>
      <c r="I642">
        <f t="shared" si="54"/>
        <v>0</v>
      </c>
      <c r="J642">
        <f t="shared" si="55"/>
        <v>0</v>
      </c>
      <c r="K642">
        <f t="shared" si="56"/>
        <v>1</v>
      </c>
      <c r="L642">
        <f t="shared" si="57"/>
        <v>0</v>
      </c>
      <c r="M642">
        <f t="shared" si="58"/>
        <v>0</v>
      </c>
      <c r="N642">
        <f t="shared" si="59"/>
        <v>0</v>
      </c>
    </row>
    <row r="643" spans="1:14" x14ac:dyDescent="0.35">
      <c r="A643" t="s">
        <v>526</v>
      </c>
      <c r="B643" t="s">
        <v>2183</v>
      </c>
      <c r="C643" s="7" t="s">
        <v>9</v>
      </c>
      <c r="D643" t="s">
        <v>528</v>
      </c>
      <c r="E643" t="s">
        <v>1959</v>
      </c>
      <c r="F643" t="s">
        <v>1760</v>
      </c>
      <c r="I643">
        <f t="shared" ref="I643:I706" si="60">IF($F643=$F$1,1,0)</f>
        <v>0</v>
      </c>
      <c r="J643">
        <f t="shared" ref="J643:J706" si="61">IF($F643=$J$1,1,0)</f>
        <v>0</v>
      </c>
      <c r="K643">
        <f t="shared" ref="K643:K706" si="62">IF($F643=$K$1,1,0)</f>
        <v>1</v>
      </c>
      <c r="L643">
        <f t="shared" ref="L643:L706" si="63">IF($F643=$L$1,1,0)</f>
        <v>0</v>
      </c>
      <c r="M643">
        <f t="shared" ref="M643:M706" si="64">IF($F643=$M$1,1,0)</f>
        <v>0</v>
      </c>
      <c r="N643">
        <f t="shared" ref="N643:N706" si="65">IF($G643&lt;&gt;"",1,0)</f>
        <v>0</v>
      </c>
    </row>
    <row r="644" spans="1:14" x14ac:dyDescent="0.35">
      <c r="A644" t="s">
        <v>1150</v>
      </c>
      <c r="B644" t="s">
        <v>2184</v>
      </c>
      <c r="C644" s="7" t="s">
        <v>9</v>
      </c>
      <c r="D644" t="s">
        <v>1152</v>
      </c>
      <c r="E644" t="s">
        <v>1996</v>
      </c>
      <c r="F644" t="s">
        <v>1886</v>
      </c>
      <c r="I644">
        <f t="shared" si="60"/>
        <v>0</v>
      </c>
      <c r="J644">
        <f t="shared" si="61"/>
        <v>0</v>
      </c>
      <c r="K644">
        <f t="shared" si="62"/>
        <v>0</v>
      </c>
      <c r="L644">
        <f t="shared" si="63"/>
        <v>0</v>
      </c>
      <c r="M644">
        <f t="shared" si="64"/>
        <v>0</v>
      </c>
      <c r="N644">
        <f t="shared" si="65"/>
        <v>0</v>
      </c>
    </row>
    <row r="645" spans="1:14" x14ac:dyDescent="0.35">
      <c r="A645" t="s">
        <v>1150</v>
      </c>
      <c r="B645" t="s">
        <v>2184</v>
      </c>
      <c r="C645" s="7" t="s">
        <v>9</v>
      </c>
      <c r="D645" t="s">
        <v>1152</v>
      </c>
      <c r="E645" t="s">
        <v>1998</v>
      </c>
      <c r="F645" t="s">
        <v>1886</v>
      </c>
      <c r="I645">
        <f t="shared" si="60"/>
        <v>0</v>
      </c>
      <c r="J645">
        <f t="shared" si="61"/>
        <v>0</v>
      </c>
      <c r="K645">
        <f t="shared" si="62"/>
        <v>0</v>
      </c>
      <c r="L645">
        <f t="shared" si="63"/>
        <v>0</v>
      </c>
      <c r="M645">
        <f t="shared" si="64"/>
        <v>0</v>
      </c>
      <c r="N645">
        <f t="shared" si="65"/>
        <v>0</v>
      </c>
    </row>
    <row r="646" spans="1:14" x14ac:dyDescent="0.35">
      <c r="A646" t="s">
        <v>1150</v>
      </c>
      <c r="B646" t="s">
        <v>2184</v>
      </c>
      <c r="C646" s="7" t="s">
        <v>9</v>
      </c>
      <c r="D646" t="s">
        <v>1152</v>
      </c>
      <c r="E646" t="s">
        <v>1997</v>
      </c>
      <c r="F646" t="s">
        <v>1886</v>
      </c>
      <c r="I646">
        <f t="shared" si="60"/>
        <v>0</v>
      </c>
      <c r="J646">
        <f t="shared" si="61"/>
        <v>0</v>
      </c>
      <c r="K646">
        <f t="shared" si="62"/>
        <v>0</v>
      </c>
      <c r="L646">
        <f t="shared" si="63"/>
        <v>0</v>
      </c>
      <c r="M646">
        <f t="shared" si="64"/>
        <v>0</v>
      </c>
      <c r="N646">
        <f t="shared" si="65"/>
        <v>0</v>
      </c>
    </row>
    <row r="647" spans="1:14" x14ac:dyDescent="0.35">
      <c r="A647" t="s">
        <v>1150</v>
      </c>
      <c r="B647" t="s">
        <v>2184</v>
      </c>
      <c r="C647" s="7" t="s">
        <v>9</v>
      </c>
      <c r="D647" t="s">
        <v>1152</v>
      </c>
      <c r="E647" t="s">
        <v>2000</v>
      </c>
      <c r="F647" t="s">
        <v>1886</v>
      </c>
      <c r="I647">
        <f t="shared" si="60"/>
        <v>0</v>
      </c>
      <c r="J647">
        <f t="shared" si="61"/>
        <v>0</v>
      </c>
      <c r="K647">
        <f t="shared" si="62"/>
        <v>0</v>
      </c>
      <c r="L647">
        <f t="shared" si="63"/>
        <v>0</v>
      </c>
      <c r="M647">
        <f t="shared" si="64"/>
        <v>0</v>
      </c>
      <c r="N647">
        <f t="shared" si="65"/>
        <v>0</v>
      </c>
    </row>
    <row r="648" spans="1:14" x14ac:dyDescent="0.35">
      <c r="A648" t="s">
        <v>1150</v>
      </c>
      <c r="B648" t="s">
        <v>2184</v>
      </c>
      <c r="C648" s="7" t="s">
        <v>6</v>
      </c>
      <c r="D648" t="s">
        <v>1152</v>
      </c>
      <c r="E648" t="s">
        <v>1999</v>
      </c>
      <c r="F648" t="s">
        <v>1886</v>
      </c>
      <c r="I648">
        <f t="shared" si="60"/>
        <v>0</v>
      </c>
      <c r="J648">
        <f t="shared" si="61"/>
        <v>0</v>
      </c>
      <c r="K648">
        <f t="shared" si="62"/>
        <v>0</v>
      </c>
      <c r="L648">
        <f t="shared" si="63"/>
        <v>0</v>
      </c>
      <c r="M648">
        <f t="shared" si="64"/>
        <v>0</v>
      </c>
      <c r="N648">
        <f t="shared" si="65"/>
        <v>0</v>
      </c>
    </row>
    <row r="649" spans="1:14" x14ac:dyDescent="0.35">
      <c r="A649" t="s">
        <v>1443</v>
      </c>
      <c r="B649" t="s">
        <v>1747</v>
      </c>
      <c r="C649" s="7" t="s">
        <v>6</v>
      </c>
      <c r="D649" t="s">
        <v>51</v>
      </c>
      <c r="E649" t="s">
        <v>1866</v>
      </c>
      <c r="F649" t="s">
        <v>1727</v>
      </c>
      <c r="I649">
        <f t="shared" si="60"/>
        <v>0</v>
      </c>
      <c r="J649">
        <f t="shared" si="61"/>
        <v>0</v>
      </c>
      <c r="K649">
        <f t="shared" si="62"/>
        <v>0</v>
      </c>
      <c r="L649">
        <f t="shared" si="63"/>
        <v>0</v>
      </c>
      <c r="M649">
        <f t="shared" si="64"/>
        <v>1</v>
      </c>
      <c r="N649">
        <f t="shared" si="65"/>
        <v>0</v>
      </c>
    </row>
    <row r="650" spans="1:14" x14ac:dyDescent="0.35">
      <c r="A650" t="s">
        <v>823</v>
      </c>
      <c r="B650" t="s">
        <v>2185</v>
      </c>
      <c r="C650" s="7" t="s">
        <v>6</v>
      </c>
      <c r="D650" t="s">
        <v>55</v>
      </c>
      <c r="E650" t="s">
        <v>1865</v>
      </c>
      <c r="F650" t="s">
        <v>1727</v>
      </c>
      <c r="G650" t="s">
        <v>2186</v>
      </c>
      <c r="H650" t="s">
        <v>2187</v>
      </c>
      <c r="I650">
        <f t="shared" si="60"/>
        <v>0</v>
      </c>
      <c r="J650">
        <f t="shared" si="61"/>
        <v>0</v>
      </c>
      <c r="K650">
        <f t="shared" si="62"/>
        <v>0</v>
      </c>
      <c r="L650">
        <f t="shared" si="63"/>
        <v>0</v>
      </c>
      <c r="M650">
        <f t="shared" si="64"/>
        <v>1</v>
      </c>
      <c r="N650">
        <f t="shared" si="65"/>
        <v>1</v>
      </c>
    </row>
    <row r="651" spans="1:14" x14ac:dyDescent="0.35">
      <c r="A651" t="s">
        <v>823</v>
      </c>
      <c r="B651" t="s">
        <v>2185</v>
      </c>
      <c r="C651" s="7" t="s">
        <v>6</v>
      </c>
      <c r="D651" t="s">
        <v>55</v>
      </c>
      <c r="E651" t="s">
        <v>1930</v>
      </c>
      <c r="F651" t="s">
        <v>1754</v>
      </c>
      <c r="G651" t="s">
        <v>2186</v>
      </c>
      <c r="H651" t="s">
        <v>2187</v>
      </c>
      <c r="I651">
        <f t="shared" si="60"/>
        <v>0</v>
      </c>
      <c r="J651">
        <f t="shared" si="61"/>
        <v>0</v>
      </c>
      <c r="K651">
        <f t="shared" si="62"/>
        <v>0</v>
      </c>
      <c r="L651">
        <f t="shared" si="63"/>
        <v>1</v>
      </c>
      <c r="M651">
        <f t="shared" si="64"/>
        <v>0</v>
      </c>
      <c r="N651">
        <f t="shared" si="65"/>
        <v>1</v>
      </c>
    </row>
    <row r="652" spans="1:14" x14ac:dyDescent="0.35">
      <c r="A652" t="s">
        <v>823</v>
      </c>
      <c r="B652" t="s">
        <v>2185</v>
      </c>
      <c r="C652" s="7" t="s">
        <v>6</v>
      </c>
      <c r="D652" t="s">
        <v>55</v>
      </c>
      <c r="E652" t="s">
        <v>1929</v>
      </c>
      <c r="F652" t="s">
        <v>1754</v>
      </c>
      <c r="G652" t="s">
        <v>2186</v>
      </c>
      <c r="H652" t="s">
        <v>2187</v>
      </c>
      <c r="I652">
        <f t="shared" si="60"/>
        <v>0</v>
      </c>
      <c r="J652">
        <f t="shared" si="61"/>
        <v>0</v>
      </c>
      <c r="K652">
        <f t="shared" si="62"/>
        <v>0</v>
      </c>
      <c r="L652">
        <f t="shared" si="63"/>
        <v>1</v>
      </c>
      <c r="M652">
        <f t="shared" si="64"/>
        <v>0</v>
      </c>
      <c r="N652">
        <f t="shared" si="65"/>
        <v>1</v>
      </c>
    </row>
    <row r="653" spans="1:14" x14ac:dyDescent="0.35">
      <c r="A653" t="s">
        <v>413</v>
      </c>
      <c r="B653" t="s">
        <v>2188</v>
      </c>
      <c r="C653" s="7" t="s">
        <v>6</v>
      </c>
      <c r="D653" t="s">
        <v>415</v>
      </c>
      <c r="E653" t="s">
        <v>1998</v>
      </c>
      <c r="F653" t="s">
        <v>1886</v>
      </c>
      <c r="I653">
        <f t="shared" si="60"/>
        <v>0</v>
      </c>
      <c r="J653">
        <f t="shared" si="61"/>
        <v>0</v>
      </c>
      <c r="K653">
        <f t="shared" si="62"/>
        <v>0</v>
      </c>
      <c r="L653">
        <f t="shared" si="63"/>
        <v>0</v>
      </c>
      <c r="M653">
        <f t="shared" si="64"/>
        <v>0</v>
      </c>
      <c r="N653">
        <f t="shared" si="65"/>
        <v>0</v>
      </c>
    </row>
    <row r="654" spans="1:14" x14ac:dyDescent="0.35">
      <c r="A654" t="s">
        <v>413</v>
      </c>
      <c r="B654" t="s">
        <v>2188</v>
      </c>
      <c r="C654" s="7" t="s">
        <v>6</v>
      </c>
      <c r="D654" t="s">
        <v>415</v>
      </c>
      <c r="E654" t="s">
        <v>2000</v>
      </c>
      <c r="F654" t="s">
        <v>1886</v>
      </c>
      <c r="I654">
        <f t="shared" si="60"/>
        <v>0</v>
      </c>
      <c r="J654">
        <f t="shared" si="61"/>
        <v>0</v>
      </c>
      <c r="K654">
        <f t="shared" si="62"/>
        <v>0</v>
      </c>
      <c r="L654">
        <f t="shared" si="63"/>
        <v>0</v>
      </c>
      <c r="M654">
        <f t="shared" si="64"/>
        <v>0</v>
      </c>
      <c r="N654">
        <f t="shared" si="65"/>
        <v>0</v>
      </c>
    </row>
    <row r="655" spans="1:14" x14ac:dyDescent="0.35">
      <c r="A655" t="s">
        <v>413</v>
      </c>
      <c r="B655" t="s">
        <v>2188</v>
      </c>
      <c r="C655" s="7" t="s">
        <v>6</v>
      </c>
      <c r="D655" t="s">
        <v>415</v>
      </c>
      <c r="E655" t="s">
        <v>1997</v>
      </c>
      <c r="F655" t="s">
        <v>1886</v>
      </c>
      <c r="I655">
        <f t="shared" si="60"/>
        <v>0</v>
      </c>
      <c r="J655">
        <f t="shared" si="61"/>
        <v>0</v>
      </c>
      <c r="K655">
        <f t="shared" si="62"/>
        <v>0</v>
      </c>
      <c r="L655">
        <f t="shared" si="63"/>
        <v>0</v>
      </c>
      <c r="M655">
        <f t="shared" si="64"/>
        <v>0</v>
      </c>
      <c r="N655">
        <f t="shared" si="65"/>
        <v>0</v>
      </c>
    </row>
    <row r="656" spans="1:14" x14ac:dyDescent="0.35">
      <c r="A656" t="s">
        <v>413</v>
      </c>
      <c r="B656" t="s">
        <v>2188</v>
      </c>
      <c r="C656" s="7" t="s">
        <v>6</v>
      </c>
      <c r="D656" t="s">
        <v>415</v>
      </c>
      <c r="E656" t="s">
        <v>1999</v>
      </c>
      <c r="F656" t="s">
        <v>1886</v>
      </c>
      <c r="I656">
        <f t="shared" si="60"/>
        <v>0</v>
      </c>
      <c r="J656">
        <f t="shared" si="61"/>
        <v>0</v>
      </c>
      <c r="K656">
        <f t="shared" si="62"/>
        <v>0</v>
      </c>
      <c r="L656">
        <f t="shared" si="63"/>
        <v>0</v>
      </c>
      <c r="M656">
        <f t="shared" si="64"/>
        <v>0</v>
      </c>
      <c r="N656">
        <f t="shared" si="65"/>
        <v>0</v>
      </c>
    </row>
    <row r="657" spans="1:14" x14ac:dyDescent="0.35">
      <c r="A657" t="s">
        <v>413</v>
      </c>
      <c r="B657" t="s">
        <v>2188</v>
      </c>
      <c r="C657" s="7" t="s">
        <v>10</v>
      </c>
      <c r="D657" t="s">
        <v>415</v>
      </c>
      <c r="E657" t="s">
        <v>1996</v>
      </c>
      <c r="F657" t="s">
        <v>1886</v>
      </c>
      <c r="I657">
        <f t="shared" si="60"/>
        <v>0</v>
      </c>
      <c r="J657">
        <f t="shared" si="61"/>
        <v>0</v>
      </c>
      <c r="K657">
        <f t="shared" si="62"/>
        <v>0</v>
      </c>
      <c r="L657">
        <f t="shared" si="63"/>
        <v>0</v>
      </c>
      <c r="M657">
        <f t="shared" si="64"/>
        <v>0</v>
      </c>
      <c r="N657">
        <f t="shared" si="65"/>
        <v>0</v>
      </c>
    </row>
    <row r="658" spans="1:14" x14ac:dyDescent="0.35">
      <c r="A658" t="s">
        <v>567</v>
      </c>
      <c r="B658" t="s">
        <v>2189</v>
      </c>
      <c r="C658" s="7" t="s">
        <v>10</v>
      </c>
      <c r="D658" t="s">
        <v>570</v>
      </c>
      <c r="E658" t="s">
        <v>2044</v>
      </c>
      <c r="F658" t="s">
        <v>1727</v>
      </c>
      <c r="G658" t="s">
        <v>2190</v>
      </c>
      <c r="H658" t="s">
        <v>2191</v>
      </c>
      <c r="I658">
        <f t="shared" si="60"/>
        <v>0</v>
      </c>
      <c r="J658">
        <f t="shared" si="61"/>
        <v>0</v>
      </c>
      <c r="K658">
        <f t="shared" si="62"/>
        <v>0</v>
      </c>
      <c r="L658">
        <f t="shared" si="63"/>
        <v>0</v>
      </c>
      <c r="M658">
        <f t="shared" si="64"/>
        <v>1</v>
      </c>
      <c r="N658">
        <f t="shared" si="65"/>
        <v>1</v>
      </c>
    </row>
    <row r="659" spans="1:14" x14ac:dyDescent="0.35">
      <c r="A659" t="s">
        <v>567</v>
      </c>
      <c r="B659" t="s">
        <v>2189</v>
      </c>
      <c r="C659" s="7" t="s">
        <v>10</v>
      </c>
      <c r="D659" t="s">
        <v>570</v>
      </c>
      <c r="E659" t="s">
        <v>1809</v>
      </c>
      <c r="F659" t="s">
        <v>1754</v>
      </c>
      <c r="G659" t="s">
        <v>2190</v>
      </c>
      <c r="H659" t="s">
        <v>2191</v>
      </c>
      <c r="I659">
        <f t="shared" si="60"/>
        <v>0</v>
      </c>
      <c r="J659">
        <f t="shared" si="61"/>
        <v>0</v>
      </c>
      <c r="K659">
        <f t="shared" si="62"/>
        <v>0</v>
      </c>
      <c r="L659">
        <f t="shared" si="63"/>
        <v>1</v>
      </c>
      <c r="M659">
        <f t="shared" si="64"/>
        <v>0</v>
      </c>
      <c r="N659">
        <f t="shared" si="65"/>
        <v>1</v>
      </c>
    </row>
    <row r="660" spans="1:14" x14ac:dyDescent="0.35">
      <c r="A660" t="s">
        <v>1673</v>
      </c>
      <c r="B660" t="s">
        <v>2192</v>
      </c>
      <c r="C660" s="7" t="s">
        <v>10</v>
      </c>
      <c r="D660" t="s">
        <v>1676</v>
      </c>
      <c r="E660" t="s">
        <v>1998</v>
      </c>
      <c r="F660" t="s">
        <v>1886</v>
      </c>
      <c r="I660">
        <f t="shared" si="60"/>
        <v>0</v>
      </c>
      <c r="J660">
        <f t="shared" si="61"/>
        <v>0</v>
      </c>
      <c r="K660">
        <f t="shared" si="62"/>
        <v>0</v>
      </c>
      <c r="L660">
        <f t="shared" si="63"/>
        <v>0</v>
      </c>
      <c r="M660">
        <f t="shared" si="64"/>
        <v>0</v>
      </c>
      <c r="N660">
        <f t="shared" si="65"/>
        <v>0</v>
      </c>
    </row>
    <row r="661" spans="1:14" x14ac:dyDescent="0.35">
      <c r="A661" t="s">
        <v>1673</v>
      </c>
      <c r="B661" t="s">
        <v>2192</v>
      </c>
      <c r="C661" s="7" t="s">
        <v>10</v>
      </c>
      <c r="D661" t="s">
        <v>1676</v>
      </c>
      <c r="E661" t="s">
        <v>1999</v>
      </c>
      <c r="F661" t="s">
        <v>1886</v>
      </c>
      <c r="I661">
        <f t="shared" si="60"/>
        <v>0</v>
      </c>
      <c r="J661">
        <f t="shared" si="61"/>
        <v>0</v>
      </c>
      <c r="K661">
        <f t="shared" si="62"/>
        <v>0</v>
      </c>
      <c r="L661">
        <f t="shared" si="63"/>
        <v>0</v>
      </c>
      <c r="M661">
        <f t="shared" si="64"/>
        <v>0</v>
      </c>
      <c r="N661">
        <f t="shared" si="65"/>
        <v>0</v>
      </c>
    </row>
    <row r="662" spans="1:14" x14ac:dyDescent="0.35">
      <c r="A662" t="s">
        <v>1673</v>
      </c>
      <c r="B662" t="s">
        <v>2192</v>
      </c>
      <c r="C662" s="7" t="s">
        <v>10</v>
      </c>
      <c r="D662" t="s">
        <v>1676</v>
      </c>
      <c r="E662" t="s">
        <v>2000</v>
      </c>
      <c r="F662" t="s">
        <v>1886</v>
      </c>
      <c r="I662">
        <f t="shared" si="60"/>
        <v>0</v>
      </c>
      <c r="J662">
        <f t="shared" si="61"/>
        <v>0</v>
      </c>
      <c r="K662">
        <f t="shared" si="62"/>
        <v>0</v>
      </c>
      <c r="L662">
        <f t="shared" si="63"/>
        <v>0</v>
      </c>
      <c r="M662">
        <f t="shared" si="64"/>
        <v>0</v>
      </c>
      <c r="N662">
        <f t="shared" si="65"/>
        <v>0</v>
      </c>
    </row>
    <row r="663" spans="1:14" x14ac:dyDescent="0.35">
      <c r="A663" t="s">
        <v>1673</v>
      </c>
      <c r="B663" t="s">
        <v>2192</v>
      </c>
      <c r="C663" s="7" t="s">
        <v>10</v>
      </c>
      <c r="D663" t="s">
        <v>1676</v>
      </c>
      <c r="E663" t="s">
        <v>1997</v>
      </c>
      <c r="F663" t="s">
        <v>1886</v>
      </c>
      <c r="I663">
        <f t="shared" si="60"/>
        <v>0</v>
      </c>
      <c r="J663">
        <f t="shared" si="61"/>
        <v>0</v>
      </c>
      <c r="K663">
        <f t="shared" si="62"/>
        <v>0</v>
      </c>
      <c r="L663">
        <f t="shared" si="63"/>
        <v>0</v>
      </c>
      <c r="M663">
        <f t="shared" si="64"/>
        <v>0</v>
      </c>
      <c r="N663">
        <f t="shared" si="65"/>
        <v>0</v>
      </c>
    </row>
    <row r="664" spans="1:14" x14ac:dyDescent="0.35">
      <c r="A664" t="s">
        <v>1673</v>
      </c>
      <c r="B664" t="s">
        <v>2192</v>
      </c>
      <c r="C664" s="7" t="s">
        <v>10</v>
      </c>
      <c r="D664" t="s">
        <v>1676</v>
      </c>
      <c r="E664" t="s">
        <v>1996</v>
      </c>
      <c r="F664" t="s">
        <v>1886</v>
      </c>
      <c r="I664">
        <f t="shared" si="60"/>
        <v>0</v>
      </c>
      <c r="J664">
        <f t="shared" si="61"/>
        <v>0</v>
      </c>
      <c r="K664">
        <f t="shared" si="62"/>
        <v>0</v>
      </c>
      <c r="L664">
        <f t="shared" si="63"/>
        <v>0</v>
      </c>
      <c r="M664">
        <f t="shared" si="64"/>
        <v>0</v>
      </c>
      <c r="N664">
        <f t="shared" si="65"/>
        <v>0</v>
      </c>
    </row>
    <row r="665" spans="1:14" x14ac:dyDescent="0.35">
      <c r="A665" t="s">
        <v>1597</v>
      </c>
      <c r="B665" t="s">
        <v>2193</v>
      </c>
      <c r="C665" s="7" t="s">
        <v>10</v>
      </c>
      <c r="D665" t="s">
        <v>1598</v>
      </c>
      <c r="E665" t="s">
        <v>1821</v>
      </c>
      <c r="F665" t="s">
        <v>1760</v>
      </c>
      <c r="I665">
        <f t="shared" si="60"/>
        <v>0</v>
      </c>
      <c r="J665">
        <f t="shared" si="61"/>
        <v>0</v>
      </c>
      <c r="K665">
        <f t="shared" si="62"/>
        <v>1</v>
      </c>
      <c r="L665">
        <f t="shared" si="63"/>
        <v>0</v>
      </c>
      <c r="M665">
        <f t="shared" si="64"/>
        <v>0</v>
      </c>
      <c r="N665">
        <f t="shared" si="65"/>
        <v>0</v>
      </c>
    </row>
    <row r="666" spans="1:14" x14ac:dyDescent="0.35">
      <c r="A666" t="s">
        <v>1597</v>
      </c>
      <c r="B666" t="s">
        <v>2193</v>
      </c>
      <c r="C666" s="7" t="s">
        <v>10</v>
      </c>
      <c r="D666" t="s">
        <v>1598</v>
      </c>
      <c r="E666" t="s">
        <v>1814</v>
      </c>
      <c r="F666" t="s">
        <v>1760</v>
      </c>
      <c r="I666">
        <f t="shared" si="60"/>
        <v>0</v>
      </c>
      <c r="J666">
        <f t="shared" si="61"/>
        <v>0</v>
      </c>
      <c r="K666">
        <f t="shared" si="62"/>
        <v>1</v>
      </c>
      <c r="L666">
        <f t="shared" si="63"/>
        <v>0</v>
      </c>
      <c r="M666">
        <f t="shared" si="64"/>
        <v>0</v>
      </c>
      <c r="N666">
        <f t="shared" si="65"/>
        <v>0</v>
      </c>
    </row>
    <row r="667" spans="1:14" x14ac:dyDescent="0.35">
      <c r="A667" t="s">
        <v>1597</v>
      </c>
      <c r="B667" t="s">
        <v>2193</v>
      </c>
      <c r="C667" s="7" t="s">
        <v>10</v>
      </c>
      <c r="D667" t="s">
        <v>1598</v>
      </c>
      <c r="E667" t="s">
        <v>2002</v>
      </c>
      <c r="F667" t="s">
        <v>1754</v>
      </c>
      <c r="I667">
        <f t="shared" si="60"/>
        <v>0</v>
      </c>
      <c r="J667">
        <f t="shared" si="61"/>
        <v>0</v>
      </c>
      <c r="K667">
        <f t="shared" si="62"/>
        <v>0</v>
      </c>
      <c r="L667">
        <f t="shared" si="63"/>
        <v>1</v>
      </c>
      <c r="M667">
        <f t="shared" si="64"/>
        <v>0</v>
      </c>
      <c r="N667">
        <f t="shared" si="65"/>
        <v>0</v>
      </c>
    </row>
    <row r="668" spans="1:14" x14ac:dyDescent="0.35">
      <c r="A668" t="s">
        <v>1597</v>
      </c>
      <c r="B668" t="s">
        <v>2193</v>
      </c>
      <c r="C668" s="7" t="s">
        <v>10</v>
      </c>
      <c r="D668" t="s">
        <v>1598</v>
      </c>
      <c r="E668" t="s">
        <v>2003</v>
      </c>
      <c r="F668" t="s">
        <v>1754</v>
      </c>
      <c r="I668">
        <f t="shared" si="60"/>
        <v>0</v>
      </c>
      <c r="J668">
        <f t="shared" si="61"/>
        <v>0</v>
      </c>
      <c r="K668">
        <f t="shared" si="62"/>
        <v>0</v>
      </c>
      <c r="L668">
        <f t="shared" si="63"/>
        <v>1</v>
      </c>
      <c r="M668">
        <f t="shared" si="64"/>
        <v>0</v>
      </c>
      <c r="N668">
        <f t="shared" si="65"/>
        <v>0</v>
      </c>
    </row>
    <row r="669" spans="1:14" x14ac:dyDescent="0.35">
      <c r="A669" t="s">
        <v>1597</v>
      </c>
      <c r="B669" t="s">
        <v>2193</v>
      </c>
      <c r="C669" s="7" t="s">
        <v>10</v>
      </c>
      <c r="D669" t="s">
        <v>1598</v>
      </c>
      <c r="E669" t="s">
        <v>1818</v>
      </c>
      <c r="F669" t="s">
        <v>1760</v>
      </c>
      <c r="I669">
        <f t="shared" si="60"/>
        <v>0</v>
      </c>
      <c r="J669">
        <f t="shared" si="61"/>
        <v>0</v>
      </c>
      <c r="K669">
        <f t="shared" si="62"/>
        <v>1</v>
      </c>
      <c r="L669">
        <f t="shared" si="63"/>
        <v>0</v>
      </c>
      <c r="M669">
        <f t="shared" si="64"/>
        <v>0</v>
      </c>
      <c r="N669">
        <f t="shared" si="65"/>
        <v>0</v>
      </c>
    </row>
    <row r="670" spans="1:14" x14ac:dyDescent="0.35">
      <c r="A670" t="s">
        <v>112</v>
      </c>
      <c r="B670" t="s">
        <v>2052</v>
      </c>
      <c r="C670" s="7" t="s">
        <v>10</v>
      </c>
      <c r="D670" t="s">
        <v>55</v>
      </c>
      <c r="E670" t="s">
        <v>2053</v>
      </c>
      <c r="F670" t="s">
        <v>1805</v>
      </c>
      <c r="I670">
        <f t="shared" si="60"/>
        <v>0</v>
      </c>
      <c r="J670">
        <f t="shared" si="61"/>
        <v>1</v>
      </c>
      <c r="K670">
        <f t="shared" si="62"/>
        <v>0</v>
      </c>
      <c r="L670">
        <f t="shared" si="63"/>
        <v>0</v>
      </c>
      <c r="M670">
        <f t="shared" si="64"/>
        <v>0</v>
      </c>
      <c r="N670">
        <f t="shared" si="65"/>
        <v>0</v>
      </c>
    </row>
    <row r="671" spans="1:14" x14ac:dyDescent="0.35">
      <c r="A671" t="s">
        <v>296</v>
      </c>
      <c r="B671" t="s">
        <v>2194</v>
      </c>
      <c r="C671" s="7" t="s">
        <v>10</v>
      </c>
      <c r="D671" t="s">
        <v>55</v>
      </c>
      <c r="E671" t="s">
        <v>1813</v>
      </c>
      <c r="F671" t="s">
        <v>1760</v>
      </c>
      <c r="I671">
        <f t="shared" si="60"/>
        <v>0</v>
      </c>
      <c r="J671">
        <f t="shared" si="61"/>
        <v>0</v>
      </c>
      <c r="K671">
        <f t="shared" si="62"/>
        <v>1</v>
      </c>
      <c r="L671">
        <f t="shared" si="63"/>
        <v>0</v>
      </c>
      <c r="M671">
        <f t="shared" si="64"/>
        <v>0</v>
      </c>
      <c r="N671">
        <f t="shared" si="65"/>
        <v>0</v>
      </c>
    </row>
    <row r="672" spans="1:14" x14ac:dyDescent="0.35">
      <c r="A672" t="s">
        <v>789</v>
      </c>
      <c r="B672" t="s">
        <v>2195</v>
      </c>
      <c r="C672" s="7" t="s">
        <v>10</v>
      </c>
      <c r="D672" t="s">
        <v>55</v>
      </c>
      <c r="E672" t="s">
        <v>1911</v>
      </c>
      <c r="F672" t="s">
        <v>1754</v>
      </c>
      <c r="I672">
        <f t="shared" si="60"/>
        <v>0</v>
      </c>
      <c r="J672">
        <f t="shared" si="61"/>
        <v>0</v>
      </c>
      <c r="K672">
        <f t="shared" si="62"/>
        <v>0</v>
      </c>
      <c r="L672">
        <f t="shared" si="63"/>
        <v>1</v>
      </c>
      <c r="M672">
        <f t="shared" si="64"/>
        <v>0</v>
      </c>
      <c r="N672">
        <f t="shared" si="65"/>
        <v>0</v>
      </c>
    </row>
    <row r="673" spans="1:14" x14ac:dyDescent="0.35">
      <c r="A673" t="s">
        <v>789</v>
      </c>
      <c r="B673" t="s">
        <v>2195</v>
      </c>
      <c r="C673" s="7" t="s">
        <v>10</v>
      </c>
      <c r="D673" t="s">
        <v>55</v>
      </c>
      <c r="E673" t="s">
        <v>1910</v>
      </c>
      <c r="F673" t="s">
        <v>1754</v>
      </c>
      <c r="I673">
        <f t="shared" si="60"/>
        <v>0</v>
      </c>
      <c r="J673">
        <f t="shared" si="61"/>
        <v>0</v>
      </c>
      <c r="K673">
        <f t="shared" si="62"/>
        <v>0</v>
      </c>
      <c r="L673">
        <f t="shared" si="63"/>
        <v>1</v>
      </c>
      <c r="M673">
        <f t="shared" si="64"/>
        <v>0</v>
      </c>
      <c r="N673">
        <f t="shared" si="65"/>
        <v>0</v>
      </c>
    </row>
    <row r="674" spans="1:14" x14ac:dyDescent="0.35">
      <c r="A674" t="s">
        <v>789</v>
      </c>
      <c r="B674" t="s">
        <v>2195</v>
      </c>
      <c r="C674" s="7" t="s">
        <v>10</v>
      </c>
      <c r="D674" t="s">
        <v>55</v>
      </c>
      <c r="E674" t="s">
        <v>1854</v>
      </c>
      <c r="F674" t="s">
        <v>1754</v>
      </c>
      <c r="I674">
        <f t="shared" si="60"/>
        <v>0</v>
      </c>
      <c r="J674">
        <f t="shared" si="61"/>
        <v>0</v>
      </c>
      <c r="K674">
        <f t="shared" si="62"/>
        <v>0</v>
      </c>
      <c r="L674">
        <f t="shared" si="63"/>
        <v>1</v>
      </c>
      <c r="M674">
        <f t="shared" si="64"/>
        <v>0</v>
      </c>
      <c r="N674">
        <f t="shared" si="65"/>
        <v>0</v>
      </c>
    </row>
    <row r="675" spans="1:14" x14ac:dyDescent="0.35">
      <c r="A675" t="s">
        <v>789</v>
      </c>
      <c r="B675" t="s">
        <v>2195</v>
      </c>
      <c r="C675" s="7" t="s">
        <v>10</v>
      </c>
      <c r="D675" t="s">
        <v>55</v>
      </c>
      <c r="E675" t="s">
        <v>2042</v>
      </c>
      <c r="F675" t="s">
        <v>1754</v>
      </c>
      <c r="I675">
        <f t="shared" si="60"/>
        <v>0</v>
      </c>
      <c r="J675">
        <f t="shared" si="61"/>
        <v>0</v>
      </c>
      <c r="K675">
        <f t="shared" si="62"/>
        <v>0</v>
      </c>
      <c r="L675">
        <f t="shared" si="63"/>
        <v>1</v>
      </c>
      <c r="M675">
        <f t="shared" si="64"/>
        <v>0</v>
      </c>
      <c r="N675">
        <f t="shared" si="65"/>
        <v>0</v>
      </c>
    </row>
    <row r="676" spans="1:14" x14ac:dyDescent="0.35">
      <c r="A676" t="s">
        <v>789</v>
      </c>
      <c r="B676" t="s">
        <v>2195</v>
      </c>
      <c r="C676" s="7" t="s">
        <v>10</v>
      </c>
      <c r="D676" t="s">
        <v>55</v>
      </c>
      <c r="E676" t="s">
        <v>1945</v>
      </c>
      <c r="F676" t="s">
        <v>1754</v>
      </c>
      <c r="I676">
        <f t="shared" si="60"/>
        <v>0</v>
      </c>
      <c r="J676">
        <f t="shared" si="61"/>
        <v>0</v>
      </c>
      <c r="K676">
        <f t="shared" si="62"/>
        <v>0</v>
      </c>
      <c r="L676">
        <f t="shared" si="63"/>
        <v>1</v>
      </c>
      <c r="M676">
        <f t="shared" si="64"/>
        <v>0</v>
      </c>
      <c r="N676">
        <f t="shared" si="65"/>
        <v>0</v>
      </c>
    </row>
    <row r="677" spans="1:14" x14ac:dyDescent="0.35">
      <c r="A677" t="s">
        <v>789</v>
      </c>
      <c r="B677" t="s">
        <v>2195</v>
      </c>
      <c r="C677" s="7" t="s">
        <v>10</v>
      </c>
      <c r="D677" t="s">
        <v>55</v>
      </c>
      <c r="E677" t="s">
        <v>1944</v>
      </c>
      <c r="F677" t="s">
        <v>1754</v>
      </c>
      <c r="I677">
        <f t="shared" si="60"/>
        <v>0</v>
      </c>
      <c r="J677">
        <f t="shared" si="61"/>
        <v>0</v>
      </c>
      <c r="K677">
        <f t="shared" si="62"/>
        <v>0</v>
      </c>
      <c r="L677">
        <f t="shared" si="63"/>
        <v>1</v>
      </c>
      <c r="M677">
        <f t="shared" si="64"/>
        <v>0</v>
      </c>
      <c r="N677">
        <f t="shared" si="65"/>
        <v>0</v>
      </c>
    </row>
    <row r="678" spans="1:14" x14ac:dyDescent="0.35">
      <c r="A678" t="s">
        <v>789</v>
      </c>
      <c r="B678" t="s">
        <v>2195</v>
      </c>
      <c r="C678" s="7" t="s">
        <v>10</v>
      </c>
      <c r="D678" t="s">
        <v>55</v>
      </c>
      <c r="E678" t="s">
        <v>1911</v>
      </c>
      <c r="F678" t="s">
        <v>1754</v>
      </c>
      <c r="I678">
        <f t="shared" si="60"/>
        <v>0</v>
      </c>
      <c r="J678">
        <f t="shared" si="61"/>
        <v>0</v>
      </c>
      <c r="K678">
        <f t="shared" si="62"/>
        <v>0</v>
      </c>
      <c r="L678">
        <f t="shared" si="63"/>
        <v>1</v>
      </c>
      <c r="M678">
        <f t="shared" si="64"/>
        <v>0</v>
      </c>
      <c r="N678">
        <f t="shared" si="65"/>
        <v>0</v>
      </c>
    </row>
    <row r="679" spans="1:14" x14ac:dyDescent="0.35">
      <c r="A679" t="s">
        <v>789</v>
      </c>
      <c r="B679" t="s">
        <v>2195</v>
      </c>
      <c r="C679" s="7" t="s">
        <v>10</v>
      </c>
      <c r="D679" t="s">
        <v>55</v>
      </c>
      <c r="E679" t="s">
        <v>1910</v>
      </c>
      <c r="F679" t="s">
        <v>1754</v>
      </c>
      <c r="I679">
        <f t="shared" si="60"/>
        <v>0</v>
      </c>
      <c r="J679">
        <f t="shared" si="61"/>
        <v>0</v>
      </c>
      <c r="K679">
        <f t="shared" si="62"/>
        <v>0</v>
      </c>
      <c r="L679">
        <f t="shared" si="63"/>
        <v>1</v>
      </c>
      <c r="M679">
        <f t="shared" si="64"/>
        <v>0</v>
      </c>
      <c r="N679">
        <f t="shared" si="65"/>
        <v>0</v>
      </c>
    </row>
    <row r="680" spans="1:14" x14ac:dyDescent="0.35">
      <c r="A680" t="s">
        <v>1436</v>
      </c>
      <c r="B680" t="s">
        <v>2196</v>
      </c>
      <c r="C680" s="7" t="s">
        <v>10</v>
      </c>
      <c r="D680" t="s">
        <v>55</v>
      </c>
      <c r="E680" t="s">
        <v>1807</v>
      </c>
      <c r="F680" t="s">
        <v>1754</v>
      </c>
      <c r="I680">
        <f t="shared" si="60"/>
        <v>0</v>
      </c>
      <c r="J680">
        <f t="shared" si="61"/>
        <v>0</v>
      </c>
      <c r="K680">
        <f t="shared" si="62"/>
        <v>0</v>
      </c>
      <c r="L680">
        <f t="shared" si="63"/>
        <v>1</v>
      </c>
      <c r="M680">
        <f t="shared" si="64"/>
        <v>0</v>
      </c>
      <c r="N680">
        <f t="shared" si="65"/>
        <v>0</v>
      </c>
    </row>
    <row r="681" spans="1:14" x14ac:dyDescent="0.35">
      <c r="A681" t="s">
        <v>1436</v>
      </c>
      <c r="B681" t="s">
        <v>2196</v>
      </c>
      <c r="C681" s="7" t="s">
        <v>10</v>
      </c>
      <c r="D681" t="s">
        <v>55</v>
      </c>
      <c r="E681" t="s">
        <v>1806</v>
      </c>
      <c r="F681" t="s">
        <v>1754</v>
      </c>
      <c r="I681">
        <f t="shared" si="60"/>
        <v>0</v>
      </c>
      <c r="J681">
        <f t="shared" si="61"/>
        <v>0</v>
      </c>
      <c r="K681">
        <f t="shared" si="62"/>
        <v>0</v>
      </c>
      <c r="L681">
        <f t="shared" si="63"/>
        <v>1</v>
      </c>
      <c r="M681">
        <f t="shared" si="64"/>
        <v>0</v>
      </c>
      <c r="N681">
        <f t="shared" si="65"/>
        <v>0</v>
      </c>
    </row>
    <row r="682" spans="1:14" x14ac:dyDescent="0.35">
      <c r="A682" t="s">
        <v>686</v>
      </c>
      <c r="B682" t="s">
        <v>2197</v>
      </c>
      <c r="C682" s="7" t="s">
        <v>10</v>
      </c>
      <c r="D682" t="s">
        <v>180</v>
      </c>
      <c r="E682" t="s">
        <v>2095</v>
      </c>
      <c r="F682" t="s">
        <v>1754</v>
      </c>
      <c r="I682">
        <f t="shared" si="60"/>
        <v>0</v>
      </c>
      <c r="J682">
        <f t="shared" si="61"/>
        <v>0</v>
      </c>
      <c r="K682">
        <f t="shared" si="62"/>
        <v>0</v>
      </c>
      <c r="L682">
        <f t="shared" si="63"/>
        <v>1</v>
      </c>
      <c r="M682">
        <f t="shared" si="64"/>
        <v>0</v>
      </c>
      <c r="N682">
        <f t="shared" si="65"/>
        <v>0</v>
      </c>
    </row>
    <row r="683" spans="1:14" x14ac:dyDescent="0.35">
      <c r="A683" t="s">
        <v>1005</v>
      </c>
      <c r="B683" t="s">
        <v>2198</v>
      </c>
      <c r="C683" s="7" t="s">
        <v>10</v>
      </c>
      <c r="D683" t="s">
        <v>55</v>
      </c>
      <c r="E683" t="s">
        <v>2199</v>
      </c>
      <c r="F683" t="s">
        <v>1754</v>
      </c>
      <c r="I683">
        <f t="shared" si="60"/>
        <v>0</v>
      </c>
      <c r="J683">
        <f t="shared" si="61"/>
        <v>0</v>
      </c>
      <c r="K683">
        <f t="shared" si="62"/>
        <v>0</v>
      </c>
      <c r="L683">
        <f t="shared" si="63"/>
        <v>1</v>
      </c>
      <c r="M683">
        <f t="shared" si="64"/>
        <v>0</v>
      </c>
      <c r="N683">
        <f t="shared" si="65"/>
        <v>0</v>
      </c>
    </row>
    <row r="684" spans="1:14" x14ac:dyDescent="0.35">
      <c r="A684" t="s">
        <v>299</v>
      </c>
      <c r="B684" t="s">
        <v>2200</v>
      </c>
      <c r="C684" s="7" t="s">
        <v>10</v>
      </c>
      <c r="D684" t="s">
        <v>97</v>
      </c>
      <c r="E684" t="s">
        <v>1915</v>
      </c>
      <c r="F684" t="s">
        <v>1727</v>
      </c>
      <c r="I684">
        <f t="shared" si="60"/>
        <v>0</v>
      </c>
      <c r="J684">
        <f t="shared" si="61"/>
        <v>0</v>
      </c>
      <c r="K684">
        <f t="shared" si="62"/>
        <v>0</v>
      </c>
      <c r="L684">
        <f t="shared" si="63"/>
        <v>0</v>
      </c>
      <c r="M684">
        <f t="shared" si="64"/>
        <v>1</v>
      </c>
      <c r="N684">
        <f t="shared" si="65"/>
        <v>0</v>
      </c>
    </row>
    <row r="685" spans="1:14" x14ac:dyDescent="0.35">
      <c r="A685" t="s">
        <v>871</v>
      </c>
      <c r="B685" t="s">
        <v>2201</v>
      </c>
      <c r="C685" s="7" t="s">
        <v>10</v>
      </c>
      <c r="D685" t="s">
        <v>55</v>
      </c>
      <c r="E685" t="s">
        <v>2042</v>
      </c>
      <c r="F685" t="s">
        <v>1754</v>
      </c>
      <c r="I685">
        <f t="shared" si="60"/>
        <v>0</v>
      </c>
      <c r="J685">
        <f t="shared" si="61"/>
        <v>0</v>
      </c>
      <c r="K685">
        <f t="shared" si="62"/>
        <v>0</v>
      </c>
      <c r="L685">
        <f t="shared" si="63"/>
        <v>1</v>
      </c>
      <c r="M685">
        <f t="shared" si="64"/>
        <v>0</v>
      </c>
      <c r="N685">
        <f t="shared" si="65"/>
        <v>0</v>
      </c>
    </row>
    <row r="686" spans="1:14" x14ac:dyDescent="0.35">
      <c r="A686" t="s">
        <v>871</v>
      </c>
      <c r="B686" t="s">
        <v>2201</v>
      </c>
      <c r="C686" s="7" t="s">
        <v>10</v>
      </c>
      <c r="D686" t="s">
        <v>55</v>
      </c>
      <c r="E686" t="s">
        <v>1854</v>
      </c>
      <c r="F686" t="s">
        <v>1754</v>
      </c>
      <c r="I686">
        <f t="shared" si="60"/>
        <v>0</v>
      </c>
      <c r="J686">
        <f t="shared" si="61"/>
        <v>0</v>
      </c>
      <c r="K686">
        <f t="shared" si="62"/>
        <v>0</v>
      </c>
      <c r="L686">
        <f t="shared" si="63"/>
        <v>1</v>
      </c>
      <c r="M686">
        <f t="shared" si="64"/>
        <v>0</v>
      </c>
      <c r="N686">
        <f t="shared" si="65"/>
        <v>0</v>
      </c>
    </row>
    <row r="687" spans="1:14" x14ac:dyDescent="0.35">
      <c r="A687" t="s">
        <v>1066</v>
      </c>
      <c r="B687" t="s">
        <v>2202</v>
      </c>
      <c r="C687" s="7" t="s">
        <v>10</v>
      </c>
      <c r="D687" t="s">
        <v>55</v>
      </c>
      <c r="E687" t="s">
        <v>1894</v>
      </c>
      <c r="F687" t="s">
        <v>1754</v>
      </c>
      <c r="I687">
        <f t="shared" si="60"/>
        <v>0</v>
      </c>
      <c r="J687">
        <f t="shared" si="61"/>
        <v>0</v>
      </c>
      <c r="K687">
        <f t="shared" si="62"/>
        <v>0</v>
      </c>
      <c r="L687">
        <f t="shared" si="63"/>
        <v>1</v>
      </c>
      <c r="M687">
        <f t="shared" si="64"/>
        <v>0</v>
      </c>
      <c r="N687">
        <f t="shared" si="65"/>
        <v>0</v>
      </c>
    </row>
    <row r="688" spans="1:14" x14ac:dyDescent="0.35">
      <c r="A688" t="s">
        <v>1066</v>
      </c>
      <c r="B688" t="s">
        <v>2202</v>
      </c>
      <c r="C688" s="7" t="s">
        <v>10</v>
      </c>
      <c r="D688" t="s">
        <v>55</v>
      </c>
      <c r="E688" t="s">
        <v>1896</v>
      </c>
      <c r="F688" t="s">
        <v>1754</v>
      </c>
      <c r="I688">
        <f t="shared" si="60"/>
        <v>0</v>
      </c>
      <c r="J688">
        <f t="shared" si="61"/>
        <v>0</v>
      </c>
      <c r="K688">
        <f t="shared" si="62"/>
        <v>0</v>
      </c>
      <c r="L688">
        <f t="shared" si="63"/>
        <v>1</v>
      </c>
      <c r="M688">
        <f t="shared" si="64"/>
        <v>0</v>
      </c>
      <c r="N688">
        <f t="shared" si="65"/>
        <v>0</v>
      </c>
    </row>
    <row r="689" spans="1:14" x14ac:dyDescent="0.35">
      <c r="A689" t="s">
        <v>1066</v>
      </c>
      <c r="B689" t="s">
        <v>2202</v>
      </c>
      <c r="C689" s="7" t="s">
        <v>10</v>
      </c>
      <c r="D689" t="s">
        <v>55</v>
      </c>
      <c r="E689" t="s">
        <v>1806</v>
      </c>
      <c r="F689" t="s">
        <v>1754</v>
      </c>
      <c r="I689">
        <f t="shared" si="60"/>
        <v>0</v>
      </c>
      <c r="J689">
        <f t="shared" si="61"/>
        <v>0</v>
      </c>
      <c r="K689">
        <f t="shared" si="62"/>
        <v>0</v>
      </c>
      <c r="L689">
        <f t="shared" si="63"/>
        <v>1</v>
      </c>
      <c r="M689">
        <f t="shared" si="64"/>
        <v>0</v>
      </c>
      <c r="N689">
        <f t="shared" si="65"/>
        <v>0</v>
      </c>
    </row>
    <row r="690" spans="1:14" x14ac:dyDescent="0.35">
      <c r="A690" t="s">
        <v>1066</v>
      </c>
      <c r="B690" t="s">
        <v>2202</v>
      </c>
      <c r="C690" s="7" t="s">
        <v>10</v>
      </c>
      <c r="D690" t="s">
        <v>55</v>
      </c>
      <c r="E690" t="s">
        <v>1807</v>
      </c>
      <c r="F690" t="s">
        <v>1754</v>
      </c>
      <c r="I690">
        <f t="shared" si="60"/>
        <v>0</v>
      </c>
      <c r="J690">
        <f t="shared" si="61"/>
        <v>0</v>
      </c>
      <c r="K690">
        <f t="shared" si="62"/>
        <v>0</v>
      </c>
      <c r="L690">
        <f t="shared" si="63"/>
        <v>1</v>
      </c>
      <c r="M690">
        <f t="shared" si="64"/>
        <v>0</v>
      </c>
      <c r="N690">
        <f t="shared" si="65"/>
        <v>0</v>
      </c>
    </row>
    <row r="691" spans="1:14" x14ac:dyDescent="0.35">
      <c r="A691" t="s">
        <v>171</v>
      </c>
      <c r="B691" t="s">
        <v>2203</v>
      </c>
      <c r="C691" s="7" t="s">
        <v>10</v>
      </c>
      <c r="D691" t="s">
        <v>100</v>
      </c>
      <c r="E691" t="s">
        <v>1910</v>
      </c>
      <c r="F691" t="s">
        <v>1754</v>
      </c>
      <c r="I691">
        <f t="shared" si="60"/>
        <v>0</v>
      </c>
      <c r="J691">
        <f t="shared" si="61"/>
        <v>0</v>
      </c>
      <c r="K691">
        <f t="shared" si="62"/>
        <v>0</v>
      </c>
      <c r="L691">
        <f t="shared" si="63"/>
        <v>1</v>
      </c>
      <c r="M691">
        <f t="shared" si="64"/>
        <v>0</v>
      </c>
      <c r="N691">
        <f t="shared" si="65"/>
        <v>0</v>
      </c>
    </row>
    <row r="692" spans="1:14" x14ac:dyDescent="0.35">
      <c r="A692" t="s">
        <v>171</v>
      </c>
      <c r="B692" t="s">
        <v>2203</v>
      </c>
      <c r="C692" s="7" t="s">
        <v>10</v>
      </c>
      <c r="D692" t="s">
        <v>100</v>
      </c>
      <c r="E692" t="s">
        <v>1911</v>
      </c>
      <c r="F692" t="s">
        <v>1754</v>
      </c>
      <c r="I692">
        <f t="shared" si="60"/>
        <v>0</v>
      </c>
      <c r="J692">
        <f t="shared" si="61"/>
        <v>0</v>
      </c>
      <c r="K692">
        <f t="shared" si="62"/>
        <v>0</v>
      </c>
      <c r="L692">
        <f t="shared" si="63"/>
        <v>1</v>
      </c>
      <c r="M692">
        <f t="shared" si="64"/>
        <v>0</v>
      </c>
      <c r="N692">
        <f t="shared" si="65"/>
        <v>0</v>
      </c>
    </row>
    <row r="693" spans="1:14" x14ac:dyDescent="0.35">
      <c r="A693" t="s">
        <v>1638</v>
      </c>
      <c r="B693" t="s">
        <v>2204</v>
      </c>
      <c r="C693" s="7" t="s">
        <v>10</v>
      </c>
      <c r="D693" t="s">
        <v>55</v>
      </c>
      <c r="E693" t="s">
        <v>1809</v>
      </c>
      <c r="F693" t="s">
        <v>1754</v>
      </c>
      <c r="G693" t="s">
        <v>2205</v>
      </c>
      <c r="H693" t="s">
        <v>1738</v>
      </c>
      <c r="I693">
        <f t="shared" si="60"/>
        <v>0</v>
      </c>
      <c r="J693">
        <f t="shared" si="61"/>
        <v>0</v>
      </c>
      <c r="K693">
        <f t="shared" si="62"/>
        <v>0</v>
      </c>
      <c r="L693">
        <f t="shared" si="63"/>
        <v>1</v>
      </c>
      <c r="M693">
        <f t="shared" si="64"/>
        <v>0</v>
      </c>
      <c r="N693">
        <f t="shared" si="65"/>
        <v>1</v>
      </c>
    </row>
    <row r="694" spans="1:14" x14ac:dyDescent="0.35">
      <c r="A694" t="s">
        <v>1638</v>
      </c>
      <c r="B694" t="s">
        <v>2204</v>
      </c>
      <c r="C694" s="7" t="s">
        <v>10</v>
      </c>
      <c r="D694" t="s">
        <v>55</v>
      </c>
      <c r="E694" t="s">
        <v>2206</v>
      </c>
      <c r="F694" t="s">
        <v>1727</v>
      </c>
      <c r="G694" t="s">
        <v>2205</v>
      </c>
      <c r="H694" t="s">
        <v>1738</v>
      </c>
      <c r="I694">
        <f t="shared" si="60"/>
        <v>0</v>
      </c>
      <c r="J694">
        <f t="shared" si="61"/>
        <v>0</v>
      </c>
      <c r="K694">
        <f t="shared" si="62"/>
        <v>0</v>
      </c>
      <c r="L694">
        <f t="shared" si="63"/>
        <v>0</v>
      </c>
      <c r="M694">
        <f t="shared" si="64"/>
        <v>1</v>
      </c>
      <c r="N694">
        <f t="shared" si="65"/>
        <v>1</v>
      </c>
    </row>
    <row r="695" spans="1:14" x14ac:dyDescent="0.35">
      <c r="A695" t="s">
        <v>1256</v>
      </c>
      <c r="B695" t="s">
        <v>1749</v>
      </c>
      <c r="C695" s="7" t="s">
        <v>10</v>
      </c>
      <c r="D695" t="s">
        <v>92</v>
      </c>
      <c r="E695" t="s">
        <v>1911</v>
      </c>
      <c r="F695" t="s">
        <v>1754</v>
      </c>
      <c r="G695" t="s">
        <v>1751</v>
      </c>
      <c r="H695" t="s">
        <v>1752</v>
      </c>
      <c r="I695">
        <f t="shared" si="60"/>
        <v>0</v>
      </c>
      <c r="J695">
        <f t="shared" si="61"/>
        <v>0</v>
      </c>
      <c r="K695">
        <f t="shared" si="62"/>
        <v>0</v>
      </c>
      <c r="L695">
        <f t="shared" si="63"/>
        <v>1</v>
      </c>
      <c r="M695">
        <f t="shared" si="64"/>
        <v>0</v>
      </c>
      <c r="N695">
        <f t="shared" si="65"/>
        <v>1</v>
      </c>
    </row>
    <row r="696" spans="1:14" x14ac:dyDescent="0.35">
      <c r="A696" t="s">
        <v>1256</v>
      </c>
      <c r="B696" t="s">
        <v>1749</v>
      </c>
      <c r="C696" s="7" t="s">
        <v>10</v>
      </c>
      <c r="D696" t="s">
        <v>92</v>
      </c>
      <c r="E696" t="s">
        <v>1910</v>
      </c>
      <c r="F696" t="s">
        <v>1754</v>
      </c>
      <c r="G696" t="s">
        <v>1751</v>
      </c>
      <c r="H696" t="s">
        <v>1752</v>
      </c>
      <c r="I696">
        <f t="shared" si="60"/>
        <v>0</v>
      </c>
      <c r="J696">
        <f t="shared" si="61"/>
        <v>0</v>
      </c>
      <c r="K696">
        <f t="shared" si="62"/>
        <v>0</v>
      </c>
      <c r="L696">
        <f t="shared" si="63"/>
        <v>1</v>
      </c>
      <c r="M696">
        <f t="shared" si="64"/>
        <v>0</v>
      </c>
      <c r="N696">
        <f t="shared" si="65"/>
        <v>1</v>
      </c>
    </row>
    <row r="697" spans="1:14" x14ac:dyDescent="0.35">
      <c r="A697" t="s">
        <v>1256</v>
      </c>
      <c r="B697" t="s">
        <v>1749</v>
      </c>
      <c r="C697" s="7" t="s">
        <v>10</v>
      </c>
      <c r="D697" t="s">
        <v>92</v>
      </c>
      <c r="E697" t="s">
        <v>1811</v>
      </c>
      <c r="F697" t="s">
        <v>1754</v>
      </c>
      <c r="G697" t="s">
        <v>1751</v>
      </c>
      <c r="H697" t="s">
        <v>1752</v>
      </c>
      <c r="I697">
        <f t="shared" si="60"/>
        <v>0</v>
      </c>
      <c r="J697">
        <f t="shared" si="61"/>
        <v>0</v>
      </c>
      <c r="K697">
        <f t="shared" si="62"/>
        <v>0</v>
      </c>
      <c r="L697">
        <f t="shared" si="63"/>
        <v>1</v>
      </c>
      <c r="M697">
        <f t="shared" si="64"/>
        <v>0</v>
      </c>
      <c r="N697">
        <f t="shared" si="65"/>
        <v>1</v>
      </c>
    </row>
    <row r="698" spans="1:14" x14ac:dyDescent="0.35">
      <c r="A698" t="s">
        <v>1549</v>
      </c>
      <c r="B698" t="s">
        <v>2207</v>
      </c>
      <c r="C698" s="7" t="s">
        <v>10</v>
      </c>
      <c r="D698" t="s">
        <v>51</v>
      </c>
      <c r="E698" t="s">
        <v>1875</v>
      </c>
      <c r="F698" t="s">
        <v>1727</v>
      </c>
      <c r="I698">
        <f t="shared" si="60"/>
        <v>0</v>
      </c>
      <c r="J698">
        <f t="shared" si="61"/>
        <v>0</v>
      </c>
      <c r="K698">
        <f t="shared" si="62"/>
        <v>0</v>
      </c>
      <c r="L698">
        <f t="shared" si="63"/>
        <v>0</v>
      </c>
      <c r="M698">
        <f t="shared" si="64"/>
        <v>1</v>
      </c>
      <c r="N698">
        <f t="shared" si="65"/>
        <v>0</v>
      </c>
    </row>
    <row r="699" spans="1:14" x14ac:dyDescent="0.35">
      <c r="A699" t="s">
        <v>1549</v>
      </c>
      <c r="B699" t="s">
        <v>2207</v>
      </c>
      <c r="C699" s="7" t="s">
        <v>10</v>
      </c>
      <c r="D699" t="s">
        <v>51</v>
      </c>
      <c r="E699" t="s">
        <v>1874</v>
      </c>
      <c r="F699" t="s">
        <v>1727</v>
      </c>
      <c r="I699">
        <f t="shared" si="60"/>
        <v>0</v>
      </c>
      <c r="J699">
        <f t="shared" si="61"/>
        <v>0</v>
      </c>
      <c r="K699">
        <f t="shared" si="62"/>
        <v>0</v>
      </c>
      <c r="L699">
        <f t="shared" si="63"/>
        <v>0</v>
      </c>
      <c r="M699">
        <f t="shared" si="64"/>
        <v>1</v>
      </c>
      <c r="N699">
        <f t="shared" si="65"/>
        <v>0</v>
      </c>
    </row>
    <row r="700" spans="1:14" x14ac:dyDescent="0.35">
      <c r="A700" t="s">
        <v>1409</v>
      </c>
      <c r="B700" t="s">
        <v>2208</v>
      </c>
      <c r="C700" s="7" t="s">
        <v>10</v>
      </c>
      <c r="D700" t="s">
        <v>180</v>
      </c>
      <c r="E700" t="s">
        <v>1972</v>
      </c>
      <c r="F700" t="s">
        <v>1760</v>
      </c>
      <c r="I700">
        <f t="shared" si="60"/>
        <v>0</v>
      </c>
      <c r="J700">
        <f t="shared" si="61"/>
        <v>0</v>
      </c>
      <c r="K700">
        <f t="shared" si="62"/>
        <v>1</v>
      </c>
      <c r="L700">
        <f t="shared" si="63"/>
        <v>0</v>
      </c>
      <c r="M700">
        <f t="shared" si="64"/>
        <v>0</v>
      </c>
      <c r="N700">
        <f t="shared" si="65"/>
        <v>0</v>
      </c>
    </row>
    <row r="701" spans="1:14" x14ac:dyDescent="0.35">
      <c r="A701" t="s">
        <v>1409</v>
      </c>
      <c r="B701" t="s">
        <v>2208</v>
      </c>
      <c r="C701" s="7" t="s">
        <v>10</v>
      </c>
      <c r="D701" t="s">
        <v>180</v>
      </c>
      <c r="E701" t="s">
        <v>2165</v>
      </c>
      <c r="F701" t="s">
        <v>1805</v>
      </c>
      <c r="I701">
        <f t="shared" si="60"/>
        <v>0</v>
      </c>
      <c r="J701">
        <f t="shared" si="61"/>
        <v>1</v>
      </c>
      <c r="K701">
        <f t="shared" si="62"/>
        <v>0</v>
      </c>
      <c r="L701">
        <f t="shared" si="63"/>
        <v>0</v>
      </c>
      <c r="M701">
        <f t="shared" si="64"/>
        <v>0</v>
      </c>
      <c r="N701">
        <f t="shared" si="65"/>
        <v>0</v>
      </c>
    </row>
    <row r="702" spans="1:14" x14ac:dyDescent="0.35">
      <c r="A702" t="s">
        <v>1409</v>
      </c>
      <c r="B702" t="s">
        <v>2208</v>
      </c>
      <c r="C702" s="7" t="s">
        <v>10</v>
      </c>
      <c r="D702" t="s">
        <v>180</v>
      </c>
      <c r="E702" t="s">
        <v>1961</v>
      </c>
      <c r="F702" t="s">
        <v>1805</v>
      </c>
      <c r="I702">
        <f t="shared" si="60"/>
        <v>0</v>
      </c>
      <c r="J702">
        <f t="shared" si="61"/>
        <v>1</v>
      </c>
      <c r="K702">
        <f t="shared" si="62"/>
        <v>0</v>
      </c>
      <c r="L702">
        <f t="shared" si="63"/>
        <v>0</v>
      </c>
      <c r="M702">
        <f t="shared" si="64"/>
        <v>0</v>
      </c>
      <c r="N702">
        <f t="shared" si="65"/>
        <v>0</v>
      </c>
    </row>
    <row r="703" spans="1:14" x14ac:dyDescent="0.35">
      <c r="A703" t="s">
        <v>969</v>
      </c>
      <c r="B703" t="s">
        <v>1755</v>
      </c>
      <c r="C703" s="7" t="s">
        <v>10</v>
      </c>
      <c r="D703" t="s">
        <v>55</v>
      </c>
      <c r="E703" t="s">
        <v>1825</v>
      </c>
      <c r="F703" t="s">
        <v>1754</v>
      </c>
      <c r="I703">
        <f t="shared" si="60"/>
        <v>0</v>
      </c>
      <c r="J703">
        <f t="shared" si="61"/>
        <v>0</v>
      </c>
      <c r="K703">
        <f t="shared" si="62"/>
        <v>0</v>
      </c>
      <c r="L703">
        <f t="shared" si="63"/>
        <v>1</v>
      </c>
      <c r="M703">
        <f t="shared" si="64"/>
        <v>0</v>
      </c>
      <c r="N703">
        <f t="shared" si="65"/>
        <v>0</v>
      </c>
    </row>
    <row r="704" spans="1:14" x14ac:dyDescent="0.35">
      <c r="A704" t="s">
        <v>969</v>
      </c>
      <c r="B704" t="s">
        <v>1755</v>
      </c>
      <c r="C704" s="7" t="s">
        <v>10</v>
      </c>
      <c r="D704" t="s">
        <v>55</v>
      </c>
      <c r="E704" t="s">
        <v>1826</v>
      </c>
      <c r="F704" t="s">
        <v>1754</v>
      </c>
      <c r="I704">
        <f t="shared" si="60"/>
        <v>0</v>
      </c>
      <c r="J704">
        <f t="shared" si="61"/>
        <v>0</v>
      </c>
      <c r="K704">
        <f t="shared" si="62"/>
        <v>0</v>
      </c>
      <c r="L704">
        <f t="shared" si="63"/>
        <v>1</v>
      </c>
      <c r="M704">
        <f t="shared" si="64"/>
        <v>0</v>
      </c>
      <c r="N704">
        <f t="shared" si="65"/>
        <v>0</v>
      </c>
    </row>
    <row r="705" spans="1:14" x14ac:dyDescent="0.35">
      <c r="A705" t="s">
        <v>945</v>
      </c>
      <c r="B705" t="s">
        <v>2209</v>
      </c>
      <c r="C705" s="7" t="s">
        <v>10</v>
      </c>
      <c r="D705" t="s">
        <v>276</v>
      </c>
      <c r="E705" t="s">
        <v>1828</v>
      </c>
      <c r="F705" t="s">
        <v>1754</v>
      </c>
      <c r="I705">
        <f t="shared" si="60"/>
        <v>0</v>
      </c>
      <c r="J705">
        <f t="shared" si="61"/>
        <v>0</v>
      </c>
      <c r="K705">
        <f t="shared" si="62"/>
        <v>0</v>
      </c>
      <c r="L705">
        <f t="shared" si="63"/>
        <v>1</v>
      </c>
      <c r="M705">
        <f t="shared" si="64"/>
        <v>0</v>
      </c>
      <c r="N705">
        <f t="shared" si="65"/>
        <v>0</v>
      </c>
    </row>
    <row r="706" spans="1:14" x14ac:dyDescent="0.35">
      <c r="A706" t="s">
        <v>945</v>
      </c>
      <c r="B706" t="s">
        <v>2209</v>
      </c>
      <c r="C706" s="7" t="s">
        <v>10</v>
      </c>
      <c r="D706" t="s">
        <v>276</v>
      </c>
      <c r="E706" t="s">
        <v>1829</v>
      </c>
      <c r="F706" t="s">
        <v>1754</v>
      </c>
      <c r="I706">
        <f t="shared" si="60"/>
        <v>0</v>
      </c>
      <c r="J706">
        <f t="shared" si="61"/>
        <v>0</v>
      </c>
      <c r="K706">
        <f t="shared" si="62"/>
        <v>0</v>
      </c>
      <c r="L706">
        <f t="shared" si="63"/>
        <v>1</v>
      </c>
      <c r="M706">
        <f t="shared" si="64"/>
        <v>0</v>
      </c>
      <c r="N706">
        <f t="shared" si="65"/>
        <v>0</v>
      </c>
    </row>
    <row r="707" spans="1:14" x14ac:dyDescent="0.35">
      <c r="A707" t="s">
        <v>1420</v>
      </c>
      <c r="B707" t="s">
        <v>2210</v>
      </c>
      <c r="C707" s="7" t="s">
        <v>10</v>
      </c>
      <c r="D707" t="s">
        <v>180</v>
      </c>
      <c r="E707" t="s">
        <v>1838</v>
      </c>
      <c r="F707" t="s">
        <v>1760</v>
      </c>
      <c r="I707">
        <f t="shared" ref="I707:I770" si="66">IF($F707=$F$1,1,0)</f>
        <v>0</v>
      </c>
      <c r="J707">
        <f t="shared" ref="J707:J770" si="67">IF($F707=$J$1,1,0)</f>
        <v>0</v>
      </c>
      <c r="K707">
        <f t="shared" ref="K707:K770" si="68">IF($F707=$K$1,1,0)</f>
        <v>1</v>
      </c>
      <c r="L707">
        <f t="shared" ref="L707:L770" si="69">IF($F707=$L$1,1,0)</f>
        <v>0</v>
      </c>
      <c r="M707">
        <f t="shared" ref="M707:M770" si="70">IF($F707=$M$1,1,0)</f>
        <v>0</v>
      </c>
      <c r="N707">
        <f t="shared" ref="N707:N770" si="71">IF($G707&lt;&gt;"",1,0)</f>
        <v>0</v>
      </c>
    </row>
    <row r="708" spans="1:14" x14ac:dyDescent="0.35">
      <c r="A708" t="s">
        <v>1420</v>
      </c>
      <c r="B708" t="s">
        <v>2210</v>
      </c>
      <c r="C708" s="7" t="s">
        <v>10</v>
      </c>
      <c r="D708" t="s">
        <v>180</v>
      </c>
      <c r="E708" t="s">
        <v>1823</v>
      </c>
      <c r="F708" t="s">
        <v>1760</v>
      </c>
      <c r="I708">
        <f t="shared" si="66"/>
        <v>0</v>
      </c>
      <c r="J708">
        <f t="shared" si="67"/>
        <v>0</v>
      </c>
      <c r="K708">
        <f t="shared" si="68"/>
        <v>1</v>
      </c>
      <c r="L708">
        <f t="shared" si="69"/>
        <v>0</v>
      </c>
      <c r="M708">
        <f t="shared" si="70"/>
        <v>0</v>
      </c>
      <c r="N708">
        <f t="shared" si="71"/>
        <v>0</v>
      </c>
    </row>
    <row r="709" spans="1:14" x14ac:dyDescent="0.35">
      <c r="A709" t="s">
        <v>1420</v>
      </c>
      <c r="B709" t="s">
        <v>2210</v>
      </c>
      <c r="C709" s="7" t="s">
        <v>10</v>
      </c>
      <c r="D709" t="s">
        <v>180</v>
      </c>
      <c r="E709" t="s">
        <v>1936</v>
      </c>
      <c r="F709" t="s">
        <v>1760</v>
      </c>
      <c r="I709">
        <f t="shared" si="66"/>
        <v>0</v>
      </c>
      <c r="J709">
        <f t="shared" si="67"/>
        <v>0</v>
      </c>
      <c r="K709">
        <f t="shared" si="68"/>
        <v>1</v>
      </c>
      <c r="L709">
        <f t="shared" si="69"/>
        <v>0</v>
      </c>
      <c r="M709">
        <f t="shared" si="70"/>
        <v>0</v>
      </c>
      <c r="N709">
        <f t="shared" si="71"/>
        <v>0</v>
      </c>
    </row>
    <row r="710" spans="1:14" x14ac:dyDescent="0.35">
      <c r="A710" t="s">
        <v>1523</v>
      </c>
      <c r="B710" t="s">
        <v>2211</v>
      </c>
      <c r="C710" s="7" t="s">
        <v>10</v>
      </c>
      <c r="D710" t="s">
        <v>55</v>
      </c>
      <c r="E710" t="s">
        <v>2053</v>
      </c>
      <c r="F710" t="s">
        <v>1805</v>
      </c>
      <c r="I710">
        <f t="shared" si="66"/>
        <v>0</v>
      </c>
      <c r="J710">
        <f t="shared" si="67"/>
        <v>1</v>
      </c>
      <c r="K710">
        <f t="shared" si="68"/>
        <v>0</v>
      </c>
      <c r="L710">
        <f t="shared" si="69"/>
        <v>0</v>
      </c>
      <c r="M710">
        <f t="shared" si="70"/>
        <v>0</v>
      </c>
      <c r="N710">
        <f t="shared" si="71"/>
        <v>0</v>
      </c>
    </row>
    <row r="711" spans="1:14" x14ac:dyDescent="0.35">
      <c r="A711" t="s">
        <v>1523</v>
      </c>
      <c r="B711" t="s">
        <v>2211</v>
      </c>
      <c r="C711" s="7" t="s">
        <v>10</v>
      </c>
      <c r="D711" t="s">
        <v>55</v>
      </c>
      <c r="E711" t="s">
        <v>2174</v>
      </c>
      <c r="F711" t="s">
        <v>1805</v>
      </c>
      <c r="I711">
        <f t="shared" si="66"/>
        <v>0</v>
      </c>
      <c r="J711">
        <f t="shared" si="67"/>
        <v>1</v>
      </c>
      <c r="K711">
        <f t="shared" si="68"/>
        <v>0</v>
      </c>
      <c r="L711">
        <f t="shared" si="69"/>
        <v>0</v>
      </c>
      <c r="M711">
        <f t="shared" si="70"/>
        <v>0</v>
      </c>
      <c r="N711">
        <f t="shared" si="71"/>
        <v>0</v>
      </c>
    </row>
    <row r="712" spans="1:14" x14ac:dyDescent="0.35">
      <c r="A712" t="s">
        <v>350</v>
      </c>
      <c r="B712" t="s">
        <v>2212</v>
      </c>
      <c r="C712" s="7" t="s">
        <v>10</v>
      </c>
      <c r="D712" t="s">
        <v>55</v>
      </c>
      <c r="E712" t="s">
        <v>1967</v>
      </c>
      <c r="F712" t="s">
        <v>1760</v>
      </c>
      <c r="I712">
        <f t="shared" si="66"/>
        <v>0</v>
      </c>
      <c r="J712">
        <f t="shared" si="67"/>
        <v>0</v>
      </c>
      <c r="K712">
        <f t="shared" si="68"/>
        <v>1</v>
      </c>
      <c r="L712">
        <f t="shared" si="69"/>
        <v>0</v>
      </c>
      <c r="M712">
        <f t="shared" si="70"/>
        <v>0</v>
      </c>
      <c r="N712">
        <f t="shared" si="71"/>
        <v>0</v>
      </c>
    </row>
    <row r="713" spans="1:14" x14ac:dyDescent="0.35">
      <c r="A713" t="s">
        <v>350</v>
      </c>
      <c r="B713" t="s">
        <v>2212</v>
      </c>
      <c r="C713" s="7" t="s">
        <v>10</v>
      </c>
      <c r="D713" t="s">
        <v>55</v>
      </c>
      <c r="E713" t="s">
        <v>1963</v>
      </c>
      <c r="F713" t="s">
        <v>1760</v>
      </c>
      <c r="I713">
        <f t="shared" si="66"/>
        <v>0</v>
      </c>
      <c r="J713">
        <f t="shared" si="67"/>
        <v>0</v>
      </c>
      <c r="K713">
        <f t="shared" si="68"/>
        <v>1</v>
      </c>
      <c r="L713">
        <f t="shared" si="69"/>
        <v>0</v>
      </c>
      <c r="M713">
        <f t="shared" si="70"/>
        <v>0</v>
      </c>
      <c r="N713">
        <f t="shared" si="71"/>
        <v>0</v>
      </c>
    </row>
    <row r="714" spans="1:14" x14ac:dyDescent="0.35">
      <c r="A714" t="s">
        <v>679</v>
      </c>
      <c r="B714" t="s">
        <v>2213</v>
      </c>
      <c r="C714" s="7" t="s">
        <v>10</v>
      </c>
      <c r="D714" t="s">
        <v>55</v>
      </c>
      <c r="E714" t="s">
        <v>1821</v>
      </c>
      <c r="F714" t="s">
        <v>1760</v>
      </c>
      <c r="I714">
        <f t="shared" si="66"/>
        <v>0</v>
      </c>
      <c r="J714">
        <f t="shared" si="67"/>
        <v>0</v>
      </c>
      <c r="K714">
        <f t="shared" si="68"/>
        <v>1</v>
      </c>
      <c r="L714">
        <f t="shared" si="69"/>
        <v>0</v>
      </c>
      <c r="M714">
        <f t="shared" si="70"/>
        <v>0</v>
      </c>
      <c r="N714">
        <f t="shared" si="71"/>
        <v>0</v>
      </c>
    </row>
    <row r="715" spans="1:14" x14ac:dyDescent="0.35">
      <c r="A715" t="s">
        <v>679</v>
      </c>
      <c r="B715" t="s">
        <v>2213</v>
      </c>
      <c r="C715" s="7" t="s">
        <v>10</v>
      </c>
      <c r="D715" t="s">
        <v>55</v>
      </c>
      <c r="E715" t="s">
        <v>1822</v>
      </c>
      <c r="F715" t="s">
        <v>1760</v>
      </c>
      <c r="I715">
        <f t="shared" si="66"/>
        <v>0</v>
      </c>
      <c r="J715">
        <f t="shared" si="67"/>
        <v>0</v>
      </c>
      <c r="K715">
        <f t="shared" si="68"/>
        <v>1</v>
      </c>
      <c r="L715">
        <f t="shared" si="69"/>
        <v>0</v>
      </c>
      <c r="M715">
        <f t="shared" si="70"/>
        <v>0</v>
      </c>
      <c r="N715">
        <f t="shared" si="71"/>
        <v>0</v>
      </c>
    </row>
    <row r="716" spans="1:14" x14ac:dyDescent="0.35">
      <c r="A716" t="s">
        <v>679</v>
      </c>
      <c r="B716" t="s">
        <v>2213</v>
      </c>
      <c r="C716" s="7" t="s">
        <v>10</v>
      </c>
      <c r="D716" t="s">
        <v>55</v>
      </c>
      <c r="E716" t="s">
        <v>1806</v>
      </c>
      <c r="F716" t="s">
        <v>1754</v>
      </c>
      <c r="I716">
        <f t="shared" si="66"/>
        <v>0</v>
      </c>
      <c r="J716">
        <f t="shared" si="67"/>
        <v>0</v>
      </c>
      <c r="K716">
        <f t="shared" si="68"/>
        <v>0</v>
      </c>
      <c r="L716">
        <f t="shared" si="69"/>
        <v>1</v>
      </c>
      <c r="M716">
        <f t="shared" si="70"/>
        <v>0</v>
      </c>
      <c r="N716">
        <f t="shared" si="71"/>
        <v>0</v>
      </c>
    </row>
    <row r="717" spans="1:14" x14ac:dyDescent="0.35">
      <c r="A717" t="s">
        <v>679</v>
      </c>
      <c r="B717" t="s">
        <v>2213</v>
      </c>
      <c r="C717" s="7" t="s">
        <v>10</v>
      </c>
      <c r="D717" t="s">
        <v>55</v>
      </c>
      <c r="E717" t="s">
        <v>1807</v>
      </c>
      <c r="F717" t="s">
        <v>1754</v>
      </c>
      <c r="I717">
        <f t="shared" si="66"/>
        <v>0</v>
      </c>
      <c r="J717">
        <f t="shared" si="67"/>
        <v>0</v>
      </c>
      <c r="K717">
        <f t="shared" si="68"/>
        <v>0</v>
      </c>
      <c r="L717">
        <f t="shared" si="69"/>
        <v>1</v>
      </c>
      <c r="M717">
        <f t="shared" si="70"/>
        <v>0</v>
      </c>
      <c r="N717">
        <f t="shared" si="71"/>
        <v>0</v>
      </c>
    </row>
    <row r="718" spans="1:14" x14ac:dyDescent="0.35">
      <c r="A718" t="s">
        <v>679</v>
      </c>
      <c r="B718" t="s">
        <v>2213</v>
      </c>
      <c r="C718" s="7" t="s">
        <v>10</v>
      </c>
      <c r="D718" t="s">
        <v>55</v>
      </c>
      <c r="E718" t="s">
        <v>1840</v>
      </c>
      <c r="F718" t="s">
        <v>1760</v>
      </c>
      <c r="I718">
        <f t="shared" si="66"/>
        <v>0</v>
      </c>
      <c r="J718">
        <f t="shared" si="67"/>
        <v>0</v>
      </c>
      <c r="K718">
        <f t="shared" si="68"/>
        <v>1</v>
      </c>
      <c r="L718">
        <f t="shared" si="69"/>
        <v>0</v>
      </c>
      <c r="M718">
        <f t="shared" si="70"/>
        <v>0</v>
      </c>
      <c r="N718">
        <f t="shared" si="71"/>
        <v>0</v>
      </c>
    </row>
    <row r="719" spans="1:14" x14ac:dyDescent="0.35">
      <c r="A719" t="s">
        <v>679</v>
      </c>
      <c r="B719" t="s">
        <v>2213</v>
      </c>
      <c r="C719" s="7" t="s">
        <v>10</v>
      </c>
      <c r="D719" t="s">
        <v>55</v>
      </c>
      <c r="E719" t="s">
        <v>1905</v>
      </c>
      <c r="F719" t="s">
        <v>1760</v>
      </c>
      <c r="I719">
        <f t="shared" si="66"/>
        <v>0</v>
      </c>
      <c r="J719">
        <f t="shared" si="67"/>
        <v>0</v>
      </c>
      <c r="K719">
        <f t="shared" si="68"/>
        <v>1</v>
      </c>
      <c r="L719">
        <f t="shared" si="69"/>
        <v>0</v>
      </c>
      <c r="M719">
        <f t="shared" si="70"/>
        <v>0</v>
      </c>
      <c r="N719">
        <f t="shared" si="71"/>
        <v>0</v>
      </c>
    </row>
    <row r="720" spans="1:14" x14ac:dyDescent="0.35">
      <c r="A720" t="s">
        <v>679</v>
      </c>
      <c r="B720" t="s">
        <v>2213</v>
      </c>
      <c r="C720" s="7" t="s">
        <v>10</v>
      </c>
      <c r="D720" t="s">
        <v>55</v>
      </c>
      <c r="E720" t="s">
        <v>1904</v>
      </c>
      <c r="F720" t="s">
        <v>1760</v>
      </c>
      <c r="I720">
        <f t="shared" si="66"/>
        <v>0</v>
      </c>
      <c r="J720">
        <f t="shared" si="67"/>
        <v>0</v>
      </c>
      <c r="K720">
        <f t="shared" si="68"/>
        <v>1</v>
      </c>
      <c r="L720">
        <f t="shared" si="69"/>
        <v>0</v>
      </c>
      <c r="M720">
        <f t="shared" si="70"/>
        <v>0</v>
      </c>
      <c r="N720">
        <f t="shared" si="71"/>
        <v>0</v>
      </c>
    </row>
    <row r="721" spans="1:14" x14ac:dyDescent="0.35">
      <c r="A721" t="s">
        <v>880</v>
      </c>
      <c r="B721" t="s">
        <v>2214</v>
      </c>
      <c r="C721" s="7" t="s">
        <v>10</v>
      </c>
      <c r="D721" t="s">
        <v>882</v>
      </c>
      <c r="E721" t="s">
        <v>1998</v>
      </c>
      <c r="F721" t="s">
        <v>1886</v>
      </c>
      <c r="I721">
        <f t="shared" si="66"/>
        <v>0</v>
      </c>
      <c r="J721">
        <f t="shared" si="67"/>
        <v>0</v>
      </c>
      <c r="K721">
        <f t="shared" si="68"/>
        <v>0</v>
      </c>
      <c r="L721">
        <f t="shared" si="69"/>
        <v>0</v>
      </c>
      <c r="M721">
        <f t="shared" si="70"/>
        <v>0</v>
      </c>
      <c r="N721">
        <f t="shared" si="71"/>
        <v>0</v>
      </c>
    </row>
    <row r="722" spans="1:14" x14ac:dyDescent="0.35">
      <c r="A722" t="s">
        <v>880</v>
      </c>
      <c r="B722" t="s">
        <v>2214</v>
      </c>
      <c r="C722" s="7" t="s">
        <v>10</v>
      </c>
      <c r="D722" t="s">
        <v>882</v>
      </c>
      <c r="E722" t="s">
        <v>1997</v>
      </c>
      <c r="F722" t="s">
        <v>1886</v>
      </c>
      <c r="I722">
        <f t="shared" si="66"/>
        <v>0</v>
      </c>
      <c r="J722">
        <f t="shared" si="67"/>
        <v>0</v>
      </c>
      <c r="K722">
        <f t="shared" si="68"/>
        <v>0</v>
      </c>
      <c r="L722">
        <f t="shared" si="69"/>
        <v>0</v>
      </c>
      <c r="M722">
        <f t="shared" si="70"/>
        <v>0</v>
      </c>
      <c r="N722">
        <f t="shared" si="71"/>
        <v>0</v>
      </c>
    </row>
    <row r="723" spans="1:14" x14ac:dyDescent="0.35">
      <c r="A723" t="s">
        <v>880</v>
      </c>
      <c r="B723" t="s">
        <v>2214</v>
      </c>
      <c r="C723" s="7" t="s">
        <v>10</v>
      </c>
      <c r="D723" t="s">
        <v>882</v>
      </c>
      <c r="E723" t="s">
        <v>1996</v>
      </c>
      <c r="F723" t="s">
        <v>1886</v>
      </c>
      <c r="I723">
        <f t="shared" si="66"/>
        <v>0</v>
      </c>
      <c r="J723">
        <f t="shared" si="67"/>
        <v>0</v>
      </c>
      <c r="K723">
        <f t="shared" si="68"/>
        <v>0</v>
      </c>
      <c r="L723">
        <f t="shared" si="69"/>
        <v>0</v>
      </c>
      <c r="M723">
        <f t="shared" si="70"/>
        <v>0</v>
      </c>
      <c r="N723">
        <f t="shared" si="71"/>
        <v>0</v>
      </c>
    </row>
    <row r="724" spans="1:14" x14ac:dyDescent="0.35">
      <c r="A724" t="s">
        <v>880</v>
      </c>
      <c r="B724" t="s">
        <v>2214</v>
      </c>
      <c r="C724" s="7" t="s">
        <v>10</v>
      </c>
      <c r="D724" t="s">
        <v>882</v>
      </c>
      <c r="E724" t="s">
        <v>1999</v>
      </c>
      <c r="F724" t="s">
        <v>1886</v>
      </c>
      <c r="I724">
        <f t="shared" si="66"/>
        <v>0</v>
      </c>
      <c r="J724">
        <f t="shared" si="67"/>
        <v>0</v>
      </c>
      <c r="K724">
        <f t="shared" si="68"/>
        <v>0</v>
      </c>
      <c r="L724">
        <f t="shared" si="69"/>
        <v>0</v>
      </c>
      <c r="M724">
        <f t="shared" si="70"/>
        <v>0</v>
      </c>
      <c r="N724">
        <f t="shared" si="71"/>
        <v>0</v>
      </c>
    </row>
    <row r="725" spans="1:14" x14ac:dyDescent="0.35">
      <c r="A725" t="s">
        <v>880</v>
      </c>
      <c r="B725" t="s">
        <v>2214</v>
      </c>
      <c r="C725" s="7" t="s">
        <v>10</v>
      </c>
      <c r="D725" t="s">
        <v>882</v>
      </c>
      <c r="E725" t="s">
        <v>2000</v>
      </c>
      <c r="F725" t="s">
        <v>1886</v>
      </c>
      <c r="I725">
        <f t="shared" si="66"/>
        <v>0</v>
      </c>
      <c r="J725">
        <f t="shared" si="67"/>
        <v>0</v>
      </c>
      <c r="K725">
        <f t="shared" si="68"/>
        <v>0</v>
      </c>
      <c r="L725">
        <f t="shared" si="69"/>
        <v>0</v>
      </c>
      <c r="M725">
        <f t="shared" si="70"/>
        <v>0</v>
      </c>
      <c r="N725">
        <f t="shared" si="71"/>
        <v>0</v>
      </c>
    </row>
    <row r="726" spans="1:14" x14ac:dyDescent="0.35">
      <c r="A726" t="s">
        <v>1204</v>
      </c>
      <c r="B726" t="s">
        <v>2215</v>
      </c>
      <c r="C726" s="7" t="s">
        <v>10</v>
      </c>
      <c r="D726" t="s">
        <v>55</v>
      </c>
      <c r="E726" t="s">
        <v>2078</v>
      </c>
      <c r="F726" t="s">
        <v>1754</v>
      </c>
      <c r="I726">
        <f t="shared" si="66"/>
        <v>0</v>
      </c>
      <c r="J726">
        <f t="shared" si="67"/>
        <v>0</v>
      </c>
      <c r="K726">
        <f t="shared" si="68"/>
        <v>0</v>
      </c>
      <c r="L726">
        <f t="shared" si="69"/>
        <v>1</v>
      </c>
      <c r="M726">
        <f t="shared" si="70"/>
        <v>0</v>
      </c>
      <c r="N726">
        <f t="shared" si="71"/>
        <v>0</v>
      </c>
    </row>
    <row r="727" spans="1:14" x14ac:dyDescent="0.35">
      <c r="A727" t="s">
        <v>1204</v>
      </c>
      <c r="B727" t="s">
        <v>2215</v>
      </c>
      <c r="C727" s="7" t="s">
        <v>10</v>
      </c>
      <c r="D727" t="s">
        <v>55</v>
      </c>
      <c r="E727" t="s">
        <v>1825</v>
      </c>
      <c r="F727" t="s">
        <v>1754</v>
      </c>
      <c r="I727">
        <f t="shared" si="66"/>
        <v>0</v>
      </c>
      <c r="J727">
        <f t="shared" si="67"/>
        <v>0</v>
      </c>
      <c r="K727">
        <f t="shared" si="68"/>
        <v>0</v>
      </c>
      <c r="L727">
        <f t="shared" si="69"/>
        <v>1</v>
      </c>
      <c r="M727">
        <f t="shared" si="70"/>
        <v>0</v>
      </c>
      <c r="N727">
        <f t="shared" si="71"/>
        <v>0</v>
      </c>
    </row>
    <row r="728" spans="1:14" x14ac:dyDescent="0.35">
      <c r="A728" t="s">
        <v>1204</v>
      </c>
      <c r="B728" t="s">
        <v>2215</v>
      </c>
      <c r="C728" s="7" t="s">
        <v>10</v>
      </c>
      <c r="D728" t="s">
        <v>55</v>
      </c>
      <c r="E728" t="s">
        <v>1826</v>
      </c>
      <c r="F728" t="s">
        <v>1754</v>
      </c>
      <c r="I728">
        <f t="shared" si="66"/>
        <v>0</v>
      </c>
      <c r="J728">
        <f t="shared" si="67"/>
        <v>0</v>
      </c>
      <c r="K728">
        <f t="shared" si="68"/>
        <v>0</v>
      </c>
      <c r="L728">
        <f t="shared" si="69"/>
        <v>1</v>
      </c>
      <c r="M728">
        <f t="shared" si="70"/>
        <v>0</v>
      </c>
      <c r="N728">
        <f t="shared" si="71"/>
        <v>0</v>
      </c>
    </row>
    <row r="729" spans="1:14" x14ac:dyDescent="0.35">
      <c r="A729" t="s">
        <v>436</v>
      </c>
      <c r="B729" t="s">
        <v>2216</v>
      </c>
      <c r="C729" s="7" t="s">
        <v>10</v>
      </c>
      <c r="D729" t="s">
        <v>51</v>
      </c>
      <c r="E729" t="s">
        <v>1945</v>
      </c>
      <c r="F729" t="s">
        <v>1754</v>
      </c>
      <c r="I729">
        <f t="shared" si="66"/>
        <v>0</v>
      </c>
      <c r="J729">
        <f t="shared" si="67"/>
        <v>0</v>
      </c>
      <c r="K729">
        <f t="shared" si="68"/>
        <v>0</v>
      </c>
      <c r="L729">
        <f t="shared" si="69"/>
        <v>1</v>
      </c>
      <c r="M729">
        <f t="shared" si="70"/>
        <v>0</v>
      </c>
      <c r="N729">
        <f t="shared" si="71"/>
        <v>0</v>
      </c>
    </row>
    <row r="730" spans="1:14" x14ac:dyDescent="0.35">
      <c r="A730" t="s">
        <v>436</v>
      </c>
      <c r="B730" t="s">
        <v>2216</v>
      </c>
      <c r="C730" s="7" t="s">
        <v>10</v>
      </c>
      <c r="D730" t="s">
        <v>51</v>
      </c>
      <c r="E730" t="s">
        <v>2217</v>
      </c>
      <c r="F730" t="s">
        <v>1727</v>
      </c>
      <c r="I730">
        <f t="shared" si="66"/>
        <v>0</v>
      </c>
      <c r="J730">
        <f t="shared" si="67"/>
        <v>0</v>
      </c>
      <c r="K730">
        <f t="shared" si="68"/>
        <v>0</v>
      </c>
      <c r="L730">
        <f t="shared" si="69"/>
        <v>0</v>
      </c>
      <c r="M730">
        <f t="shared" si="70"/>
        <v>1</v>
      </c>
      <c r="N730">
        <f t="shared" si="71"/>
        <v>0</v>
      </c>
    </row>
    <row r="731" spans="1:14" x14ac:dyDescent="0.35">
      <c r="A731" t="s">
        <v>536</v>
      </c>
      <c r="B731" t="s">
        <v>2218</v>
      </c>
      <c r="C731" s="7" t="s">
        <v>10</v>
      </c>
      <c r="D731" t="s">
        <v>55</v>
      </c>
      <c r="E731" t="s">
        <v>2106</v>
      </c>
      <c r="F731" t="s">
        <v>1805</v>
      </c>
      <c r="I731">
        <f t="shared" si="66"/>
        <v>0</v>
      </c>
      <c r="J731">
        <f t="shared" si="67"/>
        <v>1</v>
      </c>
      <c r="K731">
        <f t="shared" si="68"/>
        <v>0</v>
      </c>
      <c r="L731">
        <f t="shared" si="69"/>
        <v>0</v>
      </c>
      <c r="M731">
        <f t="shared" si="70"/>
        <v>0</v>
      </c>
      <c r="N731">
        <f t="shared" si="71"/>
        <v>0</v>
      </c>
    </row>
    <row r="732" spans="1:14" x14ac:dyDescent="0.35">
      <c r="A732" t="s">
        <v>1533</v>
      </c>
      <c r="B732" t="s">
        <v>2219</v>
      </c>
      <c r="C732" s="7" t="s">
        <v>10</v>
      </c>
      <c r="D732" t="s">
        <v>51</v>
      </c>
      <c r="E732" t="s">
        <v>1858</v>
      </c>
      <c r="F732" t="s">
        <v>1760</v>
      </c>
      <c r="I732">
        <f t="shared" si="66"/>
        <v>0</v>
      </c>
      <c r="J732">
        <f t="shared" si="67"/>
        <v>0</v>
      </c>
      <c r="K732">
        <f t="shared" si="68"/>
        <v>1</v>
      </c>
      <c r="L732">
        <f t="shared" si="69"/>
        <v>0</v>
      </c>
      <c r="M732">
        <f t="shared" si="70"/>
        <v>0</v>
      </c>
      <c r="N732">
        <f t="shared" si="71"/>
        <v>0</v>
      </c>
    </row>
    <row r="733" spans="1:14" x14ac:dyDescent="0.35">
      <c r="A733" t="s">
        <v>1470</v>
      </c>
      <c r="B733" t="s">
        <v>2220</v>
      </c>
      <c r="C733" s="7" t="s">
        <v>10</v>
      </c>
      <c r="D733" t="s">
        <v>51</v>
      </c>
      <c r="E733" t="s">
        <v>2128</v>
      </c>
      <c r="F733" t="s">
        <v>1754</v>
      </c>
      <c r="I733">
        <f t="shared" si="66"/>
        <v>0</v>
      </c>
      <c r="J733">
        <f t="shared" si="67"/>
        <v>0</v>
      </c>
      <c r="K733">
        <f t="shared" si="68"/>
        <v>0</v>
      </c>
      <c r="L733">
        <f t="shared" si="69"/>
        <v>1</v>
      </c>
      <c r="M733">
        <f t="shared" si="70"/>
        <v>0</v>
      </c>
      <c r="N733">
        <f t="shared" si="71"/>
        <v>0</v>
      </c>
    </row>
    <row r="734" spans="1:14" x14ac:dyDescent="0.35">
      <c r="A734" t="s">
        <v>1470</v>
      </c>
      <c r="B734" t="s">
        <v>2220</v>
      </c>
      <c r="C734" s="7" t="s">
        <v>10</v>
      </c>
      <c r="D734" t="s">
        <v>51</v>
      </c>
      <c r="E734" t="s">
        <v>2127</v>
      </c>
      <c r="F734" t="s">
        <v>1754</v>
      </c>
      <c r="I734">
        <f t="shared" si="66"/>
        <v>0</v>
      </c>
      <c r="J734">
        <f t="shared" si="67"/>
        <v>0</v>
      </c>
      <c r="K734">
        <f t="shared" si="68"/>
        <v>0</v>
      </c>
      <c r="L734">
        <f t="shared" si="69"/>
        <v>1</v>
      </c>
      <c r="M734">
        <f t="shared" si="70"/>
        <v>0</v>
      </c>
      <c r="N734">
        <f t="shared" si="71"/>
        <v>0</v>
      </c>
    </row>
    <row r="735" spans="1:14" x14ac:dyDescent="0.35">
      <c r="A735" t="s">
        <v>1244</v>
      </c>
      <c r="B735" t="s">
        <v>2221</v>
      </c>
      <c r="C735" s="7" t="s">
        <v>10</v>
      </c>
      <c r="D735" t="s">
        <v>51</v>
      </c>
      <c r="E735" t="s">
        <v>1905</v>
      </c>
      <c r="F735" t="s">
        <v>1760</v>
      </c>
      <c r="I735">
        <f t="shared" si="66"/>
        <v>0</v>
      </c>
      <c r="J735">
        <f t="shared" si="67"/>
        <v>0</v>
      </c>
      <c r="K735">
        <f t="shared" si="68"/>
        <v>1</v>
      </c>
      <c r="L735">
        <f t="shared" si="69"/>
        <v>0</v>
      </c>
      <c r="M735">
        <f t="shared" si="70"/>
        <v>0</v>
      </c>
      <c r="N735">
        <f t="shared" si="71"/>
        <v>0</v>
      </c>
    </row>
    <row r="736" spans="1:14" x14ac:dyDescent="0.35">
      <c r="A736" t="s">
        <v>1244</v>
      </c>
      <c r="B736" t="s">
        <v>2221</v>
      </c>
      <c r="C736" s="7" t="s">
        <v>10</v>
      </c>
      <c r="D736" t="s">
        <v>51</v>
      </c>
      <c r="E736" t="s">
        <v>1904</v>
      </c>
      <c r="F736" t="s">
        <v>1760</v>
      </c>
      <c r="I736">
        <f t="shared" si="66"/>
        <v>0</v>
      </c>
      <c r="J736">
        <f t="shared" si="67"/>
        <v>0</v>
      </c>
      <c r="K736">
        <f t="shared" si="68"/>
        <v>1</v>
      </c>
      <c r="L736">
        <f t="shared" si="69"/>
        <v>0</v>
      </c>
      <c r="M736">
        <f t="shared" si="70"/>
        <v>0</v>
      </c>
      <c r="N736">
        <f t="shared" si="71"/>
        <v>0</v>
      </c>
    </row>
    <row r="737" spans="1:14" x14ac:dyDescent="0.35">
      <c r="A737" t="s">
        <v>873</v>
      </c>
      <c r="B737" t="s">
        <v>2222</v>
      </c>
      <c r="C737" s="7" t="s">
        <v>10</v>
      </c>
      <c r="D737" t="s">
        <v>55</v>
      </c>
      <c r="E737" t="s">
        <v>2042</v>
      </c>
      <c r="F737" t="s">
        <v>1754</v>
      </c>
      <c r="I737">
        <f t="shared" si="66"/>
        <v>0</v>
      </c>
      <c r="J737">
        <f t="shared" si="67"/>
        <v>0</v>
      </c>
      <c r="K737">
        <f t="shared" si="68"/>
        <v>0</v>
      </c>
      <c r="L737">
        <f t="shared" si="69"/>
        <v>1</v>
      </c>
      <c r="M737">
        <f t="shared" si="70"/>
        <v>0</v>
      </c>
      <c r="N737">
        <f t="shared" si="71"/>
        <v>0</v>
      </c>
    </row>
    <row r="738" spans="1:14" x14ac:dyDescent="0.35">
      <c r="A738" t="s">
        <v>873</v>
      </c>
      <c r="B738" t="s">
        <v>2222</v>
      </c>
      <c r="C738" s="7" t="s">
        <v>10</v>
      </c>
      <c r="D738" t="s">
        <v>55</v>
      </c>
      <c r="E738" t="s">
        <v>1838</v>
      </c>
      <c r="F738" t="s">
        <v>1760</v>
      </c>
      <c r="I738">
        <f t="shared" si="66"/>
        <v>0</v>
      </c>
      <c r="J738">
        <f t="shared" si="67"/>
        <v>0</v>
      </c>
      <c r="K738">
        <f t="shared" si="68"/>
        <v>1</v>
      </c>
      <c r="L738">
        <f t="shared" si="69"/>
        <v>0</v>
      </c>
      <c r="M738">
        <f t="shared" si="70"/>
        <v>0</v>
      </c>
      <c r="N738">
        <f t="shared" si="71"/>
        <v>0</v>
      </c>
    </row>
    <row r="739" spans="1:14" x14ac:dyDescent="0.35">
      <c r="A739" t="s">
        <v>873</v>
      </c>
      <c r="B739" t="s">
        <v>2222</v>
      </c>
      <c r="C739" s="7" t="s">
        <v>10</v>
      </c>
      <c r="D739" t="s">
        <v>55</v>
      </c>
      <c r="E739" t="s">
        <v>1854</v>
      </c>
      <c r="F739" t="s">
        <v>1754</v>
      </c>
      <c r="I739">
        <f t="shared" si="66"/>
        <v>0</v>
      </c>
      <c r="J739">
        <f t="shared" si="67"/>
        <v>0</v>
      </c>
      <c r="K739">
        <f t="shared" si="68"/>
        <v>0</v>
      </c>
      <c r="L739">
        <f t="shared" si="69"/>
        <v>1</v>
      </c>
      <c r="M739">
        <f t="shared" si="70"/>
        <v>0</v>
      </c>
      <c r="N739">
        <f t="shared" si="71"/>
        <v>0</v>
      </c>
    </row>
    <row r="740" spans="1:14" x14ac:dyDescent="0.35">
      <c r="A740" t="s">
        <v>1064</v>
      </c>
      <c r="B740" t="s">
        <v>2223</v>
      </c>
      <c r="C740" s="7" t="s">
        <v>10</v>
      </c>
      <c r="D740" t="s">
        <v>111</v>
      </c>
      <c r="E740" t="s">
        <v>1807</v>
      </c>
      <c r="F740" t="s">
        <v>1754</v>
      </c>
      <c r="I740">
        <f t="shared" si="66"/>
        <v>0</v>
      </c>
      <c r="J740">
        <f t="shared" si="67"/>
        <v>0</v>
      </c>
      <c r="K740">
        <f t="shared" si="68"/>
        <v>0</v>
      </c>
      <c r="L740">
        <f t="shared" si="69"/>
        <v>1</v>
      </c>
      <c r="M740">
        <f t="shared" si="70"/>
        <v>0</v>
      </c>
      <c r="N740">
        <f t="shared" si="71"/>
        <v>0</v>
      </c>
    </row>
    <row r="741" spans="1:14" x14ac:dyDescent="0.35">
      <c r="A741" t="s">
        <v>1064</v>
      </c>
      <c r="B741" t="s">
        <v>2223</v>
      </c>
      <c r="C741" s="7" t="s">
        <v>10</v>
      </c>
      <c r="D741" t="s">
        <v>111</v>
      </c>
      <c r="E741" t="s">
        <v>1806</v>
      </c>
      <c r="F741" t="s">
        <v>1754</v>
      </c>
      <c r="I741">
        <f t="shared" si="66"/>
        <v>0</v>
      </c>
      <c r="J741">
        <f t="shared" si="67"/>
        <v>0</v>
      </c>
      <c r="K741">
        <f t="shared" si="68"/>
        <v>0</v>
      </c>
      <c r="L741">
        <f t="shared" si="69"/>
        <v>1</v>
      </c>
      <c r="M741">
        <f t="shared" si="70"/>
        <v>0</v>
      </c>
      <c r="N741">
        <f t="shared" si="71"/>
        <v>0</v>
      </c>
    </row>
    <row r="742" spans="1:14" x14ac:dyDescent="0.35">
      <c r="A742" t="s">
        <v>1578</v>
      </c>
      <c r="B742" t="s">
        <v>1756</v>
      </c>
      <c r="C742" s="7" t="s">
        <v>10</v>
      </c>
      <c r="D742" t="s">
        <v>55</v>
      </c>
      <c r="E742" t="s">
        <v>1938</v>
      </c>
      <c r="F742" t="s">
        <v>1760</v>
      </c>
      <c r="I742">
        <f t="shared" si="66"/>
        <v>0</v>
      </c>
      <c r="J742">
        <f t="shared" si="67"/>
        <v>0</v>
      </c>
      <c r="K742">
        <f t="shared" si="68"/>
        <v>1</v>
      </c>
      <c r="L742">
        <f t="shared" si="69"/>
        <v>0</v>
      </c>
      <c r="M742">
        <f t="shared" si="70"/>
        <v>0</v>
      </c>
      <c r="N742">
        <f t="shared" si="71"/>
        <v>0</v>
      </c>
    </row>
    <row r="743" spans="1:14" x14ac:dyDescent="0.35">
      <c r="A743" t="s">
        <v>1578</v>
      </c>
      <c r="B743" t="s">
        <v>1756</v>
      </c>
      <c r="C743" s="7" t="s">
        <v>10</v>
      </c>
      <c r="D743" t="s">
        <v>55</v>
      </c>
      <c r="E743" t="s">
        <v>2224</v>
      </c>
      <c r="F743" t="s">
        <v>1727</v>
      </c>
      <c r="I743">
        <f t="shared" si="66"/>
        <v>0</v>
      </c>
      <c r="J743">
        <f t="shared" si="67"/>
        <v>0</v>
      </c>
      <c r="K743">
        <f t="shared" si="68"/>
        <v>0</v>
      </c>
      <c r="L743">
        <f t="shared" si="69"/>
        <v>0</v>
      </c>
      <c r="M743">
        <f t="shared" si="70"/>
        <v>1</v>
      </c>
      <c r="N743">
        <f t="shared" si="71"/>
        <v>0</v>
      </c>
    </row>
    <row r="744" spans="1:14" x14ac:dyDescent="0.35">
      <c r="A744" t="s">
        <v>1489</v>
      </c>
      <c r="B744" t="s">
        <v>2225</v>
      </c>
      <c r="C744" s="7" t="s">
        <v>10</v>
      </c>
      <c r="D744" t="s">
        <v>249</v>
      </c>
      <c r="E744" t="s">
        <v>1832</v>
      </c>
      <c r="F744" t="s">
        <v>1754</v>
      </c>
      <c r="I744">
        <f t="shared" si="66"/>
        <v>0</v>
      </c>
      <c r="J744">
        <f t="shared" si="67"/>
        <v>0</v>
      </c>
      <c r="K744">
        <f t="shared" si="68"/>
        <v>0</v>
      </c>
      <c r="L744">
        <f t="shared" si="69"/>
        <v>1</v>
      </c>
      <c r="M744">
        <f t="shared" si="70"/>
        <v>0</v>
      </c>
      <c r="N744">
        <f t="shared" si="71"/>
        <v>0</v>
      </c>
    </row>
    <row r="745" spans="1:14" x14ac:dyDescent="0.35">
      <c r="A745" t="s">
        <v>1489</v>
      </c>
      <c r="B745" t="s">
        <v>2225</v>
      </c>
      <c r="C745" s="7" t="s">
        <v>10</v>
      </c>
      <c r="D745" t="s">
        <v>249</v>
      </c>
      <c r="E745" t="s">
        <v>1836</v>
      </c>
      <c r="F745" t="s">
        <v>1754</v>
      </c>
      <c r="I745">
        <f t="shared" si="66"/>
        <v>0</v>
      </c>
      <c r="J745">
        <f t="shared" si="67"/>
        <v>0</v>
      </c>
      <c r="K745">
        <f t="shared" si="68"/>
        <v>0</v>
      </c>
      <c r="L745">
        <f t="shared" si="69"/>
        <v>1</v>
      </c>
      <c r="M745">
        <f t="shared" si="70"/>
        <v>0</v>
      </c>
      <c r="N745">
        <f t="shared" si="71"/>
        <v>0</v>
      </c>
    </row>
    <row r="746" spans="1:14" x14ac:dyDescent="0.35">
      <c r="A746" t="s">
        <v>1489</v>
      </c>
      <c r="B746" t="s">
        <v>2225</v>
      </c>
      <c r="C746" s="7" t="s">
        <v>10</v>
      </c>
      <c r="D746" t="s">
        <v>249</v>
      </c>
      <c r="E746" t="s">
        <v>1994</v>
      </c>
      <c r="F746" t="s">
        <v>1754</v>
      </c>
      <c r="I746">
        <f t="shared" si="66"/>
        <v>0</v>
      </c>
      <c r="J746">
        <f t="shared" si="67"/>
        <v>0</v>
      </c>
      <c r="K746">
        <f t="shared" si="68"/>
        <v>0</v>
      </c>
      <c r="L746">
        <f t="shared" si="69"/>
        <v>1</v>
      </c>
      <c r="M746">
        <f t="shared" si="70"/>
        <v>0</v>
      </c>
      <c r="N746">
        <f t="shared" si="71"/>
        <v>0</v>
      </c>
    </row>
    <row r="747" spans="1:14" x14ac:dyDescent="0.35">
      <c r="A747" t="s">
        <v>1489</v>
      </c>
      <c r="B747" t="s">
        <v>2225</v>
      </c>
      <c r="C747" s="7" t="s">
        <v>10</v>
      </c>
      <c r="D747" t="s">
        <v>249</v>
      </c>
      <c r="E747" t="s">
        <v>2017</v>
      </c>
      <c r="F747" t="s">
        <v>1754</v>
      </c>
      <c r="I747">
        <f t="shared" si="66"/>
        <v>0</v>
      </c>
      <c r="J747">
        <f t="shared" si="67"/>
        <v>0</v>
      </c>
      <c r="K747">
        <f t="shared" si="68"/>
        <v>0</v>
      </c>
      <c r="L747">
        <f t="shared" si="69"/>
        <v>1</v>
      </c>
      <c r="M747">
        <f t="shared" si="70"/>
        <v>0</v>
      </c>
      <c r="N747">
        <f t="shared" si="71"/>
        <v>0</v>
      </c>
    </row>
    <row r="748" spans="1:14" x14ac:dyDescent="0.35">
      <c r="A748" t="s">
        <v>1489</v>
      </c>
      <c r="B748" t="s">
        <v>2225</v>
      </c>
      <c r="C748" s="7" t="s">
        <v>10</v>
      </c>
      <c r="D748" t="s">
        <v>249</v>
      </c>
      <c r="E748" t="s">
        <v>2020</v>
      </c>
      <c r="F748" t="s">
        <v>1754</v>
      </c>
      <c r="I748">
        <f t="shared" si="66"/>
        <v>0</v>
      </c>
      <c r="J748">
        <f t="shared" si="67"/>
        <v>0</v>
      </c>
      <c r="K748">
        <f t="shared" si="68"/>
        <v>0</v>
      </c>
      <c r="L748">
        <f t="shared" si="69"/>
        <v>1</v>
      </c>
      <c r="M748">
        <f t="shared" si="70"/>
        <v>0</v>
      </c>
      <c r="N748">
        <f t="shared" si="71"/>
        <v>0</v>
      </c>
    </row>
    <row r="749" spans="1:14" x14ac:dyDescent="0.35">
      <c r="A749" t="s">
        <v>1645</v>
      </c>
      <c r="B749" t="s">
        <v>2226</v>
      </c>
      <c r="C749" s="7" t="s">
        <v>10</v>
      </c>
      <c r="D749" t="s">
        <v>785</v>
      </c>
      <c r="E749" t="s">
        <v>1822</v>
      </c>
      <c r="F749" t="s">
        <v>1760</v>
      </c>
      <c r="I749">
        <f t="shared" si="66"/>
        <v>0</v>
      </c>
      <c r="J749">
        <f t="shared" si="67"/>
        <v>0</v>
      </c>
      <c r="K749">
        <f t="shared" si="68"/>
        <v>1</v>
      </c>
      <c r="L749">
        <f t="shared" si="69"/>
        <v>0</v>
      </c>
      <c r="M749">
        <f t="shared" si="70"/>
        <v>0</v>
      </c>
      <c r="N749">
        <f t="shared" si="71"/>
        <v>0</v>
      </c>
    </row>
    <row r="750" spans="1:14" x14ac:dyDescent="0.35">
      <c r="A750" t="s">
        <v>1645</v>
      </c>
      <c r="B750" t="s">
        <v>2226</v>
      </c>
      <c r="C750" s="7" t="s">
        <v>10</v>
      </c>
      <c r="D750" t="s">
        <v>785</v>
      </c>
      <c r="E750" t="s">
        <v>1821</v>
      </c>
      <c r="F750" t="s">
        <v>1760</v>
      </c>
      <c r="I750">
        <f t="shared" si="66"/>
        <v>0</v>
      </c>
      <c r="J750">
        <f t="shared" si="67"/>
        <v>0</v>
      </c>
      <c r="K750">
        <f t="shared" si="68"/>
        <v>1</v>
      </c>
      <c r="L750">
        <f t="shared" si="69"/>
        <v>0</v>
      </c>
      <c r="M750">
        <f t="shared" si="70"/>
        <v>0</v>
      </c>
      <c r="N750">
        <f t="shared" si="71"/>
        <v>0</v>
      </c>
    </row>
    <row r="751" spans="1:14" x14ac:dyDescent="0.35">
      <c r="A751" t="s">
        <v>199</v>
      </c>
      <c r="B751" t="s">
        <v>2227</v>
      </c>
      <c r="C751" s="7" t="s">
        <v>10</v>
      </c>
      <c r="D751" t="s">
        <v>55</v>
      </c>
      <c r="E751" t="s">
        <v>1821</v>
      </c>
      <c r="F751" t="s">
        <v>1760</v>
      </c>
      <c r="I751">
        <f t="shared" si="66"/>
        <v>0</v>
      </c>
      <c r="J751">
        <f t="shared" si="67"/>
        <v>0</v>
      </c>
      <c r="K751">
        <f t="shared" si="68"/>
        <v>1</v>
      </c>
      <c r="L751">
        <f t="shared" si="69"/>
        <v>0</v>
      </c>
      <c r="M751">
        <f t="shared" si="70"/>
        <v>0</v>
      </c>
      <c r="N751">
        <f t="shared" si="71"/>
        <v>0</v>
      </c>
    </row>
    <row r="752" spans="1:14" x14ac:dyDescent="0.35">
      <c r="A752" t="s">
        <v>1657</v>
      </c>
      <c r="B752" t="s">
        <v>2228</v>
      </c>
      <c r="C752" s="7" t="s">
        <v>10</v>
      </c>
      <c r="D752" t="s">
        <v>473</v>
      </c>
      <c r="E752" t="s">
        <v>1849</v>
      </c>
      <c r="F752" t="s">
        <v>1754</v>
      </c>
      <c r="G752" t="s">
        <v>1977</v>
      </c>
      <c r="H752" t="s">
        <v>1978</v>
      </c>
      <c r="I752">
        <f t="shared" si="66"/>
        <v>0</v>
      </c>
      <c r="J752">
        <f t="shared" si="67"/>
        <v>0</v>
      </c>
      <c r="K752">
        <f t="shared" si="68"/>
        <v>0</v>
      </c>
      <c r="L752">
        <f t="shared" si="69"/>
        <v>1</v>
      </c>
      <c r="M752">
        <f t="shared" si="70"/>
        <v>0</v>
      </c>
      <c r="N752">
        <f t="shared" si="71"/>
        <v>1</v>
      </c>
    </row>
    <row r="753" spans="1:14" x14ac:dyDescent="0.35">
      <c r="A753" t="s">
        <v>1657</v>
      </c>
      <c r="B753" t="s">
        <v>2228</v>
      </c>
      <c r="C753" s="7" t="s">
        <v>10</v>
      </c>
      <c r="D753" t="s">
        <v>473</v>
      </c>
      <c r="E753" t="s">
        <v>1877</v>
      </c>
      <c r="F753" t="s">
        <v>1754</v>
      </c>
      <c r="G753" t="s">
        <v>1977</v>
      </c>
      <c r="H753" t="s">
        <v>1978</v>
      </c>
      <c r="I753">
        <f t="shared" si="66"/>
        <v>0</v>
      </c>
      <c r="J753">
        <f t="shared" si="67"/>
        <v>0</v>
      </c>
      <c r="K753">
        <f t="shared" si="68"/>
        <v>0</v>
      </c>
      <c r="L753">
        <f t="shared" si="69"/>
        <v>1</v>
      </c>
      <c r="M753">
        <f t="shared" si="70"/>
        <v>0</v>
      </c>
      <c r="N753">
        <f t="shared" si="71"/>
        <v>1</v>
      </c>
    </row>
    <row r="754" spans="1:14" x14ac:dyDescent="0.35">
      <c r="A754" t="s">
        <v>893</v>
      </c>
      <c r="B754" t="s">
        <v>2229</v>
      </c>
      <c r="C754" s="7" t="s">
        <v>10</v>
      </c>
      <c r="D754" t="s">
        <v>342</v>
      </c>
      <c r="E754" t="s">
        <v>1858</v>
      </c>
      <c r="F754" t="s">
        <v>1760</v>
      </c>
      <c r="I754">
        <f t="shared" si="66"/>
        <v>0</v>
      </c>
      <c r="J754">
        <f t="shared" si="67"/>
        <v>0</v>
      </c>
      <c r="K754">
        <f t="shared" si="68"/>
        <v>1</v>
      </c>
      <c r="L754">
        <f t="shared" si="69"/>
        <v>0</v>
      </c>
      <c r="M754">
        <f t="shared" si="70"/>
        <v>0</v>
      </c>
      <c r="N754">
        <f t="shared" si="71"/>
        <v>0</v>
      </c>
    </row>
    <row r="755" spans="1:14" x14ac:dyDescent="0.35">
      <c r="A755" t="s">
        <v>893</v>
      </c>
      <c r="B755" t="s">
        <v>2229</v>
      </c>
      <c r="C755" s="7" t="s">
        <v>10</v>
      </c>
      <c r="D755" t="s">
        <v>342</v>
      </c>
      <c r="E755" t="s">
        <v>1904</v>
      </c>
      <c r="F755" t="s">
        <v>1760</v>
      </c>
      <c r="I755">
        <f t="shared" si="66"/>
        <v>0</v>
      </c>
      <c r="J755">
        <f t="shared" si="67"/>
        <v>0</v>
      </c>
      <c r="K755">
        <f t="shared" si="68"/>
        <v>1</v>
      </c>
      <c r="L755">
        <f t="shared" si="69"/>
        <v>0</v>
      </c>
      <c r="M755">
        <f t="shared" si="70"/>
        <v>0</v>
      </c>
      <c r="N755">
        <f t="shared" si="71"/>
        <v>0</v>
      </c>
    </row>
    <row r="756" spans="1:14" x14ac:dyDescent="0.35">
      <c r="A756" t="s">
        <v>893</v>
      </c>
      <c r="B756" t="s">
        <v>2229</v>
      </c>
      <c r="C756" s="7" t="s">
        <v>10</v>
      </c>
      <c r="D756" t="s">
        <v>342</v>
      </c>
      <c r="E756" t="s">
        <v>1905</v>
      </c>
      <c r="F756" t="s">
        <v>1760</v>
      </c>
      <c r="I756">
        <f t="shared" si="66"/>
        <v>0</v>
      </c>
      <c r="J756">
        <f t="shared" si="67"/>
        <v>0</v>
      </c>
      <c r="K756">
        <f t="shared" si="68"/>
        <v>1</v>
      </c>
      <c r="L756">
        <f t="shared" si="69"/>
        <v>0</v>
      </c>
      <c r="M756">
        <f t="shared" si="70"/>
        <v>0</v>
      </c>
      <c r="N756">
        <f t="shared" si="71"/>
        <v>0</v>
      </c>
    </row>
    <row r="757" spans="1:14" x14ac:dyDescent="0.35">
      <c r="A757" t="s">
        <v>474</v>
      </c>
      <c r="B757" t="s">
        <v>1758</v>
      </c>
      <c r="C757" s="7" t="s">
        <v>10</v>
      </c>
      <c r="D757" t="s">
        <v>55</v>
      </c>
      <c r="E757" t="s">
        <v>1938</v>
      </c>
      <c r="F757" t="s">
        <v>1760</v>
      </c>
      <c r="I757">
        <f t="shared" si="66"/>
        <v>0</v>
      </c>
      <c r="J757">
        <f t="shared" si="67"/>
        <v>0</v>
      </c>
      <c r="K757">
        <f t="shared" si="68"/>
        <v>1</v>
      </c>
      <c r="L757">
        <f t="shared" si="69"/>
        <v>0</v>
      </c>
      <c r="M757">
        <f t="shared" si="70"/>
        <v>0</v>
      </c>
      <c r="N757">
        <f t="shared" si="71"/>
        <v>0</v>
      </c>
    </row>
    <row r="758" spans="1:14" x14ac:dyDescent="0.35">
      <c r="A758" t="s">
        <v>201</v>
      </c>
      <c r="B758" t="s">
        <v>2230</v>
      </c>
      <c r="C758" s="7" t="s">
        <v>10</v>
      </c>
      <c r="D758" t="s">
        <v>202</v>
      </c>
      <c r="E758" t="s">
        <v>1996</v>
      </c>
      <c r="F758" t="s">
        <v>1886</v>
      </c>
      <c r="G758" t="s">
        <v>2231</v>
      </c>
      <c r="H758" t="s">
        <v>2232</v>
      </c>
      <c r="I758">
        <f t="shared" si="66"/>
        <v>0</v>
      </c>
      <c r="J758">
        <f t="shared" si="67"/>
        <v>0</v>
      </c>
      <c r="K758">
        <f t="shared" si="68"/>
        <v>0</v>
      </c>
      <c r="L758">
        <f t="shared" si="69"/>
        <v>0</v>
      </c>
      <c r="M758">
        <f t="shared" si="70"/>
        <v>0</v>
      </c>
      <c r="N758">
        <f t="shared" si="71"/>
        <v>1</v>
      </c>
    </row>
    <row r="759" spans="1:14" x14ac:dyDescent="0.35">
      <c r="A759" t="s">
        <v>201</v>
      </c>
      <c r="B759" t="s">
        <v>2230</v>
      </c>
      <c r="C759" s="7" t="s">
        <v>10</v>
      </c>
      <c r="D759" t="s">
        <v>202</v>
      </c>
      <c r="E759" t="s">
        <v>1999</v>
      </c>
      <c r="F759" t="s">
        <v>1886</v>
      </c>
      <c r="G759" t="s">
        <v>2231</v>
      </c>
      <c r="H759" t="s">
        <v>2232</v>
      </c>
      <c r="I759">
        <f t="shared" si="66"/>
        <v>0</v>
      </c>
      <c r="J759">
        <f t="shared" si="67"/>
        <v>0</v>
      </c>
      <c r="K759">
        <f t="shared" si="68"/>
        <v>0</v>
      </c>
      <c r="L759">
        <f t="shared" si="69"/>
        <v>0</v>
      </c>
      <c r="M759">
        <f t="shared" si="70"/>
        <v>0</v>
      </c>
      <c r="N759">
        <f t="shared" si="71"/>
        <v>1</v>
      </c>
    </row>
    <row r="760" spans="1:14" x14ac:dyDescent="0.35">
      <c r="A760" t="s">
        <v>201</v>
      </c>
      <c r="B760" t="s">
        <v>2230</v>
      </c>
      <c r="C760" s="7" t="s">
        <v>10</v>
      </c>
      <c r="D760" t="s">
        <v>202</v>
      </c>
      <c r="E760" t="s">
        <v>1998</v>
      </c>
      <c r="F760" t="s">
        <v>1886</v>
      </c>
      <c r="G760" t="s">
        <v>2231</v>
      </c>
      <c r="H760" t="s">
        <v>2232</v>
      </c>
      <c r="I760">
        <f t="shared" si="66"/>
        <v>0</v>
      </c>
      <c r="J760">
        <f t="shared" si="67"/>
        <v>0</v>
      </c>
      <c r="K760">
        <f t="shared" si="68"/>
        <v>0</v>
      </c>
      <c r="L760">
        <f t="shared" si="69"/>
        <v>0</v>
      </c>
      <c r="M760">
        <f t="shared" si="70"/>
        <v>0</v>
      </c>
      <c r="N760">
        <f t="shared" si="71"/>
        <v>1</v>
      </c>
    </row>
    <row r="761" spans="1:14" x14ac:dyDescent="0.35">
      <c r="A761" t="s">
        <v>201</v>
      </c>
      <c r="B761" t="s">
        <v>2230</v>
      </c>
      <c r="C761" s="7" t="s">
        <v>10</v>
      </c>
      <c r="D761" t="s">
        <v>202</v>
      </c>
      <c r="E761" t="s">
        <v>1997</v>
      </c>
      <c r="F761" t="s">
        <v>1886</v>
      </c>
      <c r="G761" t="s">
        <v>2231</v>
      </c>
      <c r="H761" t="s">
        <v>2232</v>
      </c>
      <c r="I761">
        <f t="shared" si="66"/>
        <v>0</v>
      </c>
      <c r="J761">
        <f t="shared" si="67"/>
        <v>0</v>
      </c>
      <c r="K761">
        <f t="shared" si="68"/>
        <v>0</v>
      </c>
      <c r="L761">
        <f t="shared" si="69"/>
        <v>0</v>
      </c>
      <c r="M761">
        <f t="shared" si="70"/>
        <v>0</v>
      </c>
      <c r="N761">
        <f t="shared" si="71"/>
        <v>1</v>
      </c>
    </row>
    <row r="762" spans="1:14" x14ac:dyDescent="0.35">
      <c r="A762" t="s">
        <v>201</v>
      </c>
      <c r="B762" t="s">
        <v>2230</v>
      </c>
      <c r="C762" s="7" t="s">
        <v>10</v>
      </c>
      <c r="D762" t="s">
        <v>202</v>
      </c>
      <c r="E762" t="s">
        <v>1885</v>
      </c>
      <c r="F762" t="s">
        <v>1886</v>
      </c>
      <c r="G762" t="s">
        <v>2231</v>
      </c>
      <c r="H762" t="s">
        <v>2232</v>
      </c>
      <c r="I762">
        <f t="shared" si="66"/>
        <v>0</v>
      </c>
      <c r="J762">
        <f t="shared" si="67"/>
        <v>0</v>
      </c>
      <c r="K762">
        <f t="shared" si="68"/>
        <v>0</v>
      </c>
      <c r="L762">
        <f t="shared" si="69"/>
        <v>0</v>
      </c>
      <c r="M762">
        <f t="shared" si="70"/>
        <v>0</v>
      </c>
      <c r="N762">
        <f t="shared" si="71"/>
        <v>1</v>
      </c>
    </row>
    <row r="763" spans="1:14" x14ac:dyDescent="0.35">
      <c r="A763" t="s">
        <v>201</v>
      </c>
      <c r="B763" t="s">
        <v>2230</v>
      </c>
      <c r="C763" s="7" t="s">
        <v>10</v>
      </c>
      <c r="D763" t="s">
        <v>202</v>
      </c>
      <c r="E763" t="s">
        <v>2000</v>
      </c>
      <c r="F763" t="s">
        <v>1886</v>
      </c>
      <c r="G763" t="s">
        <v>2231</v>
      </c>
      <c r="H763" t="s">
        <v>2232</v>
      </c>
      <c r="I763">
        <f t="shared" si="66"/>
        <v>0</v>
      </c>
      <c r="J763">
        <f t="shared" si="67"/>
        <v>0</v>
      </c>
      <c r="K763">
        <f t="shared" si="68"/>
        <v>0</v>
      </c>
      <c r="L763">
        <f t="shared" si="69"/>
        <v>0</v>
      </c>
      <c r="M763">
        <f t="shared" si="70"/>
        <v>0</v>
      </c>
      <c r="N763">
        <f t="shared" si="71"/>
        <v>1</v>
      </c>
    </row>
    <row r="764" spans="1:14" x14ac:dyDescent="0.35">
      <c r="A764" t="s">
        <v>201</v>
      </c>
      <c r="B764" t="s">
        <v>2230</v>
      </c>
      <c r="C764" s="7" t="s">
        <v>10</v>
      </c>
      <c r="D764" t="s">
        <v>202</v>
      </c>
      <c r="E764" t="s">
        <v>2233</v>
      </c>
      <c r="F764" t="s">
        <v>1886</v>
      </c>
      <c r="G764" t="s">
        <v>2231</v>
      </c>
      <c r="H764" t="s">
        <v>2232</v>
      </c>
      <c r="I764">
        <f t="shared" si="66"/>
        <v>0</v>
      </c>
      <c r="J764">
        <f t="shared" si="67"/>
        <v>0</v>
      </c>
      <c r="K764">
        <f t="shared" si="68"/>
        <v>0</v>
      </c>
      <c r="L764">
        <f t="shared" si="69"/>
        <v>0</v>
      </c>
      <c r="M764">
        <f t="shared" si="70"/>
        <v>0</v>
      </c>
      <c r="N764">
        <f t="shared" si="71"/>
        <v>1</v>
      </c>
    </row>
    <row r="765" spans="1:14" x14ac:dyDescent="0.35">
      <c r="A765" t="s">
        <v>201</v>
      </c>
      <c r="B765" t="s">
        <v>2230</v>
      </c>
      <c r="C765" s="7" t="s">
        <v>10</v>
      </c>
      <c r="D765" t="s">
        <v>202</v>
      </c>
      <c r="E765" t="s">
        <v>2234</v>
      </c>
      <c r="F765" t="s">
        <v>1886</v>
      </c>
      <c r="G765" t="s">
        <v>2231</v>
      </c>
      <c r="H765" t="s">
        <v>2232</v>
      </c>
      <c r="I765">
        <f t="shared" si="66"/>
        <v>0</v>
      </c>
      <c r="J765">
        <f t="shared" si="67"/>
        <v>0</v>
      </c>
      <c r="K765">
        <f t="shared" si="68"/>
        <v>0</v>
      </c>
      <c r="L765">
        <f t="shared" si="69"/>
        <v>0</v>
      </c>
      <c r="M765">
        <f t="shared" si="70"/>
        <v>0</v>
      </c>
      <c r="N765">
        <f t="shared" si="71"/>
        <v>1</v>
      </c>
    </row>
    <row r="766" spans="1:14" x14ac:dyDescent="0.35">
      <c r="A766" t="s">
        <v>201</v>
      </c>
      <c r="B766" t="s">
        <v>2230</v>
      </c>
      <c r="C766" s="7" t="s">
        <v>10</v>
      </c>
      <c r="D766" t="s">
        <v>202</v>
      </c>
      <c r="E766" t="s">
        <v>2235</v>
      </c>
      <c r="F766" t="s">
        <v>1886</v>
      </c>
      <c r="G766" t="s">
        <v>2231</v>
      </c>
      <c r="H766" t="s">
        <v>2232</v>
      </c>
      <c r="I766">
        <f t="shared" si="66"/>
        <v>0</v>
      </c>
      <c r="J766">
        <f t="shared" si="67"/>
        <v>0</v>
      </c>
      <c r="K766">
        <f t="shared" si="68"/>
        <v>0</v>
      </c>
      <c r="L766">
        <f t="shared" si="69"/>
        <v>0</v>
      </c>
      <c r="M766">
        <f t="shared" si="70"/>
        <v>0</v>
      </c>
      <c r="N766">
        <f t="shared" si="71"/>
        <v>1</v>
      </c>
    </row>
    <row r="767" spans="1:14" x14ac:dyDescent="0.35">
      <c r="A767" t="s">
        <v>1337</v>
      </c>
      <c r="B767" t="s">
        <v>2236</v>
      </c>
      <c r="C767" s="7" t="s">
        <v>10</v>
      </c>
      <c r="D767" t="s">
        <v>276</v>
      </c>
      <c r="E767" t="s">
        <v>1849</v>
      </c>
      <c r="F767" t="s">
        <v>1754</v>
      </c>
      <c r="I767">
        <f t="shared" si="66"/>
        <v>0</v>
      </c>
      <c r="J767">
        <f t="shared" si="67"/>
        <v>0</v>
      </c>
      <c r="K767">
        <f t="shared" si="68"/>
        <v>0</v>
      </c>
      <c r="L767">
        <f t="shared" si="69"/>
        <v>1</v>
      </c>
      <c r="M767">
        <f t="shared" si="70"/>
        <v>0</v>
      </c>
      <c r="N767">
        <f t="shared" si="71"/>
        <v>0</v>
      </c>
    </row>
    <row r="768" spans="1:14" x14ac:dyDescent="0.35">
      <c r="A768" t="s">
        <v>363</v>
      </c>
      <c r="B768" t="s">
        <v>2237</v>
      </c>
      <c r="C768" s="7" t="s">
        <v>10</v>
      </c>
      <c r="D768" t="s">
        <v>180</v>
      </c>
      <c r="E768" t="s">
        <v>2238</v>
      </c>
      <c r="F768" t="s">
        <v>1754</v>
      </c>
      <c r="I768">
        <f t="shared" si="66"/>
        <v>0</v>
      </c>
      <c r="J768">
        <f t="shared" si="67"/>
        <v>0</v>
      </c>
      <c r="K768">
        <f t="shared" si="68"/>
        <v>0</v>
      </c>
      <c r="L768">
        <f t="shared" si="69"/>
        <v>1</v>
      </c>
      <c r="M768">
        <f t="shared" si="70"/>
        <v>0</v>
      </c>
      <c r="N768">
        <f t="shared" si="71"/>
        <v>0</v>
      </c>
    </row>
    <row r="769" spans="1:14" x14ac:dyDescent="0.35">
      <c r="A769" t="s">
        <v>1316</v>
      </c>
      <c r="B769" t="s">
        <v>2239</v>
      </c>
      <c r="C769" s="7" t="s">
        <v>10</v>
      </c>
      <c r="D769" t="s">
        <v>276</v>
      </c>
      <c r="E769" t="s">
        <v>1811</v>
      </c>
      <c r="F769" t="s">
        <v>1754</v>
      </c>
      <c r="G769" t="s">
        <v>2240</v>
      </c>
      <c r="H769" t="s">
        <v>2241</v>
      </c>
      <c r="I769">
        <f t="shared" si="66"/>
        <v>0</v>
      </c>
      <c r="J769">
        <f t="shared" si="67"/>
        <v>0</v>
      </c>
      <c r="K769">
        <f t="shared" si="68"/>
        <v>0</v>
      </c>
      <c r="L769">
        <f t="shared" si="69"/>
        <v>1</v>
      </c>
      <c r="M769">
        <f t="shared" si="70"/>
        <v>0</v>
      </c>
      <c r="N769">
        <f t="shared" si="71"/>
        <v>1</v>
      </c>
    </row>
    <row r="770" spans="1:14" x14ac:dyDescent="0.35">
      <c r="A770" t="s">
        <v>901</v>
      </c>
      <c r="B770" t="s">
        <v>2242</v>
      </c>
      <c r="C770" s="7" t="s">
        <v>10</v>
      </c>
      <c r="D770" t="s">
        <v>152</v>
      </c>
      <c r="E770" t="s">
        <v>1945</v>
      </c>
      <c r="F770" t="s">
        <v>1754</v>
      </c>
      <c r="I770">
        <f t="shared" si="66"/>
        <v>0</v>
      </c>
      <c r="J770">
        <f t="shared" si="67"/>
        <v>0</v>
      </c>
      <c r="K770">
        <f t="shared" si="68"/>
        <v>0</v>
      </c>
      <c r="L770">
        <f t="shared" si="69"/>
        <v>1</v>
      </c>
      <c r="M770">
        <f t="shared" si="70"/>
        <v>0</v>
      </c>
      <c r="N770">
        <f t="shared" si="71"/>
        <v>0</v>
      </c>
    </row>
    <row r="771" spans="1:14" x14ac:dyDescent="0.35">
      <c r="A771" t="s">
        <v>901</v>
      </c>
      <c r="B771" t="s">
        <v>2242</v>
      </c>
      <c r="C771" s="7" t="s">
        <v>10</v>
      </c>
      <c r="D771" t="s">
        <v>152</v>
      </c>
      <c r="E771" t="s">
        <v>2182</v>
      </c>
      <c r="F771" t="s">
        <v>1754</v>
      </c>
      <c r="I771">
        <f t="shared" ref="I771:I834" si="72">IF($F771=$F$1,1,0)</f>
        <v>0</v>
      </c>
      <c r="J771">
        <f t="shared" ref="J771:J834" si="73">IF($F771=$J$1,1,0)</f>
        <v>0</v>
      </c>
      <c r="K771">
        <f t="shared" ref="K771:K834" si="74">IF($F771=$K$1,1,0)</f>
        <v>0</v>
      </c>
      <c r="L771">
        <f t="shared" ref="L771:L834" si="75">IF($F771=$L$1,1,0)</f>
        <v>1</v>
      </c>
      <c r="M771">
        <f t="shared" ref="M771:M834" si="76">IF($F771=$M$1,1,0)</f>
        <v>0</v>
      </c>
      <c r="N771">
        <f t="shared" ref="N771:N834" si="77">IF($G771&lt;&gt;"",1,0)</f>
        <v>0</v>
      </c>
    </row>
    <row r="772" spans="1:14" x14ac:dyDescent="0.35">
      <c r="A772" t="s">
        <v>259</v>
      </c>
      <c r="B772" t="s">
        <v>2243</v>
      </c>
      <c r="C772" s="7" t="s">
        <v>10</v>
      </c>
      <c r="D772" t="s">
        <v>55</v>
      </c>
      <c r="E772" t="s">
        <v>1840</v>
      </c>
      <c r="F772" t="s">
        <v>1760</v>
      </c>
      <c r="I772">
        <f t="shared" si="72"/>
        <v>0</v>
      </c>
      <c r="J772">
        <f t="shared" si="73"/>
        <v>0</v>
      </c>
      <c r="K772">
        <f t="shared" si="74"/>
        <v>1</v>
      </c>
      <c r="L772">
        <f t="shared" si="75"/>
        <v>0</v>
      </c>
      <c r="M772">
        <f t="shared" si="76"/>
        <v>0</v>
      </c>
      <c r="N772">
        <f t="shared" si="77"/>
        <v>0</v>
      </c>
    </row>
    <row r="773" spans="1:14" x14ac:dyDescent="0.35">
      <c r="A773" t="s">
        <v>259</v>
      </c>
      <c r="B773" t="s">
        <v>2243</v>
      </c>
      <c r="C773" s="7" t="s">
        <v>10</v>
      </c>
      <c r="D773" t="s">
        <v>55</v>
      </c>
      <c r="E773" t="s">
        <v>1894</v>
      </c>
      <c r="F773" t="s">
        <v>1754</v>
      </c>
      <c r="I773">
        <f t="shared" si="72"/>
        <v>0</v>
      </c>
      <c r="J773">
        <f t="shared" si="73"/>
        <v>0</v>
      </c>
      <c r="K773">
        <f t="shared" si="74"/>
        <v>0</v>
      </c>
      <c r="L773">
        <f t="shared" si="75"/>
        <v>1</v>
      </c>
      <c r="M773">
        <f t="shared" si="76"/>
        <v>0</v>
      </c>
      <c r="N773">
        <f t="shared" si="77"/>
        <v>0</v>
      </c>
    </row>
    <row r="774" spans="1:14" x14ac:dyDescent="0.35">
      <c r="A774" t="s">
        <v>259</v>
      </c>
      <c r="B774" t="s">
        <v>2243</v>
      </c>
      <c r="C774" s="7" t="s">
        <v>10</v>
      </c>
      <c r="D774" t="s">
        <v>55</v>
      </c>
      <c r="E774" t="s">
        <v>1896</v>
      </c>
      <c r="F774" t="s">
        <v>1754</v>
      </c>
      <c r="I774">
        <f t="shared" si="72"/>
        <v>0</v>
      </c>
      <c r="J774">
        <f t="shared" si="73"/>
        <v>0</v>
      </c>
      <c r="K774">
        <f t="shared" si="74"/>
        <v>0</v>
      </c>
      <c r="L774">
        <f t="shared" si="75"/>
        <v>1</v>
      </c>
      <c r="M774">
        <f t="shared" si="76"/>
        <v>0</v>
      </c>
      <c r="N774">
        <f t="shared" si="77"/>
        <v>0</v>
      </c>
    </row>
    <row r="775" spans="1:14" x14ac:dyDescent="0.35">
      <c r="A775" t="s">
        <v>259</v>
      </c>
      <c r="B775" t="s">
        <v>2243</v>
      </c>
      <c r="C775" s="7" t="s">
        <v>10</v>
      </c>
      <c r="D775" t="s">
        <v>55</v>
      </c>
      <c r="E775" t="s">
        <v>1814</v>
      </c>
      <c r="F775" t="s">
        <v>1760</v>
      </c>
      <c r="I775">
        <f t="shared" si="72"/>
        <v>0</v>
      </c>
      <c r="J775">
        <f t="shared" si="73"/>
        <v>0</v>
      </c>
      <c r="K775">
        <f t="shared" si="74"/>
        <v>1</v>
      </c>
      <c r="L775">
        <f t="shared" si="75"/>
        <v>0</v>
      </c>
      <c r="M775">
        <f t="shared" si="76"/>
        <v>0</v>
      </c>
      <c r="N775">
        <f t="shared" si="77"/>
        <v>0</v>
      </c>
    </row>
    <row r="776" spans="1:14" x14ac:dyDescent="0.35">
      <c r="A776" t="s">
        <v>259</v>
      </c>
      <c r="B776" t="s">
        <v>2243</v>
      </c>
      <c r="C776" s="7" t="s">
        <v>10</v>
      </c>
      <c r="D776" t="s">
        <v>55</v>
      </c>
      <c r="E776" t="s">
        <v>1818</v>
      </c>
      <c r="F776" t="s">
        <v>1760</v>
      </c>
      <c r="I776">
        <f t="shared" si="72"/>
        <v>0</v>
      </c>
      <c r="J776">
        <f t="shared" si="73"/>
        <v>0</v>
      </c>
      <c r="K776">
        <f t="shared" si="74"/>
        <v>1</v>
      </c>
      <c r="L776">
        <f t="shared" si="75"/>
        <v>0</v>
      </c>
      <c r="M776">
        <f t="shared" si="76"/>
        <v>0</v>
      </c>
      <c r="N776">
        <f t="shared" si="77"/>
        <v>0</v>
      </c>
    </row>
    <row r="777" spans="1:14" x14ac:dyDescent="0.35">
      <c r="A777" t="s">
        <v>259</v>
      </c>
      <c r="B777" t="s">
        <v>2243</v>
      </c>
      <c r="C777" s="7" t="s">
        <v>10</v>
      </c>
      <c r="D777" t="s">
        <v>55</v>
      </c>
      <c r="E777" t="s">
        <v>1819</v>
      </c>
      <c r="F777" t="s">
        <v>1760</v>
      </c>
      <c r="I777">
        <f t="shared" si="72"/>
        <v>0</v>
      </c>
      <c r="J777">
        <f t="shared" si="73"/>
        <v>0</v>
      </c>
      <c r="K777">
        <f t="shared" si="74"/>
        <v>1</v>
      </c>
      <c r="L777">
        <f t="shared" si="75"/>
        <v>0</v>
      </c>
      <c r="M777">
        <f t="shared" si="76"/>
        <v>0</v>
      </c>
      <c r="N777">
        <f t="shared" si="77"/>
        <v>0</v>
      </c>
    </row>
    <row r="778" spans="1:14" x14ac:dyDescent="0.35">
      <c r="A778" t="s">
        <v>259</v>
      </c>
      <c r="B778" t="s">
        <v>2243</v>
      </c>
      <c r="C778" s="7" t="s">
        <v>10</v>
      </c>
      <c r="D778" t="s">
        <v>55</v>
      </c>
      <c r="E778" t="s">
        <v>1968</v>
      </c>
      <c r="F778" t="s">
        <v>1760</v>
      </c>
      <c r="I778">
        <f t="shared" si="72"/>
        <v>0</v>
      </c>
      <c r="J778">
        <f t="shared" si="73"/>
        <v>0</v>
      </c>
      <c r="K778">
        <f t="shared" si="74"/>
        <v>1</v>
      </c>
      <c r="L778">
        <f t="shared" si="75"/>
        <v>0</v>
      </c>
      <c r="M778">
        <f t="shared" si="76"/>
        <v>0</v>
      </c>
      <c r="N778">
        <f t="shared" si="77"/>
        <v>0</v>
      </c>
    </row>
    <row r="779" spans="1:14" x14ac:dyDescent="0.35">
      <c r="A779" t="s">
        <v>259</v>
      </c>
      <c r="B779" t="s">
        <v>2243</v>
      </c>
      <c r="C779" s="7" t="s">
        <v>10</v>
      </c>
      <c r="D779" t="s">
        <v>55</v>
      </c>
      <c r="E779" t="s">
        <v>1813</v>
      </c>
      <c r="F779" t="s">
        <v>1760</v>
      </c>
      <c r="I779">
        <f t="shared" si="72"/>
        <v>0</v>
      </c>
      <c r="J779">
        <f t="shared" si="73"/>
        <v>0</v>
      </c>
      <c r="K779">
        <f t="shared" si="74"/>
        <v>1</v>
      </c>
      <c r="L779">
        <f t="shared" si="75"/>
        <v>0</v>
      </c>
      <c r="M779">
        <f t="shared" si="76"/>
        <v>0</v>
      </c>
      <c r="N779">
        <f t="shared" si="77"/>
        <v>0</v>
      </c>
    </row>
    <row r="780" spans="1:14" x14ac:dyDescent="0.35">
      <c r="A780" t="s">
        <v>259</v>
      </c>
      <c r="B780" t="s">
        <v>2243</v>
      </c>
      <c r="C780" s="7" t="s">
        <v>10</v>
      </c>
      <c r="D780" t="s">
        <v>55</v>
      </c>
      <c r="E780" t="s">
        <v>1816</v>
      </c>
      <c r="F780" t="s">
        <v>1760</v>
      </c>
      <c r="I780">
        <f t="shared" si="72"/>
        <v>0</v>
      </c>
      <c r="J780">
        <f t="shared" si="73"/>
        <v>0</v>
      </c>
      <c r="K780">
        <f t="shared" si="74"/>
        <v>1</v>
      </c>
      <c r="L780">
        <f t="shared" si="75"/>
        <v>0</v>
      </c>
      <c r="M780">
        <f t="shared" si="76"/>
        <v>0</v>
      </c>
      <c r="N780">
        <f t="shared" si="77"/>
        <v>0</v>
      </c>
    </row>
    <row r="781" spans="1:14" x14ac:dyDescent="0.35">
      <c r="A781" t="s">
        <v>1513</v>
      </c>
      <c r="B781" t="s">
        <v>2244</v>
      </c>
      <c r="C781" s="7" t="s">
        <v>10</v>
      </c>
      <c r="D781" t="s">
        <v>55</v>
      </c>
      <c r="E781" t="s">
        <v>1955</v>
      </c>
      <c r="F781" t="s">
        <v>1760</v>
      </c>
      <c r="I781">
        <f t="shared" si="72"/>
        <v>0</v>
      </c>
      <c r="J781">
        <f t="shared" si="73"/>
        <v>0</v>
      </c>
      <c r="K781">
        <f t="shared" si="74"/>
        <v>1</v>
      </c>
      <c r="L781">
        <f t="shared" si="75"/>
        <v>0</v>
      </c>
      <c r="M781">
        <f t="shared" si="76"/>
        <v>0</v>
      </c>
      <c r="N781">
        <f t="shared" si="77"/>
        <v>0</v>
      </c>
    </row>
    <row r="782" spans="1:14" x14ac:dyDescent="0.35">
      <c r="A782" t="s">
        <v>1586</v>
      </c>
      <c r="B782" t="s">
        <v>2245</v>
      </c>
      <c r="C782" s="7" t="s">
        <v>10</v>
      </c>
      <c r="D782" t="s">
        <v>92</v>
      </c>
      <c r="E782" t="s">
        <v>1945</v>
      </c>
      <c r="F782" t="s">
        <v>1754</v>
      </c>
      <c r="I782">
        <f t="shared" si="72"/>
        <v>0</v>
      </c>
      <c r="J782">
        <f t="shared" si="73"/>
        <v>0</v>
      </c>
      <c r="K782">
        <f t="shared" si="74"/>
        <v>0</v>
      </c>
      <c r="L782">
        <f t="shared" si="75"/>
        <v>1</v>
      </c>
      <c r="M782">
        <f t="shared" si="76"/>
        <v>0</v>
      </c>
      <c r="N782">
        <f t="shared" si="77"/>
        <v>0</v>
      </c>
    </row>
    <row r="783" spans="1:14" x14ac:dyDescent="0.35">
      <c r="A783" t="s">
        <v>1586</v>
      </c>
      <c r="B783" t="s">
        <v>2245</v>
      </c>
      <c r="C783" s="7" t="s">
        <v>10</v>
      </c>
      <c r="D783" t="s">
        <v>92</v>
      </c>
      <c r="E783" t="s">
        <v>2095</v>
      </c>
      <c r="F783" t="s">
        <v>1754</v>
      </c>
      <c r="I783">
        <f t="shared" si="72"/>
        <v>0</v>
      </c>
      <c r="J783">
        <f t="shared" si="73"/>
        <v>0</v>
      </c>
      <c r="K783">
        <f t="shared" si="74"/>
        <v>0</v>
      </c>
      <c r="L783">
        <f t="shared" si="75"/>
        <v>1</v>
      </c>
      <c r="M783">
        <f t="shared" si="76"/>
        <v>0</v>
      </c>
      <c r="N783">
        <f t="shared" si="77"/>
        <v>0</v>
      </c>
    </row>
    <row r="784" spans="1:14" x14ac:dyDescent="0.35">
      <c r="A784" t="s">
        <v>1581</v>
      </c>
      <c r="B784" t="s">
        <v>2246</v>
      </c>
      <c r="C784" s="7" t="s">
        <v>10</v>
      </c>
      <c r="D784" t="s">
        <v>1203</v>
      </c>
      <c r="E784" t="s">
        <v>2044</v>
      </c>
      <c r="F784" t="s">
        <v>1727</v>
      </c>
      <c r="I784">
        <f t="shared" si="72"/>
        <v>0</v>
      </c>
      <c r="J784">
        <f t="shared" si="73"/>
        <v>0</v>
      </c>
      <c r="K784">
        <f t="shared" si="74"/>
        <v>0</v>
      </c>
      <c r="L784">
        <f t="shared" si="75"/>
        <v>0</v>
      </c>
      <c r="M784">
        <f t="shared" si="76"/>
        <v>1</v>
      </c>
      <c r="N784">
        <f t="shared" si="77"/>
        <v>0</v>
      </c>
    </row>
    <row r="785" spans="1:14" x14ac:dyDescent="0.35">
      <c r="A785" t="s">
        <v>1581</v>
      </c>
      <c r="B785" t="s">
        <v>2246</v>
      </c>
      <c r="C785" s="7" t="s">
        <v>10</v>
      </c>
      <c r="D785" t="s">
        <v>1203</v>
      </c>
      <c r="E785" t="s">
        <v>1809</v>
      </c>
      <c r="F785" t="s">
        <v>1754</v>
      </c>
      <c r="I785">
        <f t="shared" si="72"/>
        <v>0</v>
      </c>
      <c r="J785">
        <f t="shared" si="73"/>
        <v>0</v>
      </c>
      <c r="K785">
        <f t="shared" si="74"/>
        <v>0</v>
      </c>
      <c r="L785">
        <f t="shared" si="75"/>
        <v>1</v>
      </c>
      <c r="M785">
        <f t="shared" si="76"/>
        <v>0</v>
      </c>
      <c r="N785">
        <f t="shared" si="77"/>
        <v>0</v>
      </c>
    </row>
    <row r="786" spans="1:14" x14ac:dyDescent="0.35">
      <c r="A786" t="s">
        <v>1604</v>
      </c>
      <c r="B786" t="s">
        <v>2247</v>
      </c>
      <c r="C786" s="7" t="s">
        <v>10</v>
      </c>
      <c r="D786" t="s">
        <v>1606</v>
      </c>
      <c r="E786" t="s">
        <v>1996</v>
      </c>
      <c r="F786" t="s">
        <v>1886</v>
      </c>
      <c r="I786">
        <f t="shared" si="72"/>
        <v>0</v>
      </c>
      <c r="J786">
        <f t="shared" si="73"/>
        <v>0</v>
      </c>
      <c r="K786">
        <f t="shared" si="74"/>
        <v>0</v>
      </c>
      <c r="L786">
        <f t="shared" si="75"/>
        <v>0</v>
      </c>
      <c r="M786">
        <f t="shared" si="76"/>
        <v>0</v>
      </c>
      <c r="N786">
        <f t="shared" si="77"/>
        <v>0</v>
      </c>
    </row>
    <row r="787" spans="1:14" x14ac:dyDescent="0.35">
      <c r="A787" t="s">
        <v>1604</v>
      </c>
      <c r="B787" t="s">
        <v>2247</v>
      </c>
      <c r="C787" s="7" t="s">
        <v>10</v>
      </c>
      <c r="D787" t="s">
        <v>1606</v>
      </c>
      <c r="E787" t="s">
        <v>1959</v>
      </c>
      <c r="F787" t="s">
        <v>1760</v>
      </c>
      <c r="I787">
        <f t="shared" si="72"/>
        <v>0</v>
      </c>
      <c r="J787">
        <f t="shared" si="73"/>
        <v>0</v>
      </c>
      <c r="K787">
        <f t="shared" si="74"/>
        <v>1</v>
      </c>
      <c r="L787">
        <f t="shared" si="75"/>
        <v>0</v>
      </c>
      <c r="M787">
        <f t="shared" si="76"/>
        <v>0</v>
      </c>
      <c r="N787">
        <f t="shared" si="77"/>
        <v>0</v>
      </c>
    </row>
    <row r="788" spans="1:14" x14ac:dyDescent="0.35">
      <c r="A788" t="s">
        <v>1604</v>
      </c>
      <c r="B788" t="s">
        <v>2247</v>
      </c>
      <c r="C788" s="7" t="s">
        <v>10</v>
      </c>
      <c r="D788" t="s">
        <v>1606</v>
      </c>
      <c r="E788" t="s">
        <v>2000</v>
      </c>
      <c r="F788" t="s">
        <v>1886</v>
      </c>
      <c r="I788">
        <f t="shared" si="72"/>
        <v>0</v>
      </c>
      <c r="J788">
        <f t="shared" si="73"/>
        <v>0</v>
      </c>
      <c r="K788">
        <f t="shared" si="74"/>
        <v>0</v>
      </c>
      <c r="L788">
        <f t="shared" si="75"/>
        <v>0</v>
      </c>
      <c r="M788">
        <f t="shared" si="76"/>
        <v>0</v>
      </c>
      <c r="N788">
        <f t="shared" si="77"/>
        <v>0</v>
      </c>
    </row>
    <row r="789" spans="1:14" x14ac:dyDescent="0.35">
      <c r="A789" t="s">
        <v>1604</v>
      </c>
      <c r="B789" t="s">
        <v>2247</v>
      </c>
      <c r="C789" s="7" t="s">
        <v>10</v>
      </c>
      <c r="D789" t="s">
        <v>1606</v>
      </c>
      <c r="E789" t="s">
        <v>1999</v>
      </c>
      <c r="F789" t="s">
        <v>1886</v>
      </c>
      <c r="I789">
        <f t="shared" si="72"/>
        <v>0</v>
      </c>
      <c r="J789">
        <f t="shared" si="73"/>
        <v>0</v>
      </c>
      <c r="K789">
        <f t="shared" si="74"/>
        <v>0</v>
      </c>
      <c r="L789">
        <f t="shared" si="75"/>
        <v>0</v>
      </c>
      <c r="M789">
        <f t="shared" si="76"/>
        <v>0</v>
      </c>
      <c r="N789">
        <f t="shared" si="77"/>
        <v>0</v>
      </c>
    </row>
    <row r="790" spans="1:14" x14ac:dyDescent="0.35">
      <c r="A790" t="s">
        <v>1604</v>
      </c>
      <c r="B790" t="s">
        <v>2247</v>
      </c>
      <c r="C790" s="7" t="s">
        <v>10</v>
      </c>
      <c r="D790" t="s">
        <v>1606</v>
      </c>
      <c r="E790" t="s">
        <v>1997</v>
      </c>
      <c r="F790" t="s">
        <v>1886</v>
      </c>
      <c r="I790">
        <f t="shared" si="72"/>
        <v>0</v>
      </c>
      <c r="J790">
        <f t="shared" si="73"/>
        <v>0</v>
      </c>
      <c r="K790">
        <f t="shared" si="74"/>
        <v>0</v>
      </c>
      <c r="L790">
        <f t="shared" si="75"/>
        <v>0</v>
      </c>
      <c r="M790">
        <f t="shared" si="76"/>
        <v>0</v>
      </c>
      <c r="N790">
        <f t="shared" si="77"/>
        <v>0</v>
      </c>
    </row>
    <row r="791" spans="1:14" x14ac:dyDescent="0.35">
      <c r="A791" t="s">
        <v>1604</v>
      </c>
      <c r="B791" t="s">
        <v>2247</v>
      </c>
      <c r="C791" s="7" t="s">
        <v>10</v>
      </c>
      <c r="D791" t="s">
        <v>1606</v>
      </c>
      <c r="E791" t="s">
        <v>2034</v>
      </c>
      <c r="F791" t="s">
        <v>1886</v>
      </c>
      <c r="I791">
        <f t="shared" si="72"/>
        <v>0</v>
      </c>
      <c r="J791">
        <f t="shared" si="73"/>
        <v>0</v>
      </c>
      <c r="K791">
        <f t="shared" si="74"/>
        <v>0</v>
      </c>
      <c r="L791">
        <f t="shared" si="75"/>
        <v>0</v>
      </c>
      <c r="M791">
        <f t="shared" si="76"/>
        <v>0</v>
      </c>
      <c r="N791">
        <f t="shared" si="77"/>
        <v>0</v>
      </c>
    </row>
    <row r="792" spans="1:14" x14ac:dyDescent="0.35">
      <c r="A792" t="s">
        <v>1604</v>
      </c>
      <c r="B792" t="s">
        <v>2247</v>
      </c>
      <c r="C792" s="7" t="s">
        <v>10</v>
      </c>
      <c r="D792" t="s">
        <v>1606</v>
      </c>
      <c r="E792" t="s">
        <v>2102</v>
      </c>
      <c r="F792" t="s">
        <v>1805</v>
      </c>
      <c r="I792">
        <f t="shared" si="72"/>
        <v>0</v>
      </c>
      <c r="J792">
        <f t="shared" si="73"/>
        <v>1</v>
      </c>
      <c r="K792">
        <f t="shared" si="74"/>
        <v>0</v>
      </c>
      <c r="L792">
        <f t="shared" si="75"/>
        <v>0</v>
      </c>
      <c r="M792">
        <f t="shared" si="76"/>
        <v>0</v>
      </c>
      <c r="N792">
        <f t="shared" si="77"/>
        <v>0</v>
      </c>
    </row>
    <row r="793" spans="1:14" x14ac:dyDescent="0.35">
      <c r="A793" t="s">
        <v>1604</v>
      </c>
      <c r="B793" t="s">
        <v>2247</v>
      </c>
      <c r="C793" s="7" t="s">
        <v>10</v>
      </c>
      <c r="D793" t="s">
        <v>1606</v>
      </c>
      <c r="E793" t="s">
        <v>2248</v>
      </c>
      <c r="F793" t="s">
        <v>1805</v>
      </c>
      <c r="I793">
        <f t="shared" si="72"/>
        <v>0</v>
      </c>
      <c r="J793">
        <f t="shared" si="73"/>
        <v>1</v>
      </c>
      <c r="K793">
        <f t="shared" si="74"/>
        <v>0</v>
      </c>
      <c r="L793">
        <f t="shared" si="75"/>
        <v>0</v>
      </c>
      <c r="M793">
        <f t="shared" si="76"/>
        <v>0</v>
      </c>
      <c r="N793">
        <f t="shared" si="77"/>
        <v>0</v>
      </c>
    </row>
    <row r="794" spans="1:14" x14ac:dyDescent="0.35">
      <c r="A794" t="s">
        <v>1604</v>
      </c>
      <c r="B794" t="s">
        <v>2247</v>
      </c>
      <c r="C794" s="7" t="s">
        <v>10</v>
      </c>
      <c r="D794" t="s">
        <v>1606</v>
      </c>
      <c r="E794" t="s">
        <v>1955</v>
      </c>
      <c r="F794" t="s">
        <v>1760</v>
      </c>
      <c r="I794">
        <f t="shared" si="72"/>
        <v>0</v>
      </c>
      <c r="J794">
        <f t="shared" si="73"/>
        <v>0</v>
      </c>
      <c r="K794">
        <f t="shared" si="74"/>
        <v>1</v>
      </c>
      <c r="L794">
        <f t="shared" si="75"/>
        <v>0</v>
      </c>
      <c r="M794">
        <f t="shared" si="76"/>
        <v>0</v>
      </c>
      <c r="N794">
        <f t="shared" si="77"/>
        <v>0</v>
      </c>
    </row>
    <row r="795" spans="1:14" x14ac:dyDescent="0.35">
      <c r="A795" t="s">
        <v>1604</v>
      </c>
      <c r="B795" t="s">
        <v>2247</v>
      </c>
      <c r="C795" s="7" t="s">
        <v>10</v>
      </c>
      <c r="D795" t="s">
        <v>1606</v>
      </c>
      <c r="E795" t="s">
        <v>1957</v>
      </c>
      <c r="F795" t="s">
        <v>1760</v>
      </c>
      <c r="I795">
        <f t="shared" si="72"/>
        <v>0</v>
      </c>
      <c r="J795">
        <f t="shared" si="73"/>
        <v>0</v>
      </c>
      <c r="K795">
        <f t="shared" si="74"/>
        <v>1</v>
      </c>
      <c r="L795">
        <f t="shared" si="75"/>
        <v>0</v>
      </c>
      <c r="M795">
        <f t="shared" si="76"/>
        <v>0</v>
      </c>
      <c r="N795">
        <f t="shared" si="77"/>
        <v>0</v>
      </c>
    </row>
    <row r="796" spans="1:14" x14ac:dyDescent="0.35">
      <c r="A796" t="s">
        <v>1604</v>
      </c>
      <c r="B796" t="s">
        <v>2247</v>
      </c>
      <c r="C796" s="7" t="s">
        <v>10</v>
      </c>
      <c r="D796" t="s">
        <v>1606</v>
      </c>
      <c r="E796" t="s">
        <v>2249</v>
      </c>
      <c r="F796" t="s">
        <v>1805</v>
      </c>
      <c r="I796">
        <f t="shared" si="72"/>
        <v>0</v>
      </c>
      <c r="J796">
        <f t="shared" si="73"/>
        <v>1</v>
      </c>
      <c r="K796">
        <f t="shared" si="74"/>
        <v>0</v>
      </c>
      <c r="L796">
        <f t="shared" si="75"/>
        <v>0</v>
      </c>
      <c r="M796">
        <f t="shared" si="76"/>
        <v>0</v>
      </c>
      <c r="N796">
        <f t="shared" si="77"/>
        <v>0</v>
      </c>
    </row>
    <row r="797" spans="1:14" x14ac:dyDescent="0.35">
      <c r="A797" t="s">
        <v>1604</v>
      </c>
      <c r="B797" t="s">
        <v>2247</v>
      </c>
      <c r="C797" s="7" t="s">
        <v>10</v>
      </c>
      <c r="D797" t="s">
        <v>1606</v>
      </c>
      <c r="E797" t="s">
        <v>1956</v>
      </c>
      <c r="F797" t="s">
        <v>1760</v>
      </c>
      <c r="I797">
        <f t="shared" si="72"/>
        <v>0</v>
      </c>
      <c r="J797">
        <f t="shared" si="73"/>
        <v>0</v>
      </c>
      <c r="K797">
        <f t="shared" si="74"/>
        <v>1</v>
      </c>
      <c r="L797">
        <f t="shared" si="75"/>
        <v>0</v>
      </c>
      <c r="M797">
        <f t="shared" si="76"/>
        <v>0</v>
      </c>
      <c r="N797">
        <f t="shared" si="77"/>
        <v>0</v>
      </c>
    </row>
    <row r="798" spans="1:14" x14ac:dyDescent="0.35">
      <c r="A798" t="s">
        <v>1604</v>
      </c>
      <c r="B798" t="s">
        <v>2247</v>
      </c>
      <c r="C798" s="7" t="s">
        <v>10</v>
      </c>
      <c r="D798" t="s">
        <v>1606</v>
      </c>
      <c r="E798" t="s">
        <v>1856</v>
      </c>
      <c r="F798" t="s">
        <v>1760</v>
      </c>
      <c r="I798">
        <f t="shared" si="72"/>
        <v>0</v>
      </c>
      <c r="J798">
        <f t="shared" si="73"/>
        <v>0</v>
      </c>
      <c r="K798">
        <f t="shared" si="74"/>
        <v>1</v>
      </c>
      <c r="L798">
        <f t="shared" si="75"/>
        <v>0</v>
      </c>
      <c r="M798">
        <f t="shared" si="76"/>
        <v>0</v>
      </c>
      <c r="N798">
        <f t="shared" si="77"/>
        <v>0</v>
      </c>
    </row>
    <row r="799" spans="1:14" x14ac:dyDescent="0.35">
      <c r="A799" t="s">
        <v>1604</v>
      </c>
      <c r="B799" t="s">
        <v>2247</v>
      </c>
      <c r="C799" s="7" t="s">
        <v>10</v>
      </c>
      <c r="D799" t="s">
        <v>1606</v>
      </c>
      <c r="E799" t="s">
        <v>1958</v>
      </c>
      <c r="F799" t="s">
        <v>1760</v>
      </c>
      <c r="I799">
        <f t="shared" si="72"/>
        <v>0</v>
      </c>
      <c r="J799">
        <f t="shared" si="73"/>
        <v>0</v>
      </c>
      <c r="K799">
        <f t="shared" si="74"/>
        <v>1</v>
      </c>
      <c r="L799">
        <f t="shared" si="75"/>
        <v>0</v>
      </c>
      <c r="M799">
        <f t="shared" si="76"/>
        <v>0</v>
      </c>
      <c r="N799">
        <f t="shared" si="77"/>
        <v>0</v>
      </c>
    </row>
    <row r="800" spans="1:14" x14ac:dyDescent="0.35">
      <c r="A800" t="s">
        <v>1604</v>
      </c>
      <c r="B800" t="s">
        <v>2247</v>
      </c>
      <c r="C800" s="7" t="s">
        <v>10</v>
      </c>
      <c r="D800" t="s">
        <v>1606</v>
      </c>
      <c r="E800" t="s">
        <v>2250</v>
      </c>
      <c r="F800" t="s">
        <v>1886</v>
      </c>
      <c r="I800">
        <f t="shared" si="72"/>
        <v>0</v>
      </c>
      <c r="J800">
        <f t="shared" si="73"/>
        <v>0</v>
      </c>
      <c r="K800">
        <f t="shared" si="74"/>
        <v>0</v>
      </c>
      <c r="L800">
        <f t="shared" si="75"/>
        <v>0</v>
      </c>
      <c r="M800">
        <f t="shared" si="76"/>
        <v>0</v>
      </c>
      <c r="N800">
        <f t="shared" si="77"/>
        <v>0</v>
      </c>
    </row>
    <row r="801" spans="1:14" x14ac:dyDescent="0.35">
      <c r="A801" t="s">
        <v>1604</v>
      </c>
      <c r="B801" t="s">
        <v>2247</v>
      </c>
      <c r="C801" s="7" t="s">
        <v>10</v>
      </c>
      <c r="D801" t="s">
        <v>1606</v>
      </c>
      <c r="E801" t="s">
        <v>2174</v>
      </c>
      <c r="F801" t="s">
        <v>1805</v>
      </c>
      <c r="I801">
        <f t="shared" si="72"/>
        <v>0</v>
      </c>
      <c r="J801">
        <f t="shared" si="73"/>
        <v>1</v>
      </c>
      <c r="K801">
        <f t="shared" si="74"/>
        <v>0</v>
      </c>
      <c r="L801">
        <f t="shared" si="75"/>
        <v>0</v>
      </c>
      <c r="M801">
        <f t="shared" si="76"/>
        <v>0</v>
      </c>
      <c r="N801">
        <f t="shared" si="77"/>
        <v>0</v>
      </c>
    </row>
    <row r="802" spans="1:14" x14ac:dyDescent="0.35">
      <c r="A802" t="s">
        <v>1604</v>
      </c>
      <c r="B802" t="s">
        <v>2247</v>
      </c>
      <c r="C802" s="7" t="s">
        <v>10</v>
      </c>
      <c r="D802" t="s">
        <v>1606</v>
      </c>
      <c r="E802" t="s">
        <v>1988</v>
      </c>
      <c r="F802" t="s">
        <v>1805</v>
      </c>
      <c r="I802">
        <f t="shared" si="72"/>
        <v>0</v>
      </c>
      <c r="J802">
        <f t="shared" si="73"/>
        <v>1</v>
      </c>
      <c r="K802">
        <f t="shared" si="74"/>
        <v>0</v>
      </c>
      <c r="L802">
        <f t="shared" si="75"/>
        <v>0</v>
      </c>
      <c r="M802">
        <f t="shared" si="76"/>
        <v>0</v>
      </c>
      <c r="N802">
        <f t="shared" si="77"/>
        <v>0</v>
      </c>
    </row>
    <row r="803" spans="1:14" x14ac:dyDescent="0.35">
      <c r="A803" t="s">
        <v>1604</v>
      </c>
      <c r="B803" t="s">
        <v>2247</v>
      </c>
      <c r="C803" s="7" t="s">
        <v>10</v>
      </c>
      <c r="D803" t="s">
        <v>1606</v>
      </c>
      <c r="E803" t="s">
        <v>1854</v>
      </c>
      <c r="F803" t="s">
        <v>1754</v>
      </c>
      <c r="I803">
        <f t="shared" si="72"/>
        <v>0</v>
      </c>
      <c r="J803">
        <f t="shared" si="73"/>
        <v>0</v>
      </c>
      <c r="K803">
        <f t="shared" si="74"/>
        <v>0</v>
      </c>
      <c r="L803">
        <f t="shared" si="75"/>
        <v>1</v>
      </c>
      <c r="M803">
        <f t="shared" si="76"/>
        <v>0</v>
      </c>
      <c r="N803">
        <f t="shared" si="77"/>
        <v>0</v>
      </c>
    </row>
    <row r="804" spans="1:14" x14ac:dyDescent="0.35">
      <c r="A804" t="s">
        <v>1604</v>
      </c>
      <c r="B804" t="s">
        <v>2247</v>
      </c>
      <c r="C804" s="7" t="s">
        <v>10</v>
      </c>
      <c r="D804" t="s">
        <v>1606</v>
      </c>
      <c r="E804" t="s">
        <v>1998</v>
      </c>
      <c r="F804" t="s">
        <v>1886</v>
      </c>
      <c r="I804">
        <f t="shared" si="72"/>
        <v>0</v>
      </c>
      <c r="J804">
        <f t="shared" si="73"/>
        <v>0</v>
      </c>
      <c r="K804">
        <f t="shared" si="74"/>
        <v>0</v>
      </c>
      <c r="L804">
        <f t="shared" si="75"/>
        <v>0</v>
      </c>
      <c r="M804">
        <f t="shared" si="76"/>
        <v>0</v>
      </c>
      <c r="N804">
        <f t="shared" si="77"/>
        <v>0</v>
      </c>
    </row>
    <row r="805" spans="1:14" x14ac:dyDescent="0.35">
      <c r="A805" t="s">
        <v>1604</v>
      </c>
      <c r="B805" t="s">
        <v>2247</v>
      </c>
      <c r="C805" s="7" t="s">
        <v>10</v>
      </c>
      <c r="D805" t="s">
        <v>1606</v>
      </c>
      <c r="E805" t="s">
        <v>2042</v>
      </c>
      <c r="F805" t="s">
        <v>1754</v>
      </c>
      <c r="I805">
        <f t="shared" si="72"/>
        <v>0</v>
      </c>
      <c r="J805">
        <f t="shared" si="73"/>
        <v>0</v>
      </c>
      <c r="K805">
        <f t="shared" si="74"/>
        <v>0</v>
      </c>
      <c r="L805">
        <f t="shared" si="75"/>
        <v>1</v>
      </c>
      <c r="M805">
        <f t="shared" si="76"/>
        <v>0</v>
      </c>
      <c r="N805">
        <f t="shared" si="77"/>
        <v>0</v>
      </c>
    </row>
    <row r="806" spans="1:14" x14ac:dyDescent="0.35">
      <c r="A806" t="s">
        <v>1604</v>
      </c>
      <c r="B806" t="s">
        <v>2247</v>
      </c>
      <c r="C806" s="7" t="s">
        <v>10</v>
      </c>
      <c r="D806" t="s">
        <v>1606</v>
      </c>
      <c r="E806" t="s">
        <v>2166</v>
      </c>
      <c r="F806" t="s">
        <v>1805</v>
      </c>
      <c r="I806">
        <f t="shared" si="72"/>
        <v>0</v>
      </c>
      <c r="J806">
        <f t="shared" si="73"/>
        <v>1</v>
      </c>
      <c r="K806">
        <f t="shared" si="74"/>
        <v>0</v>
      </c>
      <c r="L806">
        <f t="shared" si="75"/>
        <v>0</v>
      </c>
      <c r="M806">
        <f t="shared" si="76"/>
        <v>0</v>
      </c>
      <c r="N806">
        <f t="shared" si="77"/>
        <v>0</v>
      </c>
    </row>
    <row r="807" spans="1:14" x14ac:dyDescent="0.35">
      <c r="A807" t="s">
        <v>1579</v>
      </c>
      <c r="B807" t="s">
        <v>2251</v>
      </c>
      <c r="C807" s="7" t="s">
        <v>10</v>
      </c>
      <c r="D807" t="s">
        <v>554</v>
      </c>
      <c r="E807" t="s">
        <v>1806</v>
      </c>
      <c r="F807" t="s">
        <v>1754</v>
      </c>
      <c r="I807">
        <f t="shared" si="72"/>
        <v>0</v>
      </c>
      <c r="J807">
        <f t="shared" si="73"/>
        <v>0</v>
      </c>
      <c r="K807">
        <f t="shared" si="74"/>
        <v>0</v>
      </c>
      <c r="L807">
        <f t="shared" si="75"/>
        <v>1</v>
      </c>
      <c r="M807">
        <f t="shared" si="76"/>
        <v>0</v>
      </c>
      <c r="N807">
        <f t="shared" si="77"/>
        <v>0</v>
      </c>
    </row>
    <row r="808" spans="1:14" x14ac:dyDescent="0.35">
      <c r="A808" t="s">
        <v>1579</v>
      </c>
      <c r="B808" t="s">
        <v>2251</v>
      </c>
      <c r="C808" s="7" t="s">
        <v>10</v>
      </c>
      <c r="D808" t="s">
        <v>554</v>
      </c>
      <c r="E808" t="s">
        <v>1807</v>
      </c>
      <c r="F808" t="s">
        <v>1754</v>
      </c>
      <c r="I808">
        <f t="shared" si="72"/>
        <v>0</v>
      </c>
      <c r="J808">
        <f t="shared" si="73"/>
        <v>0</v>
      </c>
      <c r="K808">
        <f t="shared" si="74"/>
        <v>0</v>
      </c>
      <c r="L808">
        <f t="shared" si="75"/>
        <v>1</v>
      </c>
      <c r="M808">
        <f t="shared" si="76"/>
        <v>0</v>
      </c>
      <c r="N808">
        <f t="shared" si="77"/>
        <v>0</v>
      </c>
    </row>
    <row r="809" spans="1:14" x14ac:dyDescent="0.35">
      <c r="A809" t="s">
        <v>1579</v>
      </c>
      <c r="B809" t="s">
        <v>2251</v>
      </c>
      <c r="C809" s="7" t="s">
        <v>10</v>
      </c>
      <c r="D809" t="s">
        <v>554</v>
      </c>
      <c r="E809" t="s">
        <v>2044</v>
      </c>
      <c r="F809" t="s">
        <v>1727</v>
      </c>
      <c r="I809">
        <f t="shared" si="72"/>
        <v>0</v>
      </c>
      <c r="J809">
        <f t="shared" si="73"/>
        <v>0</v>
      </c>
      <c r="K809">
        <f t="shared" si="74"/>
        <v>0</v>
      </c>
      <c r="L809">
        <f t="shared" si="75"/>
        <v>0</v>
      </c>
      <c r="M809">
        <f t="shared" si="76"/>
        <v>1</v>
      </c>
      <c r="N809">
        <f t="shared" si="77"/>
        <v>0</v>
      </c>
    </row>
    <row r="810" spans="1:14" x14ac:dyDescent="0.35">
      <c r="A810" t="s">
        <v>520</v>
      </c>
      <c r="B810" t="s">
        <v>2252</v>
      </c>
      <c r="C810" s="7" t="s">
        <v>10</v>
      </c>
      <c r="D810" t="s">
        <v>111</v>
      </c>
      <c r="E810" t="s">
        <v>1968</v>
      </c>
      <c r="F810" t="s">
        <v>1760</v>
      </c>
      <c r="G810" t="s">
        <v>2253</v>
      </c>
      <c r="H810" t="s">
        <v>2254</v>
      </c>
      <c r="I810">
        <f t="shared" si="72"/>
        <v>0</v>
      </c>
      <c r="J810">
        <f t="shared" si="73"/>
        <v>0</v>
      </c>
      <c r="K810">
        <f t="shared" si="74"/>
        <v>1</v>
      </c>
      <c r="L810">
        <f t="shared" si="75"/>
        <v>0</v>
      </c>
      <c r="M810">
        <f t="shared" si="76"/>
        <v>0</v>
      </c>
      <c r="N810">
        <f t="shared" si="77"/>
        <v>1</v>
      </c>
    </row>
    <row r="811" spans="1:14" x14ac:dyDescent="0.35">
      <c r="A811" t="s">
        <v>520</v>
      </c>
      <c r="B811" t="s">
        <v>2252</v>
      </c>
      <c r="C811" s="7" t="s">
        <v>10</v>
      </c>
      <c r="D811" t="s">
        <v>111</v>
      </c>
      <c r="E811" t="s">
        <v>1963</v>
      </c>
      <c r="F811" t="s">
        <v>1760</v>
      </c>
      <c r="G811" t="s">
        <v>2253</v>
      </c>
      <c r="H811" t="s">
        <v>2254</v>
      </c>
      <c r="I811">
        <f t="shared" si="72"/>
        <v>0</v>
      </c>
      <c r="J811">
        <f t="shared" si="73"/>
        <v>0</v>
      </c>
      <c r="K811">
        <f t="shared" si="74"/>
        <v>1</v>
      </c>
      <c r="L811">
        <f t="shared" si="75"/>
        <v>0</v>
      </c>
      <c r="M811">
        <f t="shared" si="76"/>
        <v>0</v>
      </c>
      <c r="N811">
        <f t="shared" si="77"/>
        <v>1</v>
      </c>
    </row>
    <row r="812" spans="1:14" x14ac:dyDescent="0.35">
      <c r="A812" t="s">
        <v>962</v>
      </c>
      <c r="B812" t="s">
        <v>2255</v>
      </c>
      <c r="C812" s="7" t="s">
        <v>10</v>
      </c>
      <c r="D812" t="s">
        <v>964</v>
      </c>
      <c r="E812" t="s">
        <v>1840</v>
      </c>
      <c r="F812" t="s">
        <v>1760</v>
      </c>
      <c r="I812">
        <f t="shared" si="72"/>
        <v>0</v>
      </c>
      <c r="J812">
        <f t="shared" si="73"/>
        <v>0</v>
      </c>
      <c r="K812">
        <f t="shared" si="74"/>
        <v>1</v>
      </c>
      <c r="L812">
        <f t="shared" si="75"/>
        <v>0</v>
      </c>
      <c r="M812">
        <f t="shared" si="76"/>
        <v>0</v>
      </c>
      <c r="N812">
        <f t="shared" si="77"/>
        <v>0</v>
      </c>
    </row>
    <row r="813" spans="1:14" x14ac:dyDescent="0.35">
      <c r="A813" t="s">
        <v>650</v>
      </c>
      <c r="B813" t="s">
        <v>2256</v>
      </c>
      <c r="C813" s="7" t="s">
        <v>10</v>
      </c>
      <c r="D813" t="s">
        <v>92</v>
      </c>
      <c r="E813" t="s">
        <v>2217</v>
      </c>
      <c r="F813" t="s">
        <v>1727</v>
      </c>
      <c r="I813">
        <f t="shared" si="72"/>
        <v>0</v>
      </c>
      <c r="J813">
        <f t="shared" si="73"/>
        <v>0</v>
      </c>
      <c r="K813">
        <f t="shared" si="74"/>
        <v>0</v>
      </c>
      <c r="L813">
        <f t="shared" si="75"/>
        <v>0</v>
      </c>
      <c r="M813">
        <f t="shared" si="76"/>
        <v>1</v>
      </c>
      <c r="N813">
        <f t="shared" si="77"/>
        <v>0</v>
      </c>
    </row>
    <row r="814" spans="1:14" x14ac:dyDescent="0.35">
      <c r="A814" t="s">
        <v>150</v>
      </c>
      <c r="B814" t="s">
        <v>1761</v>
      </c>
      <c r="C814" s="7" t="s">
        <v>10</v>
      </c>
      <c r="D814" t="s">
        <v>152</v>
      </c>
      <c r="E814" t="s">
        <v>1911</v>
      </c>
      <c r="F814" t="s">
        <v>1754</v>
      </c>
      <c r="I814">
        <f t="shared" si="72"/>
        <v>0</v>
      </c>
      <c r="J814">
        <f t="shared" si="73"/>
        <v>0</v>
      </c>
      <c r="K814">
        <f t="shared" si="74"/>
        <v>0</v>
      </c>
      <c r="L814">
        <f t="shared" si="75"/>
        <v>1</v>
      </c>
      <c r="M814">
        <f t="shared" si="76"/>
        <v>0</v>
      </c>
      <c r="N814">
        <f t="shared" si="77"/>
        <v>0</v>
      </c>
    </row>
    <row r="815" spans="1:14" x14ac:dyDescent="0.35">
      <c r="A815" t="s">
        <v>150</v>
      </c>
      <c r="B815" t="s">
        <v>1761</v>
      </c>
      <c r="C815" s="7" t="s">
        <v>10</v>
      </c>
      <c r="D815" t="s">
        <v>152</v>
      </c>
      <c r="E815" t="s">
        <v>1946</v>
      </c>
      <c r="F815" t="s">
        <v>1754</v>
      </c>
      <c r="I815">
        <f t="shared" si="72"/>
        <v>0</v>
      </c>
      <c r="J815">
        <f t="shared" si="73"/>
        <v>0</v>
      </c>
      <c r="K815">
        <f t="shared" si="74"/>
        <v>0</v>
      </c>
      <c r="L815">
        <f t="shared" si="75"/>
        <v>1</v>
      </c>
      <c r="M815">
        <f t="shared" si="76"/>
        <v>0</v>
      </c>
      <c r="N815">
        <f t="shared" si="77"/>
        <v>0</v>
      </c>
    </row>
    <row r="816" spans="1:14" x14ac:dyDescent="0.35">
      <c r="A816" t="s">
        <v>150</v>
      </c>
      <c r="B816" t="s">
        <v>1761</v>
      </c>
      <c r="C816" s="7" t="s">
        <v>10</v>
      </c>
      <c r="D816" t="s">
        <v>152</v>
      </c>
      <c r="E816" t="s">
        <v>1910</v>
      </c>
      <c r="F816" t="s">
        <v>1754</v>
      </c>
      <c r="I816">
        <f t="shared" si="72"/>
        <v>0</v>
      </c>
      <c r="J816">
        <f t="shared" si="73"/>
        <v>0</v>
      </c>
      <c r="K816">
        <f t="shared" si="74"/>
        <v>0</v>
      </c>
      <c r="L816">
        <f t="shared" si="75"/>
        <v>1</v>
      </c>
      <c r="M816">
        <f t="shared" si="76"/>
        <v>0</v>
      </c>
      <c r="N816">
        <f t="shared" si="77"/>
        <v>0</v>
      </c>
    </row>
    <row r="817" spans="1:14" x14ac:dyDescent="0.35">
      <c r="A817" t="s">
        <v>150</v>
      </c>
      <c r="B817" t="s">
        <v>1761</v>
      </c>
      <c r="C817" s="7" t="s">
        <v>10</v>
      </c>
      <c r="D817" t="s">
        <v>152</v>
      </c>
      <c r="E817" t="s">
        <v>2095</v>
      </c>
      <c r="F817" t="s">
        <v>1754</v>
      </c>
      <c r="I817">
        <f t="shared" si="72"/>
        <v>0</v>
      </c>
      <c r="J817">
        <f t="shared" si="73"/>
        <v>0</v>
      </c>
      <c r="K817">
        <f t="shared" si="74"/>
        <v>0</v>
      </c>
      <c r="L817">
        <f t="shared" si="75"/>
        <v>1</v>
      </c>
      <c r="M817">
        <f t="shared" si="76"/>
        <v>0</v>
      </c>
      <c r="N817">
        <f t="shared" si="77"/>
        <v>0</v>
      </c>
    </row>
    <row r="818" spans="1:14" x14ac:dyDescent="0.35">
      <c r="A818" t="s">
        <v>150</v>
      </c>
      <c r="B818" t="s">
        <v>1761</v>
      </c>
      <c r="C818" s="7" t="s">
        <v>10</v>
      </c>
      <c r="D818" t="s">
        <v>152</v>
      </c>
      <c r="E818" t="s">
        <v>1945</v>
      </c>
      <c r="F818" t="s">
        <v>1754</v>
      </c>
      <c r="I818">
        <f t="shared" si="72"/>
        <v>0</v>
      </c>
      <c r="J818">
        <f t="shared" si="73"/>
        <v>0</v>
      </c>
      <c r="K818">
        <f t="shared" si="74"/>
        <v>0</v>
      </c>
      <c r="L818">
        <f t="shared" si="75"/>
        <v>1</v>
      </c>
      <c r="M818">
        <f t="shared" si="76"/>
        <v>0</v>
      </c>
      <c r="N818">
        <f t="shared" si="77"/>
        <v>0</v>
      </c>
    </row>
    <row r="819" spans="1:14" x14ac:dyDescent="0.35">
      <c r="A819" t="s">
        <v>1521</v>
      </c>
      <c r="B819" t="s">
        <v>2257</v>
      </c>
      <c r="C819" s="7" t="s">
        <v>10</v>
      </c>
      <c r="D819" t="s">
        <v>838</v>
      </c>
      <c r="E819" t="s">
        <v>1911</v>
      </c>
      <c r="F819" t="s">
        <v>1754</v>
      </c>
      <c r="I819">
        <f t="shared" si="72"/>
        <v>0</v>
      </c>
      <c r="J819">
        <f t="shared" si="73"/>
        <v>0</v>
      </c>
      <c r="K819">
        <f t="shared" si="74"/>
        <v>0</v>
      </c>
      <c r="L819">
        <f t="shared" si="75"/>
        <v>1</v>
      </c>
      <c r="M819">
        <f t="shared" si="76"/>
        <v>0</v>
      </c>
      <c r="N819">
        <f t="shared" si="77"/>
        <v>0</v>
      </c>
    </row>
    <row r="820" spans="1:14" x14ac:dyDescent="0.35">
      <c r="A820" t="s">
        <v>1521</v>
      </c>
      <c r="B820" t="s">
        <v>2257</v>
      </c>
      <c r="C820" s="7" t="s">
        <v>10</v>
      </c>
      <c r="D820" t="s">
        <v>838</v>
      </c>
      <c r="E820" t="s">
        <v>1910</v>
      </c>
      <c r="F820" t="s">
        <v>1754</v>
      </c>
      <c r="I820">
        <f t="shared" si="72"/>
        <v>0</v>
      </c>
      <c r="J820">
        <f t="shared" si="73"/>
        <v>0</v>
      </c>
      <c r="K820">
        <f t="shared" si="74"/>
        <v>0</v>
      </c>
      <c r="L820">
        <f t="shared" si="75"/>
        <v>1</v>
      </c>
      <c r="M820">
        <f t="shared" si="76"/>
        <v>0</v>
      </c>
      <c r="N820">
        <f t="shared" si="77"/>
        <v>0</v>
      </c>
    </row>
    <row r="821" spans="1:14" x14ac:dyDescent="0.35">
      <c r="A821" t="s">
        <v>1521</v>
      </c>
      <c r="B821" t="s">
        <v>2257</v>
      </c>
      <c r="C821" s="7" t="s">
        <v>10</v>
      </c>
      <c r="D821" t="s">
        <v>838</v>
      </c>
      <c r="E821" t="s">
        <v>1944</v>
      </c>
      <c r="F821" t="s">
        <v>1754</v>
      </c>
      <c r="I821">
        <f t="shared" si="72"/>
        <v>0</v>
      </c>
      <c r="J821">
        <f t="shared" si="73"/>
        <v>0</v>
      </c>
      <c r="K821">
        <f t="shared" si="74"/>
        <v>0</v>
      </c>
      <c r="L821">
        <f t="shared" si="75"/>
        <v>1</v>
      </c>
      <c r="M821">
        <f t="shared" si="76"/>
        <v>0</v>
      </c>
      <c r="N821">
        <f t="shared" si="77"/>
        <v>0</v>
      </c>
    </row>
    <row r="822" spans="1:14" x14ac:dyDescent="0.35">
      <c r="A822" t="s">
        <v>1521</v>
      </c>
      <c r="B822" t="s">
        <v>2257</v>
      </c>
      <c r="C822" s="7" t="s">
        <v>10</v>
      </c>
      <c r="D822" t="s">
        <v>838</v>
      </c>
      <c r="E822" t="s">
        <v>2095</v>
      </c>
      <c r="F822" t="s">
        <v>1754</v>
      </c>
      <c r="I822">
        <f t="shared" si="72"/>
        <v>0</v>
      </c>
      <c r="J822">
        <f t="shared" si="73"/>
        <v>0</v>
      </c>
      <c r="K822">
        <f t="shared" si="74"/>
        <v>0</v>
      </c>
      <c r="L822">
        <f t="shared" si="75"/>
        <v>1</v>
      </c>
      <c r="M822">
        <f t="shared" si="76"/>
        <v>0</v>
      </c>
      <c r="N822">
        <f t="shared" si="77"/>
        <v>0</v>
      </c>
    </row>
    <row r="823" spans="1:14" x14ac:dyDescent="0.35">
      <c r="A823" t="s">
        <v>1521</v>
      </c>
      <c r="B823" t="s">
        <v>2257</v>
      </c>
      <c r="C823" s="7" t="s">
        <v>10</v>
      </c>
      <c r="D823" t="s">
        <v>838</v>
      </c>
      <c r="E823" t="s">
        <v>1945</v>
      </c>
      <c r="F823" t="s">
        <v>1754</v>
      </c>
      <c r="I823">
        <f t="shared" si="72"/>
        <v>0</v>
      </c>
      <c r="J823">
        <f t="shared" si="73"/>
        <v>0</v>
      </c>
      <c r="K823">
        <f t="shared" si="74"/>
        <v>0</v>
      </c>
      <c r="L823">
        <f t="shared" si="75"/>
        <v>1</v>
      </c>
      <c r="M823">
        <f t="shared" si="76"/>
        <v>0</v>
      </c>
      <c r="N823">
        <f t="shared" si="77"/>
        <v>0</v>
      </c>
    </row>
    <row r="824" spans="1:14" x14ac:dyDescent="0.35">
      <c r="A824" t="s">
        <v>1521</v>
      </c>
      <c r="B824" t="s">
        <v>2257</v>
      </c>
      <c r="C824" s="7" t="s">
        <v>10</v>
      </c>
      <c r="D824" t="s">
        <v>838</v>
      </c>
      <c r="E824" t="s">
        <v>1946</v>
      </c>
      <c r="F824" t="s">
        <v>1754</v>
      </c>
      <c r="I824">
        <f t="shared" si="72"/>
        <v>0</v>
      </c>
      <c r="J824">
        <f t="shared" si="73"/>
        <v>0</v>
      </c>
      <c r="K824">
        <f t="shared" si="74"/>
        <v>0</v>
      </c>
      <c r="L824">
        <f t="shared" si="75"/>
        <v>1</v>
      </c>
      <c r="M824">
        <f t="shared" si="76"/>
        <v>0</v>
      </c>
      <c r="N824">
        <f t="shared" si="77"/>
        <v>0</v>
      </c>
    </row>
    <row r="825" spans="1:14" x14ac:dyDescent="0.35">
      <c r="A825" t="s">
        <v>1242</v>
      </c>
      <c r="B825" t="s">
        <v>2258</v>
      </c>
      <c r="C825" s="7" t="s">
        <v>10</v>
      </c>
      <c r="D825" t="s">
        <v>1243</v>
      </c>
      <c r="E825" t="s">
        <v>1840</v>
      </c>
      <c r="F825" t="s">
        <v>1760</v>
      </c>
      <c r="I825">
        <f t="shared" si="72"/>
        <v>0</v>
      </c>
      <c r="J825">
        <f t="shared" si="73"/>
        <v>0</v>
      </c>
      <c r="K825">
        <f t="shared" si="74"/>
        <v>1</v>
      </c>
      <c r="L825">
        <f t="shared" si="75"/>
        <v>0</v>
      </c>
      <c r="M825">
        <f t="shared" si="76"/>
        <v>0</v>
      </c>
      <c r="N825">
        <f t="shared" si="77"/>
        <v>0</v>
      </c>
    </row>
    <row r="826" spans="1:14" x14ac:dyDescent="0.35">
      <c r="A826" t="s">
        <v>1242</v>
      </c>
      <c r="B826" t="s">
        <v>2258</v>
      </c>
      <c r="C826" s="7" t="s">
        <v>10</v>
      </c>
      <c r="D826" t="s">
        <v>1243</v>
      </c>
      <c r="E826" t="s">
        <v>1821</v>
      </c>
      <c r="F826" t="s">
        <v>1760</v>
      </c>
      <c r="I826">
        <f t="shared" si="72"/>
        <v>0</v>
      </c>
      <c r="J826">
        <f t="shared" si="73"/>
        <v>0</v>
      </c>
      <c r="K826">
        <f t="shared" si="74"/>
        <v>1</v>
      </c>
      <c r="L826">
        <f t="shared" si="75"/>
        <v>0</v>
      </c>
      <c r="M826">
        <f t="shared" si="76"/>
        <v>0</v>
      </c>
      <c r="N826">
        <f t="shared" si="77"/>
        <v>0</v>
      </c>
    </row>
    <row r="827" spans="1:14" x14ac:dyDescent="0.35">
      <c r="A827" t="s">
        <v>1242</v>
      </c>
      <c r="B827" t="s">
        <v>2258</v>
      </c>
      <c r="C827" s="7" t="s">
        <v>10</v>
      </c>
      <c r="D827" t="s">
        <v>1243</v>
      </c>
      <c r="E827" t="s">
        <v>1822</v>
      </c>
      <c r="F827" t="s">
        <v>1760</v>
      </c>
      <c r="I827">
        <f t="shared" si="72"/>
        <v>0</v>
      </c>
      <c r="J827">
        <f t="shared" si="73"/>
        <v>0</v>
      </c>
      <c r="K827">
        <f t="shared" si="74"/>
        <v>1</v>
      </c>
      <c r="L827">
        <f t="shared" si="75"/>
        <v>0</v>
      </c>
      <c r="M827">
        <f t="shared" si="76"/>
        <v>0</v>
      </c>
      <c r="N827">
        <f t="shared" si="77"/>
        <v>0</v>
      </c>
    </row>
    <row r="828" spans="1:14" x14ac:dyDescent="0.35">
      <c r="A828" t="s">
        <v>1242</v>
      </c>
      <c r="B828" t="s">
        <v>2258</v>
      </c>
      <c r="C828" s="7" t="s">
        <v>10</v>
      </c>
      <c r="D828" t="s">
        <v>1243</v>
      </c>
      <c r="E828" t="s">
        <v>1840</v>
      </c>
      <c r="F828" t="s">
        <v>1760</v>
      </c>
      <c r="I828">
        <f t="shared" si="72"/>
        <v>0</v>
      </c>
      <c r="J828">
        <f t="shared" si="73"/>
        <v>0</v>
      </c>
      <c r="K828">
        <f t="shared" si="74"/>
        <v>1</v>
      </c>
      <c r="L828">
        <f t="shared" si="75"/>
        <v>0</v>
      </c>
      <c r="M828">
        <f t="shared" si="76"/>
        <v>0</v>
      </c>
      <c r="N828">
        <f t="shared" si="77"/>
        <v>0</v>
      </c>
    </row>
    <row r="829" spans="1:14" x14ac:dyDescent="0.35">
      <c r="A829" t="s">
        <v>738</v>
      </c>
      <c r="B829" t="s">
        <v>2259</v>
      </c>
      <c r="C829" s="7" t="s">
        <v>10</v>
      </c>
      <c r="D829" t="s">
        <v>55</v>
      </c>
      <c r="E829" t="s">
        <v>1806</v>
      </c>
      <c r="F829" t="s">
        <v>1754</v>
      </c>
      <c r="I829">
        <f t="shared" si="72"/>
        <v>0</v>
      </c>
      <c r="J829">
        <f t="shared" si="73"/>
        <v>0</v>
      </c>
      <c r="K829">
        <f t="shared" si="74"/>
        <v>0</v>
      </c>
      <c r="L829">
        <f t="shared" si="75"/>
        <v>1</v>
      </c>
      <c r="M829">
        <f t="shared" si="76"/>
        <v>0</v>
      </c>
      <c r="N829">
        <f t="shared" si="77"/>
        <v>0</v>
      </c>
    </row>
    <row r="830" spans="1:14" x14ac:dyDescent="0.35">
      <c r="A830" t="s">
        <v>738</v>
      </c>
      <c r="B830" t="s">
        <v>2259</v>
      </c>
      <c r="C830" s="7" t="s">
        <v>10</v>
      </c>
      <c r="D830" t="s">
        <v>55</v>
      </c>
      <c r="E830" t="s">
        <v>1854</v>
      </c>
      <c r="F830" t="s">
        <v>1754</v>
      </c>
      <c r="I830">
        <f t="shared" si="72"/>
        <v>0</v>
      </c>
      <c r="J830">
        <f t="shared" si="73"/>
        <v>0</v>
      </c>
      <c r="K830">
        <f t="shared" si="74"/>
        <v>0</v>
      </c>
      <c r="L830">
        <f t="shared" si="75"/>
        <v>1</v>
      </c>
      <c r="M830">
        <f t="shared" si="76"/>
        <v>0</v>
      </c>
      <c r="N830">
        <f t="shared" si="77"/>
        <v>0</v>
      </c>
    </row>
    <row r="831" spans="1:14" x14ac:dyDescent="0.35">
      <c r="A831" t="s">
        <v>738</v>
      </c>
      <c r="B831" t="s">
        <v>2259</v>
      </c>
      <c r="C831" s="7" t="s">
        <v>10</v>
      </c>
      <c r="D831" t="s">
        <v>55</v>
      </c>
      <c r="E831" t="s">
        <v>2042</v>
      </c>
      <c r="F831" t="s">
        <v>1754</v>
      </c>
      <c r="I831">
        <f t="shared" si="72"/>
        <v>0</v>
      </c>
      <c r="J831">
        <f t="shared" si="73"/>
        <v>0</v>
      </c>
      <c r="K831">
        <f t="shared" si="74"/>
        <v>0</v>
      </c>
      <c r="L831">
        <f t="shared" si="75"/>
        <v>1</v>
      </c>
      <c r="M831">
        <f t="shared" si="76"/>
        <v>0</v>
      </c>
      <c r="N831">
        <f t="shared" si="77"/>
        <v>0</v>
      </c>
    </row>
    <row r="832" spans="1:14" x14ac:dyDescent="0.35">
      <c r="A832" t="s">
        <v>738</v>
      </c>
      <c r="B832" t="s">
        <v>2259</v>
      </c>
      <c r="C832" s="7" t="s">
        <v>10</v>
      </c>
      <c r="D832" t="s">
        <v>55</v>
      </c>
      <c r="E832" t="s">
        <v>1807</v>
      </c>
      <c r="F832" t="s">
        <v>1754</v>
      </c>
      <c r="I832">
        <f t="shared" si="72"/>
        <v>0</v>
      </c>
      <c r="J832">
        <f t="shared" si="73"/>
        <v>0</v>
      </c>
      <c r="K832">
        <f t="shared" si="74"/>
        <v>0</v>
      </c>
      <c r="L832">
        <f t="shared" si="75"/>
        <v>1</v>
      </c>
      <c r="M832">
        <f t="shared" si="76"/>
        <v>0</v>
      </c>
      <c r="N832">
        <f t="shared" si="77"/>
        <v>0</v>
      </c>
    </row>
    <row r="833" spans="1:14" x14ac:dyDescent="0.35">
      <c r="A833" t="s">
        <v>1031</v>
      </c>
      <c r="B833" t="s">
        <v>2260</v>
      </c>
      <c r="C833" s="7" t="s">
        <v>10</v>
      </c>
      <c r="D833" t="s">
        <v>51</v>
      </c>
      <c r="E833" t="s">
        <v>1896</v>
      </c>
      <c r="F833" t="s">
        <v>1754</v>
      </c>
      <c r="I833">
        <f t="shared" si="72"/>
        <v>0</v>
      </c>
      <c r="J833">
        <f t="shared" si="73"/>
        <v>0</v>
      </c>
      <c r="K833">
        <f t="shared" si="74"/>
        <v>0</v>
      </c>
      <c r="L833">
        <f t="shared" si="75"/>
        <v>1</v>
      </c>
      <c r="M833">
        <f t="shared" si="76"/>
        <v>0</v>
      </c>
      <c r="N833">
        <f t="shared" si="77"/>
        <v>0</v>
      </c>
    </row>
    <row r="834" spans="1:14" x14ac:dyDescent="0.35">
      <c r="A834" t="s">
        <v>1031</v>
      </c>
      <c r="B834" t="s">
        <v>2260</v>
      </c>
      <c r="C834" s="7" t="s">
        <v>10</v>
      </c>
      <c r="D834" t="s">
        <v>51</v>
      </c>
      <c r="E834" t="s">
        <v>2261</v>
      </c>
      <c r="F834" t="s">
        <v>1754</v>
      </c>
      <c r="I834">
        <f t="shared" si="72"/>
        <v>0</v>
      </c>
      <c r="J834">
        <f t="shared" si="73"/>
        <v>0</v>
      </c>
      <c r="K834">
        <f t="shared" si="74"/>
        <v>0</v>
      </c>
      <c r="L834">
        <f t="shared" si="75"/>
        <v>1</v>
      </c>
      <c r="M834">
        <f t="shared" si="76"/>
        <v>0</v>
      </c>
      <c r="N834">
        <f t="shared" si="77"/>
        <v>0</v>
      </c>
    </row>
    <row r="835" spans="1:14" x14ac:dyDescent="0.35">
      <c r="A835" t="s">
        <v>1031</v>
      </c>
      <c r="B835" t="s">
        <v>2260</v>
      </c>
      <c r="C835" s="7" t="s">
        <v>10</v>
      </c>
      <c r="D835" t="s">
        <v>51</v>
      </c>
      <c r="E835" t="s">
        <v>1894</v>
      </c>
      <c r="F835" t="s">
        <v>1754</v>
      </c>
      <c r="I835">
        <f t="shared" ref="I835:I898" si="78">IF($F835=$F$1,1,0)</f>
        <v>0</v>
      </c>
      <c r="J835">
        <f t="shared" ref="J835:J898" si="79">IF($F835=$J$1,1,0)</f>
        <v>0</v>
      </c>
      <c r="K835">
        <f t="shared" ref="K835:K898" si="80">IF($F835=$K$1,1,0)</f>
        <v>0</v>
      </c>
      <c r="L835">
        <f t="shared" ref="L835:L898" si="81">IF($F835=$L$1,1,0)</f>
        <v>1</v>
      </c>
      <c r="M835">
        <f t="shared" ref="M835:M898" si="82">IF($F835=$M$1,1,0)</f>
        <v>0</v>
      </c>
      <c r="N835">
        <f t="shared" ref="N835:N898" si="83">IF($G835&lt;&gt;"",1,0)</f>
        <v>0</v>
      </c>
    </row>
    <row r="836" spans="1:14" x14ac:dyDescent="0.35">
      <c r="A836" t="s">
        <v>1031</v>
      </c>
      <c r="B836" t="s">
        <v>2260</v>
      </c>
      <c r="C836" s="7" t="s">
        <v>10</v>
      </c>
      <c r="D836" t="s">
        <v>51</v>
      </c>
      <c r="E836" t="s">
        <v>1966</v>
      </c>
      <c r="F836" t="s">
        <v>1754</v>
      </c>
      <c r="I836">
        <f t="shared" si="78"/>
        <v>0</v>
      </c>
      <c r="J836">
        <f t="shared" si="79"/>
        <v>0</v>
      </c>
      <c r="K836">
        <f t="shared" si="80"/>
        <v>0</v>
      </c>
      <c r="L836">
        <f t="shared" si="81"/>
        <v>1</v>
      </c>
      <c r="M836">
        <f t="shared" si="82"/>
        <v>0</v>
      </c>
      <c r="N836">
        <f t="shared" si="83"/>
        <v>0</v>
      </c>
    </row>
    <row r="837" spans="1:14" x14ac:dyDescent="0.35">
      <c r="A837" t="s">
        <v>1031</v>
      </c>
      <c r="B837" t="s">
        <v>2260</v>
      </c>
      <c r="C837" s="7" t="s">
        <v>10</v>
      </c>
      <c r="D837" t="s">
        <v>51</v>
      </c>
      <c r="E837" t="s">
        <v>1892</v>
      </c>
      <c r="F837" t="s">
        <v>1760</v>
      </c>
      <c r="I837">
        <f t="shared" si="78"/>
        <v>0</v>
      </c>
      <c r="J837">
        <f t="shared" si="79"/>
        <v>0</v>
      </c>
      <c r="K837">
        <f t="shared" si="80"/>
        <v>1</v>
      </c>
      <c r="L837">
        <f t="shared" si="81"/>
        <v>0</v>
      </c>
      <c r="M837">
        <f t="shared" si="82"/>
        <v>0</v>
      </c>
      <c r="N837">
        <f t="shared" si="83"/>
        <v>0</v>
      </c>
    </row>
    <row r="838" spans="1:14" x14ac:dyDescent="0.35">
      <c r="A838" t="s">
        <v>1031</v>
      </c>
      <c r="B838" t="s">
        <v>2260</v>
      </c>
      <c r="C838" s="7" t="s">
        <v>10</v>
      </c>
      <c r="D838" t="s">
        <v>51</v>
      </c>
      <c r="E838" t="s">
        <v>1872</v>
      </c>
      <c r="F838" t="s">
        <v>1727</v>
      </c>
      <c r="I838">
        <f t="shared" si="78"/>
        <v>0</v>
      </c>
      <c r="J838">
        <f t="shared" si="79"/>
        <v>0</v>
      </c>
      <c r="K838">
        <f t="shared" si="80"/>
        <v>0</v>
      </c>
      <c r="L838">
        <f t="shared" si="81"/>
        <v>0</v>
      </c>
      <c r="M838">
        <f t="shared" si="82"/>
        <v>1</v>
      </c>
      <c r="N838">
        <f t="shared" si="83"/>
        <v>0</v>
      </c>
    </row>
    <row r="839" spans="1:14" x14ac:dyDescent="0.35">
      <c r="A839" t="s">
        <v>1031</v>
      </c>
      <c r="B839" t="s">
        <v>2260</v>
      </c>
      <c r="C839" s="7" t="s">
        <v>10</v>
      </c>
      <c r="D839" t="s">
        <v>51</v>
      </c>
      <c r="E839" t="s">
        <v>1898</v>
      </c>
      <c r="F839" t="s">
        <v>1727</v>
      </c>
      <c r="I839">
        <f t="shared" si="78"/>
        <v>0</v>
      </c>
      <c r="J839">
        <f t="shared" si="79"/>
        <v>0</v>
      </c>
      <c r="K839">
        <f t="shared" si="80"/>
        <v>0</v>
      </c>
      <c r="L839">
        <f t="shared" si="81"/>
        <v>0</v>
      </c>
      <c r="M839">
        <f t="shared" si="82"/>
        <v>1</v>
      </c>
      <c r="N839">
        <f t="shared" si="83"/>
        <v>0</v>
      </c>
    </row>
    <row r="840" spans="1:14" x14ac:dyDescent="0.35">
      <c r="A840" t="s">
        <v>101</v>
      </c>
      <c r="B840" t="s">
        <v>2262</v>
      </c>
      <c r="C840" s="7" t="s">
        <v>10</v>
      </c>
      <c r="D840" t="s">
        <v>51</v>
      </c>
      <c r="E840" t="s">
        <v>1911</v>
      </c>
      <c r="F840" t="s">
        <v>1754</v>
      </c>
      <c r="I840">
        <f t="shared" si="78"/>
        <v>0</v>
      </c>
      <c r="J840">
        <f t="shared" si="79"/>
        <v>0</v>
      </c>
      <c r="K840">
        <f t="shared" si="80"/>
        <v>0</v>
      </c>
      <c r="L840">
        <f t="shared" si="81"/>
        <v>1</v>
      </c>
      <c r="M840">
        <f t="shared" si="82"/>
        <v>0</v>
      </c>
      <c r="N840">
        <f t="shared" si="83"/>
        <v>0</v>
      </c>
    </row>
    <row r="841" spans="1:14" x14ac:dyDescent="0.35">
      <c r="A841" t="s">
        <v>101</v>
      </c>
      <c r="B841" t="s">
        <v>2262</v>
      </c>
      <c r="C841" s="7" t="s">
        <v>10</v>
      </c>
      <c r="D841" t="s">
        <v>51</v>
      </c>
      <c r="E841" t="s">
        <v>1944</v>
      </c>
      <c r="F841" t="s">
        <v>1754</v>
      </c>
      <c r="I841">
        <f t="shared" si="78"/>
        <v>0</v>
      </c>
      <c r="J841">
        <f t="shared" si="79"/>
        <v>0</v>
      </c>
      <c r="K841">
        <f t="shared" si="80"/>
        <v>0</v>
      </c>
      <c r="L841">
        <f t="shared" si="81"/>
        <v>1</v>
      </c>
      <c r="M841">
        <f t="shared" si="82"/>
        <v>0</v>
      </c>
      <c r="N841">
        <f t="shared" si="83"/>
        <v>0</v>
      </c>
    </row>
    <row r="842" spans="1:14" x14ac:dyDescent="0.35">
      <c r="A842" t="s">
        <v>101</v>
      </c>
      <c r="B842" t="s">
        <v>2262</v>
      </c>
      <c r="C842" s="7" t="s">
        <v>10</v>
      </c>
      <c r="D842" t="s">
        <v>51</v>
      </c>
      <c r="E842" t="s">
        <v>1910</v>
      </c>
      <c r="F842" t="s">
        <v>1754</v>
      </c>
      <c r="I842">
        <f t="shared" si="78"/>
        <v>0</v>
      </c>
      <c r="J842">
        <f t="shared" si="79"/>
        <v>0</v>
      </c>
      <c r="K842">
        <f t="shared" si="80"/>
        <v>0</v>
      </c>
      <c r="L842">
        <f t="shared" si="81"/>
        <v>1</v>
      </c>
      <c r="M842">
        <f t="shared" si="82"/>
        <v>0</v>
      </c>
      <c r="N842">
        <f t="shared" si="83"/>
        <v>0</v>
      </c>
    </row>
    <row r="843" spans="1:14" x14ac:dyDescent="0.35">
      <c r="A843" t="s">
        <v>327</v>
      </c>
      <c r="B843" t="s">
        <v>2263</v>
      </c>
      <c r="C843" s="7" t="s">
        <v>10</v>
      </c>
      <c r="D843" t="s">
        <v>55</v>
      </c>
      <c r="E843" t="s">
        <v>2264</v>
      </c>
      <c r="F843" t="s">
        <v>1886</v>
      </c>
      <c r="I843">
        <f t="shared" si="78"/>
        <v>0</v>
      </c>
      <c r="J843">
        <f t="shared" si="79"/>
        <v>0</v>
      </c>
      <c r="K843">
        <f t="shared" si="80"/>
        <v>0</v>
      </c>
      <c r="L843">
        <f t="shared" si="81"/>
        <v>0</v>
      </c>
      <c r="M843">
        <f t="shared" si="82"/>
        <v>0</v>
      </c>
      <c r="N843">
        <f t="shared" si="83"/>
        <v>0</v>
      </c>
    </row>
    <row r="844" spans="1:14" x14ac:dyDescent="0.35">
      <c r="A844" t="s">
        <v>327</v>
      </c>
      <c r="B844" t="s">
        <v>2263</v>
      </c>
      <c r="C844" s="7" t="s">
        <v>10</v>
      </c>
      <c r="D844" t="s">
        <v>55</v>
      </c>
      <c r="E844" t="s">
        <v>2265</v>
      </c>
      <c r="F844" t="s">
        <v>1886</v>
      </c>
      <c r="I844">
        <f t="shared" si="78"/>
        <v>0</v>
      </c>
      <c r="J844">
        <f t="shared" si="79"/>
        <v>0</v>
      </c>
      <c r="K844">
        <f t="shared" si="80"/>
        <v>0</v>
      </c>
      <c r="L844">
        <f t="shared" si="81"/>
        <v>0</v>
      </c>
      <c r="M844">
        <f t="shared" si="82"/>
        <v>0</v>
      </c>
      <c r="N844">
        <f t="shared" si="83"/>
        <v>0</v>
      </c>
    </row>
    <row r="845" spans="1:14" x14ac:dyDescent="0.35">
      <c r="A845" t="s">
        <v>1194</v>
      </c>
      <c r="B845" t="s">
        <v>2266</v>
      </c>
      <c r="C845" s="7" t="s">
        <v>10</v>
      </c>
      <c r="D845" t="s">
        <v>1196</v>
      </c>
      <c r="E845" t="s">
        <v>1997</v>
      </c>
      <c r="F845" t="s">
        <v>1886</v>
      </c>
      <c r="I845">
        <f t="shared" si="78"/>
        <v>0</v>
      </c>
      <c r="J845">
        <f t="shared" si="79"/>
        <v>0</v>
      </c>
      <c r="K845">
        <f t="shared" si="80"/>
        <v>0</v>
      </c>
      <c r="L845">
        <f t="shared" si="81"/>
        <v>0</v>
      </c>
      <c r="M845">
        <f t="shared" si="82"/>
        <v>0</v>
      </c>
      <c r="N845">
        <f t="shared" si="83"/>
        <v>0</v>
      </c>
    </row>
    <row r="846" spans="1:14" x14ac:dyDescent="0.35">
      <c r="A846" t="s">
        <v>1194</v>
      </c>
      <c r="B846" t="s">
        <v>2266</v>
      </c>
      <c r="C846" s="7" t="s">
        <v>10</v>
      </c>
      <c r="D846" t="s">
        <v>1196</v>
      </c>
      <c r="E846" t="s">
        <v>1998</v>
      </c>
      <c r="F846" t="s">
        <v>1886</v>
      </c>
      <c r="I846">
        <f t="shared" si="78"/>
        <v>0</v>
      </c>
      <c r="J846">
        <f t="shared" si="79"/>
        <v>0</v>
      </c>
      <c r="K846">
        <f t="shared" si="80"/>
        <v>0</v>
      </c>
      <c r="L846">
        <f t="shared" si="81"/>
        <v>0</v>
      </c>
      <c r="M846">
        <f t="shared" si="82"/>
        <v>0</v>
      </c>
      <c r="N846">
        <f t="shared" si="83"/>
        <v>0</v>
      </c>
    </row>
    <row r="847" spans="1:14" x14ac:dyDescent="0.35">
      <c r="A847" t="s">
        <v>1194</v>
      </c>
      <c r="B847" t="s">
        <v>2266</v>
      </c>
      <c r="C847" s="7" t="s">
        <v>10</v>
      </c>
      <c r="D847" t="s">
        <v>1196</v>
      </c>
      <c r="E847" t="s">
        <v>1999</v>
      </c>
      <c r="F847" t="s">
        <v>1886</v>
      </c>
      <c r="I847">
        <f t="shared" si="78"/>
        <v>0</v>
      </c>
      <c r="J847">
        <f t="shared" si="79"/>
        <v>0</v>
      </c>
      <c r="K847">
        <f t="shared" si="80"/>
        <v>0</v>
      </c>
      <c r="L847">
        <f t="shared" si="81"/>
        <v>0</v>
      </c>
      <c r="M847">
        <f t="shared" si="82"/>
        <v>0</v>
      </c>
      <c r="N847">
        <f t="shared" si="83"/>
        <v>0</v>
      </c>
    </row>
    <row r="848" spans="1:14" x14ac:dyDescent="0.35">
      <c r="A848" t="s">
        <v>1194</v>
      </c>
      <c r="B848" t="s">
        <v>2266</v>
      </c>
      <c r="C848" s="7" t="s">
        <v>10</v>
      </c>
      <c r="D848" t="s">
        <v>1196</v>
      </c>
      <c r="E848" t="s">
        <v>2000</v>
      </c>
      <c r="F848" t="s">
        <v>1886</v>
      </c>
      <c r="I848">
        <f t="shared" si="78"/>
        <v>0</v>
      </c>
      <c r="J848">
        <f t="shared" si="79"/>
        <v>0</v>
      </c>
      <c r="K848">
        <f t="shared" si="80"/>
        <v>0</v>
      </c>
      <c r="L848">
        <f t="shared" si="81"/>
        <v>0</v>
      </c>
      <c r="M848">
        <f t="shared" si="82"/>
        <v>0</v>
      </c>
      <c r="N848">
        <f t="shared" si="83"/>
        <v>0</v>
      </c>
    </row>
    <row r="849" spans="1:14" x14ac:dyDescent="0.35">
      <c r="A849" t="s">
        <v>1194</v>
      </c>
      <c r="B849" t="s">
        <v>2266</v>
      </c>
      <c r="C849" s="7" t="s">
        <v>10</v>
      </c>
      <c r="D849" t="s">
        <v>1196</v>
      </c>
      <c r="E849" t="s">
        <v>1996</v>
      </c>
      <c r="F849" t="s">
        <v>1886</v>
      </c>
      <c r="I849">
        <f t="shared" si="78"/>
        <v>0</v>
      </c>
      <c r="J849">
        <f t="shared" si="79"/>
        <v>0</v>
      </c>
      <c r="K849">
        <f t="shared" si="80"/>
        <v>0</v>
      </c>
      <c r="L849">
        <f t="shared" si="81"/>
        <v>0</v>
      </c>
      <c r="M849">
        <f t="shared" si="82"/>
        <v>0</v>
      </c>
      <c r="N849">
        <f t="shared" si="83"/>
        <v>0</v>
      </c>
    </row>
    <row r="850" spans="1:14" x14ac:dyDescent="0.35">
      <c r="A850" t="s">
        <v>704</v>
      </c>
      <c r="B850" t="s">
        <v>2267</v>
      </c>
      <c r="C850" s="7" t="s">
        <v>10</v>
      </c>
      <c r="D850" t="s">
        <v>55</v>
      </c>
      <c r="E850" t="s">
        <v>1911</v>
      </c>
      <c r="F850" t="s">
        <v>1754</v>
      </c>
      <c r="I850">
        <f t="shared" si="78"/>
        <v>0</v>
      </c>
      <c r="J850">
        <f t="shared" si="79"/>
        <v>0</v>
      </c>
      <c r="K850">
        <f t="shared" si="80"/>
        <v>0</v>
      </c>
      <c r="L850">
        <f t="shared" si="81"/>
        <v>1</v>
      </c>
      <c r="M850">
        <f t="shared" si="82"/>
        <v>0</v>
      </c>
      <c r="N850">
        <f t="shared" si="83"/>
        <v>0</v>
      </c>
    </row>
    <row r="851" spans="1:14" x14ac:dyDescent="0.35">
      <c r="A851" t="s">
        <v>704</v>
      </c>
      <c r="B851" t="s">
        <v>2267</v>
      </c>
      <c r="C851" s="7" t="s">
        <v>10</v>
      </c>
      <c r="D851" t="s">
        <v>55</v>
      </c>
      <c r="E851" t="s">
        <v>1910</v>
      </c>
      <c r="F851" t="s">
        <v>1754</v>
      </c>
      <c r="I851">
        <f t="shared" si="78"/>
        <v>0</v>
      </c>
      <c r="J851">
        <f t="shared" si="79"/>
        <v>0</v>
      </c>
      <c r="K851">
        <f t="shared" si="80"/>
        <v>0</v>
      </c>
      <c r="L851">
        <f t="shared" si="81"/>
        <v>1</v>
      </c>
      <c r="M851">
        <f t="shared" si="82"/>
        <v>0</v>
      </c>
      <c r="N851">
        <f t="shared" si="83"/>
        <v>0</v>
      </c>
    </row>
    <row r="852" spans="1:14" x14ac:dyDescent="0.35">
      <c r="A852" t="s">
        <v>704</v>
      </c>
      <c r="B852" t="s">
        <v>2267</v>
      </c>
      <c r="C852" s="7" t="s">
        <v>10</v>
      </c>
      <c r="D852" t="s">
        <v>55</v>
      </c>
      <c r="E852" t="s">
        <v>1946</v>
      </c>
      <c r="F852" t="s">
        <v>1754</v>
      </c>
      <c r="I852">
        <f t="shared" si="78"/>
        <v>0</v>
      </c>
      <c r="J852">
        <f t="shared" si="79"/>
        <v>0</v>
      </c>
      <c r="K852">
        <f t="shared" si="80"/>
        <v>0</v>
      </c>
      <c r="L852">
        <f t="shared" si="81"/>
        <v>1</v>
      </c>
      <c r="M852">
        <f t="shared" si="82"/>
        <v>0</v>
      </c>
      <c r="N852">
        <f t="shared" si="83"/>
        <v>0</v>
      </c>
    </row>
    <row r="853" spans="1:14" x14ac:dyDescent="0.35">
      <c r="A853" t="s">
        <v>704</v>
      </c>
      <c r="B853" t="s">
        <v>2267</v>
      </c>
      <c r="C853" s="7" t="s">
        <v>10</v>
      </c>
      <c r="D853" t="s">
        <v>55</v>
      </c>
      <c r="E853" t="s">
        <v>2095</v>
      </c>
      <c r="F853" t="s">
        <v>1754</v>
      </c>
      <c r="I853">
        <f t="shared" si="78"/>
        <v>0</v>
      </c>
      <c r="J853">
        <f t="shared" si="79"/>
        <v>0</v>
      </c>
      <c r="K853">
        <f t="shared" si="80"/>
        <v>0</v>
      </c>
      <c r="L853">
        <f t="shared" si="81"/>
        <v>1</v>
      </c>
      <c r="M853">
        <f t="shared" si="82"/>
        <v>0</v>
      </c>
      <c r="N853">
        <f t="shared" si="83"/>
        <v>0</v>
      </c>
    </row>
    <row r="854" spans="1:14" x14ac:dyDescent="0.35">
      <c r="A854" t="s">
        <v>704</v>
      </c>
      <c r="B854" t="s">
        <v>2267</v>
      </c>
      <c r="C854" s="7" t="s">
        <v>10</v>
      </c>
      <c r="D854" t="s">
        <v>55</v>
      </c>
      <c r="E854" t="s">
        <v>1945</v>
      </c>
      <c r="F854" t="s">
        <v>1754</v>
      </c>
      <c r="I854">
        <f t="shared" si="78"/>
        <v>0</v>
      </c>
      <c r="J854">
        <f t="shared" si="79"/>
        <v>0</v>
      </c>
      <c r="K854">
        <f t="shared" si="80"/>
        <v>0</v>
      </c>
      <c r="L854">
        <f t="shared" si="81"/>
        <v>1</v>
      </c>
      <c r="M854">
        <f t="shared" si="82"/>
        <v>0</v>
      </c>
      <c r="N854">
        <f t="shared" si="83"/>
        <v>0</v>
      </c>
    </row>
    <row r="855" spans="1:14" x14ac:dyDescent="0.35">
      <c r="A855" t="s">
        <v>704</v>
      </c>
      <c r="B855" t="s">
        <v>2267</v>
      </c>
      <c r="C855" s="7" t="s">
        <v>10</v>
      </c>
      <c r="D855" t="s">
        <v>55</v>
      </c>
      <c r="E855" t="s">
        <v>2121</v>
      </c>
      <c r="F855" t="s">
        <v>1727</v>
      </c>
      <c r="I855">
        <f t="shared" si="78"/>
        <v>0</v>
      </c>
      <c r="J855">
        <f t="shared" si="79"/>
        <v>0</v>
      </c>
      <c r="K855">
        <f t="shared" si="80"/>
        <v>0</v>
      </c>
      <c r="L855">
        <f t="shared" si="81"/>
        <v>0</v>
      </c>
      <c r="M855">
        <f t="shared" si="82"/>
        <v>1</v>
      </c>
      <c r="N855">
        <f t="shared" si="83"/>
        <v>0</v>
      </c>
    </row>
    <row r="856" spans="1:14" x14ac:dyDescent="0.35">
      <c r="A856" t="s">
        <v>704</v>
      </c>
      <c r="B856" t="s">
        <v>2267</v>
      </c>
      <c r="C856" s="7" t="s">
        <v>10</v>
      </c>
      <c r="D856" t="s">
        <v>55</v>
      </c>
      <c r="E856" t="s">
        <v>1944</v>
      </c>
      <c r="F856" t="s">
        <v>1754</v>
      </c>
      <c r="I856">
        <f t="shared" si="78"/>
        <v>0</v>
      </c>
      <c r="J856">
        <f t="shared" si="79"/>
        <v>0</v>
      </c>
      <c r="K856">
        <f t="shared" si="80"/>
        <v>0</v>
      </c>
      <c r="L856">
        <f t="shared" si="81"/>
        <v>1</v>
      </c>
      <c r="M856">
        <f t="shared" si="82"/>
        <v>0</v>
      </c>
      <c r="N856">
        <f t="shared" si="83"/>
        <v>0</v>
      </c>
    </row>
    <row r="857" spans="1:14" x14ac:dyDescent="0.35">
      <c r="A857" t="s">
        <v>1690</v>
      </c>
      <c r="B857" t="s">
        <v>2268</v>
      </c>
      <c r="C857" s="7" t="s">
        <v>10</v>
      </c>
      <c r="D857" t="s">
        <v>1691</v>
      </c>
      <c r="E857" t="s">
        <v>1966</v>
      </c>
      <c r="F857" t="s">
        <v>1754</v>
      </c>
      <c r="I857">
        <f t="shared" si="78"/>
        <v>0</v>
      </c>
      <c r="J857">
        <f t="shared" si="79"/>
        <v>0</v>
      </c>
      <c r="K857">
        <f t="shared" si="80"/>
        <v>0</v>
      </c>
      <c r="L857">
        <f t="shared" si="81"/>
        <v>1</v>
      </c>
      <c r="M857">
        <f t="shared" si="82"/>
        <v>0</v>
      </c>
      <c r="N857">
        <f t="shared" si="83"/>
        <v>0</v>
      </c>
    </row>
    <row r="858" spans="1:14" x14ac:dyDescent="0.35">
      <c r="A858" t="s">
        <v>87</v>
      </c>
      <c r="B858" t="s">
        <v>2269</v>
      </c>
      <c r="C858" s="7" t="s">
        <v>10</v>
      </c>
      <c r="D858" t="s">
        <v>55</v>
      </c>
      <c r="E858" t="s">
        <v>1930</v>
      </c>
      <c r="F858" t="s">
        <v>1754</v>
      </c>
      <c r="I858">
        <f t="shared" si="78"/>
        <v>0</v>
      </c>
      <c r="J858">
        <f t="shared" si="79"/>
        <v>0</v>
      </c>
      <c r="K858">
        <f t="shared" si="80"/>
        <v>0</v>
      </c>
      <c r="L858">
        <f t="shared" si="81"/>
        <v>1</v>
      </c>
      <c r="M858">
        <f t="shared" si="82"/>
        <v>0</v>
      </c>
      <c r="N858">
        <f t="shared" si="83"/>
        <v>0</v>
      </c>
    </row>
    <row r="859" spans="1:14" x14ac:dyDescent="0.35">
      <c r="A859" t="s">
        <v>87</v>
      </c>
      <c r="B859" t="s">
        <v>2269</v>
      </c>
      <c r="C859" s="7" t="s">
        <v>10</v>
      </c>
      <c r="D859" t="s">
        <v>55</v>
      </c>
      <c r="E859" t="s">
        <v>1929</v>
      </c>
      <c r="F859" t="s">
        <v>1754</v>
      </c>
      <c r="I859">
        <f t="shared" si="78"/>
        <v>0</v>
      </c>
      <c r="J859">
        <f t="shared" si="79"/>
        <v>0</v>
      </c>
      <c r="K859">
        <f t="shared" si="80"/>
        <v>0</v>
      </c>
      <c r="L859">
        <f t="shared" si="81"/>
        <v>1</v>
      </c>
      <c r="M859">
        <f t="shared" si="82"/>
        <v>0</v>
      </c>
      <c r="N859">
        <f t="shared" si="83"/>
        <v>0</v>
      </c>
    </row>
    <row r="860" spans="1:14" x14ac:dyDescent="0.35">
      <c r="A860" t="s">
        <v>231</v>
      </c>
      <c r="B860" t="s">
        <v>2270</v>
      </c>
      <c r="C860" s="7" t="s">
        <v>10</v>
      </c>
      <c r="D860" t="s">
        <v>92</v>
      </c>
      <c r="E860" t="s">
        <v>1849</v>
      </c>
      <c r="F860" t="s">
        <v>1754</v>
      </c>
      <c r="I860">
        <f t="shared" si="78"/>
        <v>0</v>
      </c>
      <c r="J860">
        <f t="shared" si="79"/>
        <v>0</v>
      </c>
      <c r="K860">
        <f t="shared" si="80"/>
        <v>0</v>
      </c>
      <c r="L860">
        <f t="shared" si="81"/>
        <v>1</v>
      </c>
      <c r="M860">
        <f t="shared" si="82"/>
        <v>0</v>
      </c>
      <c r="N860">
        <f t="shared" si="83"/>
        <v>0</v>
      </c>
    </row>
    <row r="861" spans="1:14" x14ac:dyDescent="0.35">
      <c r="A861" t="s">
        <v>1121</v>
      </c>
      <c r="B861" t="s">
        <v>2271</v>
      </c>
      <c r="C861" s="7" t="s">
        <v>10</v>
      </c>
      <c r="D861" t="s">
        <v>554</v>
      </c>
      <c r="E861" t="s">
        <v>1806</v>
      </c>
      <c r="F861" t="s">
        <v>1754</v>
      </c>
      <c r="G861" t="s">
        <v>2272</v>
      </c>
      <c r="H861" t="s">
        <v>2273</v>
      </c>
      <c r="I861">
        <f t="shared" si="78"/>
        <v>0</v>
      </c>
      <c r="J861">
        <f t="shared" si="79"/>
        <v>0</v>
      </c>
      <c r="K861">
        <f t="shared" si="80"/>
        <v>0</v>
      </c>
      <c r="L861">
        <f t="shared" si="81"/>
        <v>1</v>
      </c>
      <c r="M861">
        <f t="shared" si="82"/>
        <v>0</v>
      </c>
      <c r="N861">
        <f t="shared" si="83"/>
        <v>1</v>
      </c>
    </row>
    <row r="862" spans="1:14" x14ac:dyDescent="0.35">
      <c r="A862" t="s">
        <v>1121</v>
      </c>
      <c r="B862" t="s">
        <v>2271</v>
      </c>
      <c r="C862" s="7" t="s">
        <v>10</v>
      </c>
      <c r="D862" t="s">
        <v>554</v>
      </c>
      <c r="E862" t="s">
        <v>1807</v>
      </c>
      <c r="F862" t="s">
        <v>1754</v>
      </c>
      <c r="G862" t="s">
        <v>2272</v>
      </c>
      <c r="H862" t="s">
        <v>2273</v>
      </c>
      <c r="I862">
        <f t="shared" si="78"/>
        <v>0</v>
      </c>
      <c r="J862">
        <f t="shared" si="79"/>
        <v>0</v>
      </c>
      <c r="K862">
        <f t="shared" si="80"/>
        <v>0</v>
      </c>
      <c r="L862">
        <f t="shared" si="81"/>
        <v>1</v>
      </c>
      <c r="M862">
        <f t="shared" si="82"/>
        <v>0</v>
      </c>
      <c r="N862">
        <f t="shared" si="83"/>
        <v>1</v>
      </c>
    </row>
    <row r="863" spans="1:14" x14ac:dyDescent="0.35">
      <c r="A863" t="s">
        <v>1075</v>
      </c>
      <c r="B863" t="s">
        <v>2274</v>
      </c>
      <c r="C863" s="7" t="s">
        <v>10</v>
      </c>
      <c r="D863" t="s">
        <v>55</v>
      </c>
      <c r="E863" t="s">
        <v>1838</v>
      </c>
      <c r="F863" t="s">
        <v>1760</v>
      </c>
      <c r="I863">
        <f t="shared" si="78"/>
        <v>0</v>
      </c>
      <c r="J863">
        <f t="shared" si="79"/>
        <v>0</v>
      </c>
      <c r="K863">
        <f t="shared" si="80"/>
        <v>1</v>
      </c>
      <c r="L863">
        <f t="shared" si="81"/>
        <v>0</v>
      </c>
      <c r="M863">
        <f t="shared" si="82"/>
        <v>0</v>
      </c>
      <c r="N863">
        <f t="shared" si="83"/>
        <v>0</v>
      </c>
    </row>
    <row r="864" spans="1:14" x14ac:dyDescent="0.35">
      <c r="A864" t="s">
        <v>1404</v>
      </c>
      <c r="B864" t="s">
        <v>2275</v>
      </c>
      <c r="C864" s="7" t="s">
        <v>10</v>
      </c>
      <c r="D864" t="s">
        <v>51</v>
      </c>
      <c r="E864" t="s">
        <v>1988</v>
      </c>
      <c r="F864" t="s">
        <v>1805</v>
      </c>
      <c r="I864">
        <f t="shared" si="78"/>
        <v>0</v>
      </c>
      <c r="J864">
        <f t="shared" si="79"/>
        <v>1</v>
      </c>
      <c r="K864">
        <f t="shared" si="80"/>
        <v>0</v>
      </c>
      <c r="L864">
        <f t="shared" si="81"/>
        <v>0</v>
      </c>
      <c r="M864">
        <f t="shared" si="82"/>
        <v>0</v>
      </c>
      <c r="N864">
        <f t="shared" si="83"/>
        <v>0</v>
      </c>
    </row>
    <row r="865" spans="1:14" x14ac:dyDescent="0.35">
      <c r="A865" t="s">
        <v>752</v>
      </c>
      <c r="B865" t="s">
        <v>2276</v>
      </c>
      <c r="C865" s="7" t="s">
        <v>10</v>
      </c>
      <c r="D865" t="s">
        <v>55</v>
      </c>
      <c r="E865" t="s">
        <v>1996</v>
      </c>
      <c r="F865" t="s">
        <v>1886</v>
      </c>
      <c r="I865">
        <f t="shared" si="78"/>
        <v>0</v>
      </c>
      <c r="J865">
        <f t="shared" si="79"/>
        <v>0</v>
      </c>
      <c r="K865">
        <f t="shared" si="80"/>
        <v>0</v>
      </c>
      <c r="L865">
        <f t="shared" si="81"/>
        <v>0</v>
      </c>
      <c r="M865">
        <f t="shared" si="82"/>
        <v>0</v>
      </c>
      <c r="N865">
        <f t="shared" si="83"/>
        <v>0</v>
      </c>
    </row>
    <row r="866" spans="1:14" x14ac:dyDescent="0.35">
      <c r="A866" t="s">
        <v>752</v>
      </c>
      <c r="B866" t="s">
        <v>2276</v>
      </c>
      <c r="C866" s="7" t="s">
        <v>10</v>
      </c>
      <c r="D866" t="s">
        <v>55</v>
      </c>
      <c r="E866" t="s">
        <v>1997</v>
      </c>
      <c r="F866" t="s">
        <v>1886</v>
      </c>
      <c r="I866">
        <f t="shared" si="78"/>
        <v>0</v>
      </c>
      <c r="J866">
        <f t="shared" si="79"/>
        <v>0</v>
      </c>
      <c r="K866">
        <f t="shared" si="80"/>
        <v>0</v>
      </c>
      <c r="L866">
        <f t="shared" si="81"/>
        <v>0</v>
      </c>
      <c r="M866">
        <f t="shared" si="82"/>
        <v>0</v>
      </c>
      <c r="N866">
        <f t="shared" si="83"/>
        <v>0</v>
      </c>
    </row>
    <row r="867" spans="1:14" x14ac:dyDescent="0.35">
      <c r="A867" t="s">
        <v>752</v>
      </c>
      <c r="B867" t="s">
        <v>2276</v>
      </c>
      <c r="C867" s="7" t="s">
        <v>10</v>
      </c>
      <c r="D867" t="s">
        <v>55</v>
      </c>
      <c r="E867" t="s">
        <v>1999</v>
      </c>
      <c r="F867" t="s">
        <v>1886</v>
      </c>
      <c r="I867">
        <f t="shared" si="78"/>
        <v>0</v>
      </c>
      <c r="J867">
        <f t="shared" si="79"/>
        <v>0</v>
      </c>
      <c r="K867">
        <f t="shared" si="80"/>
        <v>0</v>
      </c>
      <c r="L867">
        <f t="shared" si="81"/>
        <v>0</v>
      </c>
      <c r="M867">
        <f t="shared" si="82"/>
        <v>0</v>
      </c>
      <c r="N867">
        <f t="shared" si="83"/>
        <v>0</v>
      </c>
    </row>
    <row r="868" spans="1:14" x14ac:dyDescent="0.35">
      <c r="A868" t="s">
        <v>752</v>
      </c>
      <c r="B868" t="s">
        <v>2276</v>
      </c>
      <c r="C868" s="7" t="s">
        <v>10</v>
      </c>
      <c r="D868" t="s">
        <v>55</v>
      </c>
      <c r="E868" t="s">
        <v>1998</v>
      </c>
      <c r="F868" t="s">
        <v>1886</v>
      </c>
      <c r="I868">
        <f t="shared" si="78"/>
        <v>0</v>
      </c>
      <c r="J868">
        <f t="shared" si="79"/>
        <v>0</v>
      </c>
      <c r="K868">
        <f t="shared" si="80"/>
        <v>0</v>
      </c>
      <c r="L868">
        <f t="shared" si="81"/>
        <v>0</v>
      </c>
      <c r="M868">
        <f t="shared" si="82"/>
        <v>0</v>
      </c>
      <c r="N868">
        <f t="shared" si="83"/>
        <v>0</v>
      </c>
    </row>
    <row r="869" spans="1:14" x14ac:dyDescent="0.35">
      <c r="A869" t="s">
        <v>752</v>
      </c>
      <c r="B869" t="s">
        <v>2276</v>
      </c>
      <c r="C869" s="7" t="s">
        <v>10</v>
      </c>
      <c r="D869" t="s">
        <v>55</v>
      </c>
      <c r="E869" t="s">
        <v>2000</v>
      </c>
      <c r="F869" t="s">
        <v>1886</v>
      </c>
      <c r="I869">
        <f t="shared" si="78"/>
        <v>0</v>
      </c>
      <c r="J869">
        <f t="shared" si="79"/>
        <v>0</v>
      </c>
      <c r="K869">
        <f t="shared" si="80"/>
        <v>0</v>
      </c>
      <c r="L869">
        <f t="shared" si="81"/>
        <v>0</v>
      </c>
      <c r="M869">
        <f t="shared" si="82"/>
        <v>0</v>
      </c>
      <c r="N869">
        <f t="shared" si="83"/>
        <v>0</v>
      </c>
    </row>
    <row r="870" spans="1:14" x14ac:dyDescent="0.35">
      <c r="A870" t="s">
        <v>1292</v>
      </c>
      <c r="B870" t="s">
        <v>2277</v>
      </c>
      <c r="C870" s="7" t="s">
        <v>6</v>
      </c>
      <c r="D870" t="s">
        <v>92</v>
      </c>
      <c r="E870" t="s">
        <v>1822</v>
      </c>
      <c r="F870" t="s">
        <v>1760</v>
      </c>
      <c r="I870">
        <f t="shared" si="78"/>
        <v>0</v>
      </c>
      <c r="J870">
        <f t="shared" si="79"/>
        <v>0</v>
      </c>
      <c r="K870">
        <f t="shared" si="80"/>
        <v>1</v>
      </c>
      <c r="L870">
        <f t="shared" si="81"/>
        <v>0</v>
      </c>
      <c r="M870">
        <f t="shared" si="82"/>
        <v>0</v>
      </c>
      <c r="N870">
        <f t="shared" si="83"/>
        <v>0</v>
      </c>
    </row>
    <row r="871" spans="1:14" x14ac:dyDescent="0.35">
      <c r="A871" t="s">
        <v>1292</v>
      </c>
      <c r="B871" t="s">
        <v>2277</v>
      </c>
      <c r="C871" s="7" t="s">
        <v>6</v>
      </c>
      <c r="D871" t="s">
        <v>92</v>
      </c>
      <c r="E871" t="s">
        <v>1821</v>
      </c>
      <c r="F871" t="s">
        <v>1760</v>
      </c>
      <c r="I871">
        <f t="shared" si="78"/>
        <v>0</v>
      </c>
      <c r="J871">
        <f t="shared" si="79"/>
        <v>0</v>
      </c>
      <c r="K871">
        <f t="shared" si="80"/>
        <v>1</v>
      </c>
      <c r="L871">
        <f t="shared" si="81"/>
        <v>0</v>
      </c>
      <c r="M871">
        <f t="shared" si="82"/>
        <v>0</v>
      </c>
      <c r="N871">
        <f t="shared" si="83"/>
        <v>0</v>
      </c>
    </row>
    <row r="872" spans="1:14" x14ac:dyDescent="0.35">
      <c r="A872" t="s">
        <v>306</v>
      </c>
      <c r="B872" t="s">
        <v>1762</v>
      </c>
      <c r="C872" s="7" t="s">
        <v>6</v>
      </c>
      <c r="D872" t="s">
        <v>55</v>
      </c>
      <c r="E872" t="s">
        <v>1868</v>
      </c>
      <c r="F872" t="s">
        <v>1727</v>
      </c>
      <c r="I872">
        <f t="shared" si="78"/>
        <v>0</v>
      </c>
      <c r="J872">
        <f t="shared" si="79"/>
        <v>0</v>
      </c>
      <c r="K872">
        <f t="shared" si="80"/>
        <v>0</v>
      </c>
      <c r="L872">
        <f t="shared" si="81"/>
        <v>0</v>
      </c>
      <c r="M872">
        <f t="shared" si="82"/>
        <v>1</v>
      </c>
      <c r="N872">
        <f t="shared" si="83"/>
        <v>0</v>
      </c>
    </row>
    <row r="873" spans="1:14" x14ac:dyDescent="0.35">
      <c r="A873" t="s">
        <v>306</v>
      </c>
      <c r="B873" t="s">
        <v>1762</v>
      </c>
      <c r="C873" s="7" t="s">
        <v>6</v>
      </c>
      <c r="D873" t="s">
        <v>55</v>
      </c>
      <c r="E873" t="s">
        <v>1866</v>
      </c>
      <c r="F873" t="s">
        <v>1727</v>
      </c>
      <c r="I873">
        <f t="shared" si="78"/>
        <v>0</v>
      </c>
      <c r="J873">
        <f t="shared" si="79"/>
        <v>0</v>
      </c>
      <c r="K873">
        <f t="shared" si="80"/>
        <v>0</v>
      </c>
      <c r="L873">
        <f t="shared" si="81"/>
        <v>0</v>
      </c>
      <c r="M873">
        <f t="shared" si="82"/>
        <v>1</v>
      </c>
      <c r="N873">
        <f t="shared" si="83"/>
        <v>0</v>
      </c>
    </row>
    <row r="874" spans="1:14" x14ac:dyDescent="0.35">
      <c r="A874" t="s">
        <v>306</v>
      </c>
      <c r="B874" t="s">
        <v>1762</v>
      </c>
      <c r="C874" s="7" t="s">
        <v>6</v>
      </c>
      <c r="D874" t="s">
        <v>55</v>
      </c>
      <c r="E874" t="s">
        <v>1867</v>
      </c>
      <c r="F874" t="s">
        <v>1727</v>
      </c>
      <c r="I874">
        <f t="shared" si="78"/>
        <v>0</v>
      </c>
      <c r="J874">
        <f t="shared" si="79"/>
        <v>0</v>
      </c>
      <c r="K874">
        <f t="shared" si="80"/>
        <v>0</v>
      </c>
      <c r="L874">
        <f t="shared" si="81"/>
        <v>0</v>
      </c>
      <c r="M874">
        <f t="shared" si="82"/>
        <v>1</v>
      </c>
      <c r="N874">
        <f t="shared" si="83"/>
        <v>0</v>
      </c>
    </row>
    <row r="875" spans="1:14" x14ac:dyDescent="0.35">
      <c r="A875" t="s">
        <v>306</v>
      </c>
      <c r="B875" t="s">
        <v>1762</v>
      </c>
      <c r="C875" s="7" t="s">
        <v>6</v>
      </c>
      <c r="D875" t="s">
        <v>55</v>
      </c>
      <c r="E875" t="s">
        <v>2278</v>
      </c>
      <c r="F875" t="s">
        <v>1727</v>
      </c>
      <c r="I875">
        <f t="shared" si="78"/>
        <v>0</v>
      </c>
      <c r="J875">
        <f t="shared" si="79"/>
        <v>0</v>
      </c>
      <c r="K875">
        <f t="shared" si="80"/>
        <v>0</v>
      </c>
      <c r="L875">
        <f t="shared" si="81"/>
        <v>0</v>
      </c>
      <c r="M875">
        <f t="shared" si="82"/>
        <v>1</v>
      </c>
      <c r="N875">
        <f t="shared" si="83"/>
        <v>0</v>
      </c>
    </row>
    <row r="876" spans="1:14" x14ac:dyDescent="0.35">
      <c r="A876" t="s">
        <v>306</v>
      </c>
      <c r="B876" t="s">
        <v>1762</v>
      </c>
      <c r="C876" s="7" t="s">
        <v>6</v>
      </c>
      <c r="D876" t="s">
        <v>55</v>
      </c>
      <c r="E876" t="s">
        <v>2279</v>
      </c>
      <c r="F876" t="s">
        <v>1727</v>
      </c>
      <c r="I876">
        <f t="shared" si="78"/>
        <v>0</v>
      </c>
      <c r="J876">
        <f t="shared" si="79"/>
        <v>0</v>
      </c>
      <c r="K876">
        <f t="shared" si="80"/>
        <v>0</v>
      </c>
      <c r="L876">
        <f t="shared" si="81"/>
        <v>0</v>
      </c>
      <c r="M876">
        <f t="shared" si="82"/>
        <v>1</v>
      </c>
      <c r="N876">
        <f t="shared" si="83"/>
        <v>0</v>
      </c>
    </row>
    <row r="877" spans="1:14" x14ac:dyDescent="0.35">
      <c r="A877" t="s">
        <v>250</v>
      </c>
      <c r="B877" t="s">
        <v>2280</v>
      </c>
      <c r="C877" s="7" t="s">
        <v>6</v>
      </c>
      <c r="D877" t="s">
        <v>55</v>
      </c>
      <c r="E877" t="s">
        <v>1858</v>
      </c>
      <c r="F877" t="s">
        <v>1760</v>
      </c>
      <c r="I877">
        <f t="shared" si="78"/>
        <v>0</v>
      </c>
      <c r="J877">
        <f t="shared" si="79"/>
        <v>0</v>
      </c>
      <c r="K877">
        <f t="shared" si="80"/>
        <v>1</v>
      </c>
      <c r="L877">
        <f t="shared" si="81"/>
        <v>0</v>
      </c>
      <c r="M877">
        <f t="shared" si="82"/>
        <v>0</v>
      </c>
      <c r="N877">
        <f t="shared" si="83"/>
        <v>0</v>
      </c>
    </row>
    <row r="878" spans="1:14" x14ac:dyDescent="0.35">
      <c r="A878" t="s">
        <v>250</v>
      </c>
      <c r="B878" t="s">
        <v>2280</v>
      </c>
      <c r="C878" s="7" t="s">
        <v>6</v>
      </c>
      <c r="D878" t="s">
        <v>55</v>
      </c>
      <c r="E878" t="s">
        <v>1963</v>
      </c>
      <c r="F878" t="s">
        <v>1760</v>
      </c>
      <c r="I878">
        <f t="shared" si="78"/>
        <v>0</v>
      </c>
      <c r="J878">
        <f t="shared" si="79"/>
        <v>0</v>
      </c>
      <c r="K878">
        <f t="shared" si="80"/>
        <v>1</v>
      </c>
      <c r="L878">
        <f t="shared" si="81"/>
        <v>0</v>
      </c>
      <c r="M878">
        <f t="shared" si="82"/>
        <v>0</v>
      </c>
      <c r="N878">
        <f t="shared" si="83"/>
        <v>0</v>
      </c>
    </row>
    <row r="879" spans="1:14" x14ac:dyDescent="0.35">
      <c r="A879" t="s">
        <v>250</v>
      </c>
      <c r="B879" t="s">
        <v>2280</v>
      </c>
      <c r="C879" s="7" t="s">
        <v>6</v>
      </c>
      <c r="D879" t="s">
        <v>55</v>
      </c>
      <c r="E879" t="s">
        <v>1968</v>
      </c>
      <c r="F879" t="s">
        <v>1760</v>
      </c>
      <c r="I879">
        <f t="shared" si="78"/>
        <v>0</v>
      </c>
      <c r="J879">
        <f t="shared" si="79"/>
        <v>0</v>
      </c>
      <c r="K879">
        <f t="shared" si="80"/>
        <v>1</v>
      </c>
      <c r="L879">
        <f t="shared" si="81"/>
        <v>0</v>
      </c>
      <c r="M879">
        <f t="shared" si="82"/>
        <v>0</v>
      </c>
      <c r="N879">
        <f t="shared" si="83"/>
        <v>0</v>
      </c>
    </row>
    <row r="880" spans="1:14" x14ac:dyDescent="0.35">
      <c r="A880" t="s">
        <v>250</v>
      </c>
      <c r="B880" t="s">
        <v>2280</v>
      </c>
      <c r="C880" s="7" t="s">
        <v>6</v>
      </c>
      <c r="D880" t="s">
        <v>55</v>
      </c>
      <c r="E880" t="s">
        <v>1822</v>
      </c>
      <c r="F880" t="s">
        <v>1760</v>
      </c>
      <c r="I880">
        <f t="shared" si="78"/>
        <v>0</v>
      </c>
      <c r="J880">
        <f t="shared" si="79"/>
        <v>0</v>
      </c>
      <c r="K880">
        <f t="shared" si="80"/>
        <v>1</v>
      </c>
      <c r="L880">
        <f t="shared" si="81"/>
        <v>0</v>
      </c>
      <c r="M880">
        <f t="shared" si="82"/>
        <v>0</v>
      </c>
      <c r="N880">
        <f t="shared" si="83"/>
        <v>0</v>
      </c>
    </row>
    <row r="881" spans="1:14" x14ac:dyDescent="0.35">
      <c r="A881" t="s">
        <v>250</v>
      </c>
      <c r="B881" t="s">
        <v>2280</v>
      </c>
      <c r="C881" s="7" t="s">
        <v>6</v>
      </c>
      <c r="D881" t="s">
        <v>55</v>
      </c>
      <c r="E881" t="s">
        <v>1860</v>
      </c>
      <c r="F881" t="s">
        <v>1754</v>
      </c>
      <c r="I881">
        <f t="shared" si="78"/>
        <v>0</v>
      </c>
      <c r="J881">
        <f t="shared" si="79"/>
        <v>0</v>
      </c>
      <c r="K881">
        <f t="shared" si="80"/>
        <v>0</v>
      </c>
      <c r="L881">
        <f t="shared" si="81"/>
        <v>1</v>
      </c>
      <c r="M881">
        <f t="shared" si="82"/>
        <v>0</v>
      </c>
      <c r="N881">
        <f t="shared" si="83"/>
        <v>0</v>
      </c>
    </row>
    <row r="882" spans="1:14" x14ac:dyDescent="0.35">
      <c r="A882" t="s">
        <v>250</v>
      </c>
      <c r="B882" t="s">
        <v>2280</v>
      </c>
      <c r="C882" s="7" t="s">
        <v>6</v>
      </c>
      <c r="D882" t="s">
        <v>55</v>
      </c>
      <c r="E882" t="s">
        <v>1860</v>
      </c>
      <c r="F882" t="s">
        <v>1754</v>
      </c>
      <c r="I882">
        <f t="shared" si="78"/>
        <v>0</v>
      </c>
      <c r="J882">
        <f t="shared" si="79"/>
        <v>0</v>
      </c>
      <c r="K882">
        <f t="shared" si="80"/>
        <v>0</v>
      </c>
      <c r="L882">
        <f t="shared" si="81"/>
        <v>1</v>
      </c>
      <c r="M882">
        <f t="shared" si="82"/>
        <v>0</v>
      </c>
      <c r="N882">
        <f t="shared" si="83"/>
        <v>0</v>
      </c>
    </row>
    <row r="883" spans="1:14" x14ac:dyDescent="0.35">
      <c r="A883" t="s">
        <v>1623</v>
      </c>
      <c r="B883" t="s">
        <v>2281</v>
      </c>
      <c r="C883" s="7" t="s">
        <v>6</v>
      </c>
      <c r="D883" t="s">
        <v>342</v>
      </c>
      <c r="E883" t="s">
        <v>1931</v>
      </c>
      <c r="F883" t="s">
        <v>1754</v>
      </c>
      <c r="I883">
        <f t="shared" si="78"/>
        <v>0</v>
      </c>
      <c r="J883">
        <f t="shared" si="79"/>
        <v>0</v>
      </c>
      <c r="K883">
        <f t="shared" si="80"/>
        <v>0</v>
      </c>
      <c r="L883">
        <f t="shared" si="81"/>
        <v>1</v>
      </c>
      <c r="M883">
        <f t="shared" si="82"/>
        <v>0</v>
      </c>
      <c r="N883">
        <f t="shared" si="83"/>
        <v>0</v>
      </c>
    </row>
    <row r="884" spans="1:14" x14ac:dyDescent="0.35">
      <c r="A884" t="s">
        <v>1623</v>
      </c>
      <c r="B884" t="s">
        <v>2281</v>
      </c>
      <c r="C884" s="7" t="s">
        <v>6</v>
      </c>
      <c r="D884" t="s">
        <v>342</v>
      </c>
      <c r="E884" t="s">
        <v>1928</v>
      </c>
      <c r="F884" t="s">
        <v>1754</v>
      </c>
      <c r="I884">
        <f t="shared" si="78"/>
        <v>0</v>
      </c>
      <c r="J884">
        <f t="shared" si="79"/>
        <v>0</v>
      </c>
      <c r="K884">
        <f t="shared" si="80"/>
        <v>0</v>
      </c>
      <c r="L884">
        <f t="shared" si="81"/>
        <v>1</v>
      </c>
      <c r="M884">
        <f t="shared" si="82"/>
        <v>0</v>
      </c>
      <c r="N884">
        <f t="shared" si="83"/>
        <v>0</v>
      </c>
    </row>
    <row r="885" spans="1:14" x14ac:dyDescent="0.35">
      <c r="A885" t="s">
        <v>481</v>
      </c>
      <c r="B885" t="s">
        <v>2282</v>
      </c>
      <c r="C885" s="7" t="s">
        <v>6</v>
      </c>
      <c r="D885" t="s">
        <v>100</v>
      </c>
      <c r="E885" t="s">
        <v>1822</v>
      </c>
      <c r="F885" t="s">
        <v>1760</v>
      </c>
      <c r="I885">
        <f t="shared" si="78"/>
        <v>0</v>
      </c>
      <c r="J885">
        <f t="shared" si="79"/>
        <v>0</v>
      </c>
      <c r="K885">
        <f t="shared" si="80"/>
        <v>1</v>
      </c>
      <c r="L885">
        <f t="shared" si="81"/>
        <v>0</v>
      </c>
      <c r="M885">
        <f t="shared" si="82"/>
        <v>0</v>
      </c>
      <c r="N885">
        <f t="shared" si="83"/>
        <v>0</v>
      </c>
    </row>
    <row r="886" spans="1:14" x14ac:dyDescent="0.35">
      <c r="A886" t="s">
        <v>481</v>
      </c>
      <c r="B886" t="s">
        <v>2282</v>
      </c>
      <c r="C886" s="7" t="s">
        <v>6</v>
      </c>
      <c r="D886" t="s">
        <v>100</v>
      </c>
      <c r="E886" t="s">
        <v>1821</v>
      </c>
      <c r="F886" t="s">
        <v>1760</v>
      </c>
      <c r="I886">
        <f t="shared" si="78"/>
        <v>0</v>
      </c>
      <c r="J886">
        <f t="shared" si="79"/>
        <v>0</v>
      </c>
      <c r="K886">
        <f t="shared" si="80"/>
        <v>1</v>
      </c>
      <c r="L886">
        <f t="shared" si="81"/>
        <v>0</v>
      </c>
      <c r="M886">
        <f t="shared" si="82"/>
        <v>0</v>
      </c>
      <c r="N886">
        <f t="shared" si="83"/>
        <v>0</v>
      </c>
    </row>
    <row r="887" spans="1:14" x14ac:dyDescent="0.35">
      <c r="A887" t="s">
        <v>481</v>
      </c>
      <c r="B887" t="s">
        <v>2282</v>
      </c>
      <c r="C887" s="7" t="s">
        <v>6</v>
      </c>
      <c r="D887" t="s">
        <v>100</v>
      </c>
      <c r="E887" t="s">
        <v>1840</v>
      </c>
      <c r="F887" t="s">
        <v>1760</v>
      </c>
      <c r="I887">
        <f t="shared" si="78"/>
        <v>0</v>
      </c>
      <c r="J887">
        <f t="shared" si="79"/>
        <v>0</v>
      </c>
      <c r="K887">
        <f t="shared" si="80"/>
        <v>1</v>
      </c>
      <c r="L887">
        <f t="shared" si="81"/>
        <v>0</v>
      </c>
      <c r="M887">
        <f t="shared" si="82"/>
        <v>0</v>
      </c>
      <c r="N887">
        <f t="shared" si="83"/>
        <v>0</v>
      </c>
    </row>
    <row r="888" spans="1:14" x14ac:dyDescent="0.35">
      <c r="A888" t="s">
        <v>481</v>
      </c>
      <c r="B888" t="s">
        <v>2282</v>
      </c>
      <c r="C888" s="7" t="s">
        <v>6</v>
      </c>
      <c r="D888" t="s">
        <v>100</v>
      </c>
      <c r="E888" t="s">
        <v>2053</v>
      </c>
      <c r="F888" t="s">
        <v>1805</v>
      </c>
      <c r="I888">
        <f t="shared" si="78"/>
        <v>0</v>
      </c>
      <c r="J888">
        <f t="shared" si="79"/>
        <v>1</v>
      </c>
      <c r="K888">
        <f t="shared" si="80"/>
        <v>0</v>
      </c>
      <c r="L888">
        <f t="shared" si="81"/>
        <v>0</v>
      </c>
      <c r="M888">
        <f t="shared" si="82"/>
        <v>0</v>
      </c>
      <c r="N888">
        <f t="shared" si="83"/>
        <v>0</v>
      </c>
    </row>
    <row r="889" spans="1:14" x14ac:dyDescent="0.35">
      <c r="A889" t="s">
        <v>1046</v>
      </c>
      <c r="B889" t="s">
        <v>2283</v>
      </c>
      <c r="C889" s="7" t="s">
        <v>6</v>
      </c>
      <c r="D889" t="s">
        <v>100</v>
      </c>
      <c r="E889" t="s">
        <v>1993</v>
      </c>
      <c r="F889" t="s">
        <v>1754</v>
      </c>
      <c r="G889" t="s">
        <v>2284</v>
      </c>
      <c r="H889" t="s">
        <v>2285</v>
      </c>
      <c r="I889">
        <f t="shared" si="78"/>
        <v>0</v>
      </c>
      <c r="J889">
        <f t="shared" si="79"/>
        <v>0</v>
      </c>
      <c r="K889">
        <f t="shared" si="80"/>
        <v>0</v>
      </c>
      <c r="L889">
        <f t="shared" si="81"/>
        <v>1</v>
      </c>
      <c r="M889">
        <f t="shared" si="82"/>
        <v>0</v>
      </c>
      <c r="N889">
        <f t="shared" si="83"/>
        <v>1</v>
      </c>
    </row>
    <row r="890" spans="1:14" x14ac:dyDescent="0.35">
      <c r="A890" t="s">
        <v>1046</v>
      </c>
      <c r="B890" t="s">
        <v>2283</v>
      </c>
      <c r="C890" s="7" t="s">
        <v>6</v>
      </c>
      <c r="D890" t="s">
        <v>100</v>
      </c>
      <c r="E890" t="s">
        <v>1992</v>
      </c>
      <c r="F890" t="s">
        <v>1754</v>
      </c>
      <c r="G890" t="s">
        <v>2284</v>
      </c>
      <c r="H890" t="s">
        <v>2285</v>
      </c>
      <c r="I890">
        <f t="shared" si="78"/>
        <v>0</v>
      </c>
      <c r="J890">
        <f t="shared" si="79"/>
        <v>0</v>
      </c>
      <c r="K890">
        <f t="shared" si="80"/>
        <v>0</v>
      </c>
      <c r="L890">
        <f t="shared" si="81"/>
        <v>1</v>
      </c>
      <c r="M890">
        <f t="shared" si="82"/>
        <v>0</v>
      </c>
      <c r="N890">
        <f t="shared" si="83"/>
        <v>1</v>
      </c>
    </row>
    <row r="891" spans="1:14" x14ac:dyDescent="0.35">
      <c r="A891" t="s">
        <v>1046</v>
      </c>
      <c r="B891" t="s">
        <v>2283</v>
      </c>
      <c r="C891" s="7" t="s">
        <v>6</v>
      </c>
      <c r="D891" t="s">
        <v>100</v>
      </c>
      <c r="E891" t="s">
        <v>1810</v>
      </c>
      <c r="F891" t="s">
        <v>1754</v>
      </c>
      <c r="G891" t="s">
        <v>2284</v>
      </c>
      <c r="H891" t="s">
        <v>2285</v>
      </c>
      <c r="I891">
        <f t="shared" si="78"/>
        <v>0</v>
      </c>
      <c r="J891">
        <f t="shared" si="79"/>
        <v>0</v>
      </c>
      <c r="K891">
        <f t="shared" si="80"/>
        <v>0</v>
      </c>
      <c r="L891">
        <f t="shared" si="81"/>
        <v>1</v>
      </c>
      <c r="M891">
        <f t="shared" si="82"/>
        <v>0</v>
      </c>
      <c r="N891">
        <f t="shared" si="83"/>
        <v>1</v>
      </c>
    </row>
    <row r="892" spans="1:14" x14ac:dyDescent="0.35">
      <c r="A892" t="s">
        <v>1046</v>
      </c>
      <c r="B892" t="s">
        <v>2283</v>
      </c>
      <c r="C892" s="7" t="s">
        <v>6</v>
      </c>
      <c r="D892" t="s">
        <v>100</v>
      </c>
      <c r="E892" t="s">
        <v>1836</v>
      </c>
      <c r="F892" t="s">
        <v>1754</v>
      </c>
      <c r="G892" t="s">
        <v>2284</v>
      </c>
      <c r="H892" t="s">
        <v>2285</v>
      </c>
      <c r="I892">
        <f t="shared" si="78"/>
        <v>0</v>
      </c>
      <c r="J892">
        <f t="shared" si="79"/>
        <v>0</v>
      </c>
      <c r="K892">
        <f t="shared" si="80"/>
        <v>0</v>
      </c>
      <c r="L892">
        <f t="shared" si="81"/>
        <v>1</v>
      </c>
      <c r="M892">
        <f t="shared" si="82"/>
        <v>0</v>
      </c>
      <c r="N892">
        <f t="shared" si="83"/>
        <v>1</v>
      </c>
    </row>
    <row r="893" spans="1:14" x14ac:dyDescent="0.35">
      <c r="A893" t="s">
        <v>1046</v>
      </c>
      <c r="B893" t="s">
        <v>2283</v>
      </c>
      <c r="C893" s="7" t="s">
        <v>6</v>
      </c>
      <c r="D893" t="s">
        <v>100</v>
      </c>
      <c r="E893" t="s">
        <v>1832</v>
      </c>
      <c r="F893" t="s">
        <v>1754</v>
      </c>
      <c r="G893" t="s">
        <v>2284</v>
      </c>
      <c r="H893" t="s">
        <v>2285</v>
      </c>
      <c r="I893">
        <f t="shared" si="78"/>
        <v>0</v>
      </c>
      <c r="J893">
        <f t="shared" si="79"/>
        <v>0</v>
      </c>
      <c r="K893">
        <f t="shared" si="80"/>
        <v>0</v>
      </c>
      <c r="L893">
        <f t="shared" si="81"/>
        <v>1</v>
      </c>
      <c r="M893">
        <f t="shared" si="82"/>
        <v>0</v>
      </c>
      <c r="N893">
        <f t="shared" si="83"/>
        <v>1</v>
      </c>
    </row>
    <row r="894" spans="1:14" x14ac:dyDescent="0.35">
      <c r="A894" t="s">
        <v>1046</v>
      </c>
      <c r="B894" t="s">
        <v>2283</v>
      </c>
      <c r="C894" s="7" t="s">
        <v>6</v>
      </c>
      <c r="D894" t="s">
        <v>100</v>
      </c>
      <c r="E894" t="s">
        <v>2057</v>
      </c>
      <c r="F894" t="s">
        <v>1754</v>
      </c>
      <c r="G894" t="s">
        <v>2284</v>
      </c>
      <c r="H894" t="s">
        <v>2285</v>
      </c>
      <c r="I894">
        <f t="shared" si="78"/>
        <v>0</v>
      </c>
      <c r="J894">
        <f t="shared" si="79"/>
        <v>0</v>
      </c>
      <c r="K894">
        <f t="shared" si="80"/>
        <v>0</v>
      </c>
      <c r="L894">
        <f t="shared" si="81"/>
        <v>1</v>
      </c>
      <c r="M894">
        <f t="shared" si="82"/>
        <v>0</v>
      </c>
      <c r="N894">
        <f t="shared" si="83"/>
        <v>1</v>
      </c>
    </row>
    <row r="895" spans="1:14" x14ac:dyDescent="0.35">
      <c r="A895" t="s">
        <v>1046</v>
      </c>
      <c r="B895" t="s">
        <v>2283</v>
      </c>
      <c r="C895" s="7" t="s">
        <v>6</v>
      </c>
      <c r="D895" t="s">
        <v>100</v>
      </c>
      <c r="E895" t="s">
        <v>2058</v>
      </c>
      <c r="F895" t="s">
        <v>1754</v>
      </c>
      <c r="G895" t="s">
        <v>2284</v>
      </c>
      <c r="H895" t="s">
        <v>2285</v>
      </c>
      <c r="I895">
        <f t="shared" si="78"/>
        <v>0</v>
      </c>
      <c r="J895">
        <f t="shared" si="79"/>
        <v>0</v>
      </c>
      <c r="K895">
        <f t="shared" si="80"/>
        <v>0</v>
      </c>
      <c r="L895">
        <f t="shared" si="81"/>
        <v>1</v>
      </c>
      <c r="M895">
        <f t="shared" si="82"/>
        <v>0</v>
      </c>
      <c r="N895">
        <f t="shared" si="83"/>
        <v>1</v>
      </c>
    </row>
    <row r="896" spans="1:14" x14ac:dyDescent="0.35">
      <c r="A896" t="s">
        <v>766</v>
      </c>
      <c r="B896" t="s">
        <v>2286</v>
      </c>
      <c r="C896" s="7" t="s">
        <v>6</v>
      </c>
      <c r="D896" t="s">
        <v>55</v>
      </c>
      <c r="E896" t="s">
        <v>1956</v>
      </c>
      <c r="F896" t="s">
        <v>1760</v>
      </c>
      <c r="I896">
        <f t="shared" si="78"/>
        <v>0</v>
      </c>
      <c r="J896">
        <f t="shared" si="79"/>
        <v>0</v>
      </c>
      <c r="K896">
        <f t="shared" si="80"/>
        <v>1</v>
      </c>
      <c r="L896">
        <f t="shared" si="81"/>
        <v>0</v>
      </c>
      <c r="M896">
        <f t="shared" si="82"/>
        <v>0</v>
      </c>
      <c r="N896">
        <f t="shared" si="83"/>
        <v>0</v>
      </c>
    </row>
    <row r="897" spans="1:14" x14ac:dyDescent="0.35">
      <c r="A897" t="s">
        <v>268</v>
      </c>
      <c r="B897" t="s">
        <v>2287</v>
      </c>
      <c r="C897" s="7" t="s">
        <v>6</v>
      </c>
      <c r="D897" t="s">
        <v>270</v>
      </c>
      <c r="E897" t="s">
        <v>2000</v>
      </c>
      <c r="F897" t="s">
        <v>1886</v>
      </c>
      <c r="I897">
        <f t="shared" si="78"/>
        <v>0</v>
      </c>
      <c r="J897">
        <f t="shared" si="79"/>
        <v>0</v>
      </c>
      <c r="K897">
        <f t="shared" si="80"/>
        <v>0</v>
      </c>
      <c r="L897">
        <f t="shared" si="81"/>
        <v>0</v>
      </c>
      <c r="M897">
        <f t="shared" si="82"/>
        <v>0</v>
      </c>
      <c r="N897">
        <f t="shared" si="83"/>
        <v>0</v>
      </c>
    </row>
    <row r="898" spans="1:14" x14ac:dyDescent="0.35">
      <c r="A898" t="s">
        <v>1279</v>
      </c>
      <c r="B898" t="s">
        <v>2288</v>
      </c>
      <c r="C898" s="7" t="s">
        <v>6</v>
      </c>
      <c r="D898" t="s">
        <v>55</v>
      </c>
      <c r="E898" t="s">
        <v>1952</v>
      </c>
      <c r="F898" t="s">
        <v>1754</v>
      </c>
      <c r="I898">
        <f t="shared" si="78"/>
        <v>0</v>
      </c>
      <c r="J898">
        <f t="shared" si="79"/>
        <v>0</v>
      </c>
      <c r="K898">
        <f t="shared" si="80"/>
        <v>0</v>
      </c>
      <c r="L898">
        <f t="shared" si="81"/>
        <v>1</v>
      </c>
      <c r="M898">
        <f t="shared" si="82"/>
        <v>0</v>
      </c>
      <c r="N898">
        <f t="shared" si="83"/>
        <v>0</v>
      </c>
    </row>
    <row r="899" spans="1:14" x14ac:dyDescent="0.35">
      <c r="A899" t="s">
        <v>1279</v>
      </c>
      <c r="B899" t="s">
        <v>2288</v>
      </c>
      <c r="C899" s="7" t="s">
        <v>6</v>
      </c>
      <c r="D899" t="s">
        <v>55</v>
      </c>
      <c r="E899" t="s">
        <v>1950</v>
      </c>
      <c r="F899" t="s">
        <v>1754</v>
      </c>
      <c r="I899">
        <f t="shared" ref="I899:I962" si="84">IF($F899=$F$1,1,0)</f>
        <v>0</v>
      </c>
      <c r="J899">
        <f t="shared" ref="J899:J962" si="85">IF($F899=$J$1,1,0)</f>
        <v>0</v>
      </c>
      <c r="K899">
        <f t="shared" ref="K899:K962" si="86">IF($F899=$K$1,1,0)</f>
        <v>0</v>
      </c>
      <c r="L899">
        <f t="shared" ref="L899:L962" si="87">IF($F899=$L$1,1,0)</f>
        <v>1</v>
      </c>
      <c r="M899">
        <f t="shared" ref="M899:M962" si="88">IF($F899=$M$1,1,0)</f>
        <v>0</v>
      </c>
      <c r="N899">
        <f t="shared" ref="N899:N962" si="89">IF($G899&lt;&gt;"",1,0)</f>
        <v>0</v>
      </c>
    </row>
    <row r="900" spans="1:14" x14ac:dyDescent="0.35">
      <c r="A900" t="s">
        <v>434</v>
      </c>
      <c r="B900" t="s">
        <v>2289</v>
      </c>
      <c r="C900" s="7" t="s">
        <v>6</v>
      </c>
      <c r="D900" t="s">
        <v>155</v>
      </c>
      <c r="E900" t="s">
        <v>1836</v>
      </c>
      <c r="F900" t="s">
        <v>1754</v>
      </c>
      <c r="I900">
        <f t="shared" si="84"/>
        <v>0</v>
      </c>
      <c r="J900">
        <f t="shared" si="85"/>
        <v>0</v>
      </c>
      <c r="K900">
        <f t="shared" si="86"/>
        <v>0</v>
      </c>
      <c r="L900">
        <f t="shared" si="87"/>
        <v>1</v>
      </c>
      <c r="M900">
        <f t="shared" si="88"/>
        <v>0</v>
      </c>
      <c r="N900">
        <f t="shared" si="89"/>
        <v>0</v>
      </c>
    </row>
    <row r="901" spans="1:14" x14ac:dyDescent="0.35">
      <c r="A901" t="s">
        <v>434</v>
      </c>
      <c r="B901" t="s">
        <v>2289</v>
      </c>
      <c r="C901" s="7" t="s">
        <v>6</v>
      </c>
      <c r="D901" t="s">
        <v>155</v>
      </c>
      <c r="E901" t="s">
        <v>1992</v>
      </c>
      <c r="F901" t="s">
        <v>1754</v>
      </c>
      <c r="I901">
        <f t="shared" si="84"/>
        <v>0</v>
      </c>
      <c r="J901">
        <f t="shared" si="85"/>
        <v>0</v>
      </c>
      <c r="K901">
        <f t="shared" si="86"/>
        <v>0</v>
      </c>
      <c r="L901">
        <f t="shared" si="87"/>
        <v>1</v>
      </c>
      <c r="M901">
        <f t="shared" si="88"/>
        <v>0</v>
      </c>
      <c r="N901">
        <f t="shared" si="89"/>
        <v>0</v>
      </c>
    </row>
    <row r="902" spans="1:14" x14ac:dyDescent="0.35">
      <c r="A902" t="s">
        <v>434</v>
      </c>
      <c r="B902" t="s">
        <v>2289</v>
      </c>
      <c r="C902" s="7" t="s">
        <v>6</v>
      </c>
      <c r="D902" t="s">
        <v>155</v>
      </c>
      <c r="E902" t="s">
        <v>1993</v>
      </c>
      <c r="F902" t="s">
        <v>1754</v>
      </c>
      <c r="I902">
        <f t="shared" si="84"/>
        <v>0</v>
      </c>
      <c r="J902">
        <f t="shared" si="85"/>
        <v>0</v>
      </c>
      <c r="K902">
        <f t="shared" si="86"/>
        <v>0</v>
      </c>
      <c r="L902">
        <f t="shared" si="87"/>
        <v>1</v>
      </c>
      <c r="M902">
        <f t="shared" si="88"/>
        <v>0</v>
      </c>
      <c r="N902">
        <f t="shared" si="89"/>
        <v>0</v>
      </c>
    </row>
    <row r="903" spans="1:14" x14ac:dyDescent="0.35">
      <c r="A903" t="s">
        <v>434</v>
      </c>
      <c r="B903" t="s">
        <v>2289</v>
      </c>
      <c r="C903" s="7" t="s">
        <v>6</v>
      </c>
      <c r="D903" t="s">
        <v>155</v>
      </c>
      <c r="E903" t="s">
        <v>1832</v>
      </c>
      <c r="F903" t="s">
        <v>1754</v>
      </c>
      <c r="I903">
        <f t="shared" si="84"/>
        <v>0</v>
      </c>
      <c r="J903">
        <f t="shared" si="85"/>
        <v>0</v>
      </c>
      <c r="K903">
        <f t="shared" si="86"/>
        <v>0</v>
      </c>
      <c r="L903">
        <f t="shared" si="87"/>
        <v>1</v>
      </c>
      <c r="M903">
        <f t="shared" si="88"/>
        <v>0</v>
      </c>
      <c r="N903">
        <f t="shared" si="89"/>
        <v>0</v>
      </c>
    </row>
    <row r="904" spans="1:14" x14ac:dyDescent="0.35">
      <c r="A904" t="s">
        <v>1052</v>
      </c>
      <c r="B904" t="s">
        <v>2290</v>
      </c>
      <c r="C904" s="7" t="s">
        <v>6</v>
      </c>
      <c r="D904" t="s">
        <v>155</v>
      </c>
      <c r="E904" t="s">
        <v>1992</v>
      </c>
      <c r="F904" t="s">
        <v>1754</v>
      </c>
      <c r="I904">
        <f t="shared" si="84"/>
        <v>0</v>
      </c>
      <c r="J904">
        <f t="shared" si="85"/>
        <v>0</v>
      </c>
      <c r="K904">
        <f t="shared" si="86"/>
        <v>0</v>
      </c>
      <c r="L904">
        <f t="shared" si="87"/>
        <v>1</v>
      </c>
      <c r="M904">
        <f t="shared" si="88"/>
        <v>0</v>
      </c>
      <c r="N904">
        <f t="shared" si="89"/>
        <v>0</v>
      </c>
    </row>
    <row r="905" spans="1:14" x14ac:dyDescent="0.35">
      <c r="A905" t="s">
        <v>1052</v>
      </c>
      <c r="B905" t="s">
        <v>2290</v>
      </c>
      <c r="C905" s="7" t="s">
        <v>6</v>
      </c>
      <c r="D905" t="s">
        <v>155</v>
      </c>
      <c r="E905" t="s">
        <v>1993</v>
      </c>
      <c r="F905" t="s">
        <v>1754</v>
      </c>
      <c r="I905">
        <f t="shared" si="84"/>
        <v>0</v>
      </c>
      <c r="J905">
        <f t="shared" si="85"/>
        <v>0</v>
      </c>
      <c r="K905">
        <f t="shared" si="86"/>
        <v>0</v>
      </c>
      <c r="L905">
        <f t="shared" si="87"/>
        <v>1</v>
      </c>
      <c r="M905">
        <f t="shared" si="88"/>
        <v>0</v>
      </c>
      <c r="N905">
        <f t="shared" si="89"/>
        <v>0</v>
      </c>
    </row>
    <row r="906" spans="1:14" x14ac:dyDescent="0.35">
      <c r="A906" t="s">
        <v>1052</v>
      </c>
      <c r="B906" t="s">
        <v>2290</v>
      </c>
      <c r="C906" s="7" t="s">
        <v>6</v>
      </c>
      <c r="D906" t="s">
        <v>155</v>
      </c>
      <c r="E906" t="s">
        <v>1836</v>
      </c>
      <c r="F906" t="s">
        <v>1754</v>
      </c>
      <c r="I906">
        <f t="shared" si="84"/>
        <v>0</v>
      </c>
      <c r="J906">
        <f t="shared" si="85"/>
        <v>0</v>
      </c>
      <c r="K906">
        <f t="shared" si="86"/>
        <v>0</v>
      </c>
      <c r="L906">
        <f t="shared" si="87"/>
        <v>1</v>
      </c>
      <c r="M906">
        <f t="shared" si="88"/>
        <v>0</v>
      </c>
      <c r="N906">
        <f t="shared" si="89"/>
        <v>0</v>
      </c>
    </row>
    <row r="907" spans="1:14" x14ac:dyDescent="0.35">
      <c r="A907" t="s">
        <v>1052</v>
      </c>
      <c r="B907" t="s">
        <v>2290</v>
      </c>
      <c r="C907" s="7" t="s">
        <v>6</v>
      </c>
      <c r="D907" t="s">
        <v>155</v>
      </c>
      <c r="E907" t="s">
        <v>1832</v>
      </c>
      <c r="F907" t="s">
        <v>1754</v>
      </c>
      <c r="I907">
        <f t="shared" si="84"/>
        <v>0</v>
      </c>
      <c r="J907">
        <f t="shared" si="85"/>
        <v>0</v>
      </c>
      <c r="K907">
        <f t="shared" si="86"/>
        <v>0</v>
      </c>
      <c r="L907">
        <f t="shared" si="87"/>
        <v>1</v>
      </c>
      <c r="M907">
        <f t="shared" si="88"/>
        <v>0</v>
      </c>
      <c r="N907">
        <f t="shared" si="89"/>
        <v>0</v>
      </c>
    </row>
    <row r="908" spans="1:14" x14ac:dyDescent="0.35">
      <c r="A908" t="s">
        <v>954</v>
      </c>
      <c r="B908" t="s">
        <v>1763</v>
      </c>
      <c r="C908" s="7" t="s">
        <v>9</v>
      </c>
      <c r="D908" t="s">
        <v>55</v>
      </c>
      <c r="E908" t="s">
        <v>1896</v>
      </c>
      <c r="F908" t="s">
        <v>1754</v>
      </c>
      <c r="I908">
        <f t="shared" si="84"/>
        <v>0</v>
      </c>
      <c r="J908">
        <f t="shared" si="85"/>
        <v>0</v>
      </c>
      <c r="K908">
        <f t="shared" si="86"/>
        <v>0</v>
      </c>
      <c r="L908">
        <f t="shared" si="87"/>
        <v>1</v>
      </c>
      <c r="M908">
        <f t="shared" si="88"/>
        <v>0</v>
      </c>
      <c r="N908">
        <f t="shared" si="89"/>
        <v>0</v>
      </c>
    </row>
    <row r="909" spans="1:14" x14ac:dyDescent="0.35">
      <c r="A909" t="s">
        <v>954</v>
      </c>
      <c r="B909" t="s">
        <v>1763</v>
      </c>
      <c r="C909" s="7" t="s">
        <v>9</v>
      </c>
      <c r="D909" t="s">
        <v>55</v>
      </c>
      <c r="E909" t="s">
        <v>1894</v>
      </c>
      <c r="F909" t="s">
        <v>1754</v>
      </c>
      <c r="I909">
        <f t="shared" si="84"/>
        <v>0</v>
      </c>
      <c r="J909">
        <f t="shared" si="85"/>
        <v>0</v>
      </c>
      <c r="K909">
        <f t="shared" si="86"/>
        <v>0</v>
      </c>
      <c r="L909">
        <f t="shared" si="87"/>
        <v>1</v>
      </c>
      <c r="M909">
        <f t="shared" si="88"/>
        <v>0</v>
      </c>
      <c r="N909">
        <f t="shared" si="89"/>
        <v>0</v>
      </c>
    </row>
    <row r="910" spans="1:14" x14ac:dyDescent="0.35">
      <c r="A910" t="s">
        <v>954</v>
      </c>
      <c r="B910" t="s">
        <v>1763</v>
      </c>
      <c r="C910" s="7" t="s">
        <v>9</v>
      </c>
      <c r="D910" t="s">
        <v>55</v>
      </c>
      <c r="E910" t="s">
        <v>1854</v>
      </c>
      <c r="F910" t="s">
        <v>1754</v>
      </c>
      <c r="I910">
        <f t="shared" si="84"/>
        <v>0</v>
      </c>
      <c r="J910">
        <f t="shared" si="85"/>
        <v>0</v>
      </c>
      <c r="K910">
        <f t="shared" si="86"/>
        <v>0</v>
      </c>
      <c r="L910">
        <f t="shared" si="87"/>
        <v>1</v>
      </c>
      <c r="M910">
        <f t="shared" si="88"/>
        <v>0</v>
      </c>
      <c r="N910">
        <f t="shared" si="89"/>
        <v>0</v>
      </c>
    </row>
    <row r="911" spans="1:14" x14ac:dyDescent="0.35">
      <c r="A911" t="s">
        <v>954</v>
      </c>
      <c r="B911" t="s">
        <v>1763</v>
      </c>
      <c r="C911" s="7" t="s">
        <v>9</v>
      </c>
      <c r="D911" t="s">
        <v>55</v>
      </c>
      <c r="E911" t="s">
        <v>2042</v>
      </c>
      <c r="F911" t="s">
        <v>1754</v>
      </c>
      <c r="I911">
        <f t="shared" si="84"/>
        <v>0</v>
      </c>
      <c r="J911">
        <f t="shared" si="85"/>
        <v>0</v>
      </c>
      <c r="K911">
        <f t="shared" si="86"/>
        <v>0</v>
      </c>
      <c r="L911">
        <f t="shared" si="87"/>
        <v>1</v>
      </c>
      <c r="M911">
        <f t="shared" si="88"/>
        <v>0</v>
      </c>
      <c r="N911">
        <f t="shared" si="89"/>
        <v>0</v>
      </c>
    </row>
    <row r="912" spans="1:14" x14ac:dyDescent="0.35">
      <c r="A912" t="s">
        <v>954</v>
      </c>
      <c r="B912" t="s">
        <v>1763</v>
      </c>
      <c r="C912" s="7" t="s">
        <v>9</v>
      </c>
      <c r="D912" t="s">
        <v>55</v>
      </c>
      <c r="E912" t="s">
        <v>1932</v>
      </c>
      <c r="F912" t="s">
        <v>1727</v>
      </c>
      <c r="I912">
        <f t="shared" si="84"/>
        <v>0</v>
      </c>
      <c r="J912">
        <f t="shared" si="85"/>
        <v>0</v>
      </c>
      <c r="K912">
        <f t="shared" si="86"/>
        <v>0</v>
      </c>
      <c r="L912">
        <f t="shared" si="87"/>
        <v>0</v>
      </c>
      <c r="M912">
        <f t="shared" si="88"/>
        <v>1</v>
      </c>
      <c r="N912">
        <f t="shared" si="89"/>
        <v>0</v>
      </c>
    </row>
    <row r="913" spans="1:14" x14ac:dyDescent="0.35">
      <c r="A913" t="s">
        <v>954</v>
      </c>
      <c r="B913" t="s">
        <v>1763</v>
      </c>
      <c r="C913" s="7" t="s">
        <v>9</v>
      </c>
      <c r="D913" t="s">
        <v>55</v>
      </c>
      <c r="E913" t="s">
        <v>2062</v>
      </c>
      <c r="F913" t="s">
        <v>1727</v>
      </c>
      <c r="I913">
        <f t="shared" si="84"/>
        <v>0</v>
      </c>
      <c r="J913">
        <f t="shared" si="85"/>
        <v>0</v>
      </c>
      <c r="K913">
        <f t="shared" si="86"/>
        <v>0</v>
      </c>
      <c r="L913">
        <f t="shared" si="87"/>
        <v>0</v>
      </c>
      <c r="M913">
        <f t="shared" si="88"/>
        <v>1</v>
      </c>
      <c r="N913">
        <f t="shared" si="89"/>
        <v>0</v>
      </c>
    </row>
    <row r="914" spans="1:14" x14ac:dyDescent="0.35">
      <c r="A914" t="s">
        <v>126</v>
      </c>
      <c r="B914" t="s">
        <v>2291</v>
      </c>
      <c r="C914" s="7" t="s">
        <v>9</v>
      </c>
      <c r="D914" t="s">
        <v>55</v>
      </c>
      <c r="E914" t="s">
        <v>2042</v>
      </c>
      <c r="F914" t="s">
        <v>1754</v>
      </c>
      <c r="I914">
        <f t="shared" si="84"/>
        <v>0</v>
      </c>
      <c r="J914">
        <f t="shared" si="85"/>
        <v>0</v>
      </c>
      <c r="K914">
        <f t="shared" si="86"/>
        <v>0</v>
      </c>
      <c r="L914">
        <f t="shared" si="87"/>
        <v>1</v>
      </c>
      <c r="M914">
        <f t="shared" si="88"/>
        <v>0</v>
      </c>
      <c r="N914">
        <f t="shared" si="89"/>
        <v>0</v>
      </c>
    </row>
    <row r="915" spans="1:14" x14ac:dyDescent="0.35">
      <c r="A915" t="s">
        <v>126</v>
      </c>
      <c r="B915" t="s">
        <v>2291</v>
      </c>
      <c r="C915" s="7" t="s">
        <v>9</v>
      </c>
      <c r="D915" t="s">
        <v>55</v>
      </c>
      <c r="E915" t="s">
        <v>1910</v>
      </c>
      <c r="F915" t="s">
        <v>1754</v>
      </c>
      <c r="I915">
        <f t="shared" si="84"/>
        <v>0</v>
      </c>
      <c r="J915">
        <f t="shared" si="85"/>
        <v>0</v>
      </c>
      <c r="K915">
        <f t="shared" si="86"/>
        <v>0</v>
      </c>
      <c r="L915">
        <f t="shared" si="87"/>
        <v>1</v>
      </c>
      <c r="M915">
        <f t="shared" si="88"/>
        <v>0</v>
      </c>
      <c r="N915">
        <f t="shared" si="89"/>
        <v>0</v>
      </c>
    </row>
    <row r="916" spans="1:14" x14ac:dyDescent="0.35">
      <c r="A916" t="s">
        <v>126</v>
      </c>
      <c r="B916" t="s">
        <v>2291</v>
      </c>
      <c r="C916" s="7" t="s">
        <v>9</v>
      </c>
      <c r="D916" t="s">
        <v>55</v>
      </c>
      <c r="E916" t="s">
        <v>1911</v>
      </c>
      <c r="F916" t="s">
        <v>1754</v>
      </c>
      <c r="I916">
        <f t="shared" si="84"/>
        <v>0</v>
      </c>
      <c r="J916">
        <f t="shared" si="85"/>
        <v>0</v>
      </c>
      <c r="K916">
        <f t="shared" si="86"/>
        <v>0</v>
      </c>
      <c r="L916">
        <f t="shared" si="87"/>
        <v>1</v>
      </c>
      <c r="M916">
        <f t="shared" si="88"/>
        <v>0</v>
      </c>
      <c r="N916">
        <f t="shared" si="89"/>
        <v>0</v>
      </c>
    </row>
    <row r="917" spans="1:14" x14ac:dyDescent="0.35">
      <c r="A917" t="s">
        <v>126</v>
      </c>
      <c r="B917" t="s">
        <v>2291</v>
      </c>
      <c r="C917" s="7" t="s">
        <v>9</v>
      </c>
      <c r="D917" t="s">
        <v>55</v>
      </c>
      <c r="E917" t="s">
        <v>1894</v>
      </c>
      <c r="F917" t="s">
        <v>1754</v>
      </c>
      <c r="I917">
        <f t="shared" si="84"/>
        <v>0</v>
      </c>
      <c r="J917">
        <f t="shared" si="85"/>
        <v>0</v>
      </c>
      <c r="K917">
        <f t="shared" si="86"/>
        <v>0</v>
      </c>
      <c r="L917">
        <f t="shared" si="87"/>
        <v>1</v>
      </c>
      <c r="M917">
        <f t="shared" si="88"/>
        <v>0</v>
      </c>
      <c r="N917">
        <f t="shared" si="89"/>
        <v>0</v>
      </c>
    </row>
    <row r="918" spans="1:14" x14ac:dyDescent="0.35">
      <c r="A918" t="s">
        <v>126</v>
      </c>
      <c r="B918" t="s">
        <v>2291</v>
      </c>
      <c r="C918" s="7" t="s">
        <v>9</v>
      </c>
      <c r="D918" t="s">
        <v>55</v>
      </c>
      <c r="E918" t="s">
        <v>1896</v>
      </c>
      <c r="F918" t="s">
        <v>1754</v>
      </c>
      <c r="I918">
        <f t="shared" si="84"/>
        <v>0</v>
      </c>
      <c r="J918">
        <f t="shared" si="85"/>
        <v>0</v>
      </c>
      <c r="K918">
        <f t="shared" si="86"/>
        <v>0</v>
      </c>
      <c r="L918">
        <f t="shared" si="87"/>
        <v>1</v>
      </c>
      <c r="M918">
        <f t="shared" si="88"/>
        <v>0</v>
      </c>
      <c r="N918">
        <f t="shared" si="89"/>
        <v>0</v>
      </c>
    </row>
    <row r="919" spans="1:14" x14ac:dyDescent="0.35">
      <c r="A919" t="s">
        <v>126</v>
      </c>
      <c r="B919" t="s">
        <v>2291</v>
      </c>
      <c r="C919" s="7" t="s">
        <v>9</v>
      </c>
      <c r="D919" t="s">
        <v>55</v>
      </c>
      <c r="E919" t="s">
        <v>1854</v>
      </c>
      <c r="F919" t="s">
        <v>1754</v>
      </c>
      <c r="I919">
        <f t="shared" si="84"/>
        <v>0</v>
      </c>
      <c r="J919">
        <f t="shared" si="85"/>
        <v>0</v>
      </c>
      <c r="K919">
        <f t="shared" si="86"/>
        <v>0</v>
      </c>
      <c r="L919">
        <f t="shared" si="87"/>
        <v>1</v>
      </c>
      <c r="M919">
        <f t="shared" si="88"/>
        <v>0</v>
      </c>
      <c r="N919">
        <f t="shared" si="89"/>
        <v>0</v>
      </c>
    </row>
    <row r="920" spans="1:14" x14ac:dyDescent="0.35">
      <c r="A920" t="s">
        <v>1052</v>
      </c>
      <c r="B920" t="s">
        <v>2290</v>
      </c>
      <c r="C920" s="7" t="s">
        <v>9</v>
      </c>
      <c r="D920" t="s">
        <v>189</v>
      </c>
      <c r="E920" t="s">
        <v>1992</v>
      </c>
      <c r="F920" t="s">
        <v>1754</v>
      </c>
      <c r="G920" t="s">
        <v>2292</v>
      </c>
      <c r="H920" t="s">
        <v>2293</v>
      </c>
      <c r="I920">
        <f t="shared" si="84"/>
        <v>0</v>
      </c>
      <c r="J920">
        <f t="shared" si="85"/>
        <v>0</v>
      </c>
      <c r="K920">
        <f t="shared" si="86"/>
        <v>0</v>
      </c>
      <c r="L920">
        <f t="shared" si="87"/>
        <v>1</v>
      </c>
      <c r="M920">
        <f t="shared" si="88"/>
        <v>0</v>
      </c>
      <c r="N920">
        <f t="shared" si="89"/>
        <v>1</v>
      </c>
    </row>
    <row r="921" spans="1:14" x14ac:dyDescent="0.35">
      <c r="A921" t="s">
        <v>1052</v>
      </c>
      <c r="B921" t="s">
        <v>2290</v>
      </c>
      <c r="C921" s="7" t="s">
        <v>9</v>
      </c>
      <c r="D921" t="s">
        <v>189</v>
      </c>
      <c r="E921" t="s">
        <v>1993</v>
      </c>
      <c r="F921" t="s">
        <v>1754</v>
      </c>
      <c r="G921" t="s">
        <v>2292</v>
      </c>
      <c r="H921" t="s">
        <v>2293</v>
      </c>
      <c r="I921">
        <f t="shared" si="84"/>
        <v>0</v>
      </c>
      <c r="J921">
        <f t="shared" si="85"/>
        <v>0</v>
      </c>
      <c r="K921">
        <f t="shared" si="86"/>
        <v>0</v>
      </c>
      <c r="L921">
        <f t="shared" si="87"/>
        <v>1</v>
      </c>
      <c r="M921">
        <f t="shared" si="88"/>
        <v>0</v>
      </c>
      <c r="N921">
        <f t="shared" si="89"/>
        <v>1</v>
      </c>
    </row>
    <row r="922" spans="1:14" x14ac:dyDescent="0.35">
      <c r="A922" t="s">
        <v>1052</v>
      </c>
      <c r="B922" t="s">
        <v>2290</v>
      </c>
      <c r="C922" s="7" t="s">
        <v>9</v>
      </c>
      <c r="D922" t="s">
        <v>189</v>
      </c>
      <c r="E922" t="s">
        <v>1836</v>
      </c>
      <c r="F922" t="s">
        <v>1754</v>
      </c>
      <c r="G922" t="s">
        <v>2292</v>
      </c>
      <c r="H922" t="s">
        <v>2293</v>
      </c>
      <c r="I922">
        <f t="shared" si="84"/>
        <v>0</v>
      </c>
      <c r="J922">
        <f t="shared" si="85"/>
        <v>0</v>
      </c>
      <c r="K922">
        <f t="shared" si="86"/>
        <v>0</v>
      </c>
      <c r="L922">
        <f t="shared" si="87"/>
        <v>1</v>
      </c>
      <c r="M922">
        <f t="shared" si="88"/>
        <v>0</v>
      </c>
      <c r="N922">
        <f t="shared" si="89"/>
        <v>1</v>
      </c>
    </row>
    <row r="923" spans="1:14" x14ac:dyDescent="0.35">
      <c r="A923" t="s">
        <v>1052</v>
      </c>
      <c r="B923" t="s">
        <v>2290</v>
      </c>
      <c r="C923" s="7" t="s">
        <v>9</v>
      </c>
      <c r="D923" t="s">
        <v>189</v>
      </c>
      <c r="E923" t="s">
        <v>1832</v>
      </c>
      <c r="F923" t="s">
        <v>1754</v>
      </c>
      <c r="G923" t="s">
        <v>2292</v>
      </c>
      <c r="H923" t="s">
        <v>2293</v>
      </c>
      <c r="I923">
        <f t="shared" si="84"/>
        <v>0</v>
      </c>
      <c r="J923">
        <f t="shared" si="85"/>
        <v>0</v>
      </c>
      <c r="K923">
        <f t="shared" si="86"/>
        <v>0</v>
      </c>
      <c r="L923">
        <f t="shared" si="87"/>
        <v>1</v>
      </c>
      <c r="M923">
        <f t="shared" si="88"/>
        <v>0</v>
      </c>
      <c r="N923">
        <f t="shared" si="89"/>
        <v>1</v>
      </c>
    </row>
    <row r="924" spans="1:14" x14ac:dyDescent="0.35">
      <c r="A924" t="s">
        <v>1543</v>
      </c>
      <c r="B924" t="s">
        <v>2156</v>
      </c>
      <c r="C924" s="7" t="s">
        <v>9</v>
      </c>
      <c r="D924" t="s">
        <v>97</v>
      </c>
      <c r="E924" t="s">
        <v>1963</v>
      </c>
      <c r="F924" t="s">
        <v>1760</v>
      </c>
      <c r="G924" t="s">
        <v>2294</v>
      </c>
      <c r="H924" t="s">
        <v>2295</v>
      </c>
      <c r="I924">
        <f t="shared" si="84"/>
        <v>0</v>
      </c>
      <c r="J924">
        <f t="shared" si="85"/>
        <v>0</v>
      </c>
      <c r="K924">
        <f t="shared" si="86"/>
        <v>1</v>
      </c>
      <c r="L924">
        <f t="shared" si="87"/>
        <v>0</v>
      </c>
      <c r="M924">
        <f t="shared" si="88"/>
        <v>0</v>
      </c>
      <c r="N924">
        <f t="shared" si="89"/>
        <v>1</v>
      </c>
    </row>
    <row r="925" spans="1:14" x14ac:dyDescent="0.35">
      <c r="A925" t="s">
        <v>1543</v>
      </c>
      <c r="B925" t="s">
        <v>2156</v>
      </c>
      <c r="C925" s="7" t="s">
        <v>9</v>
      </c>
      <c r="D925" t="s">
        <v>97</v>
      </c>
      <c r="E925" t="s">
        <v>1968</v>
      </c>
      <c r="F925" t="s">
        <v>1760</v>
      </c>
      <c r="G925" t="s">
        <v>2294</v>
      </c>
      <c r="H925" t="s">
        <v>2295</v>
      </c>
      <c r="I925">
        <f t="shared" si="84"/>
        <v>0</v>
      </c>
      <c r="J925">
        <f t="shared" si="85"/>
        <v>0</v>
      </c>
      <c r="K925">
        <f t="shared" si="86"/>
        <v>1</v>
      </c>
      <c r="L925">
        <f t="shared" si="87"/>
        <v>0</v>
      </c>
      <c r="M925">
        <f t="shared" si="88"/>
        <v>0</v>
      </c>
      <c r="N925">
        <f t="shared" si="89"/>
        <v>1</v>
      </c>
    </row>
    <row r="926" spans="1:14" x14ac:dyDescent="0.35">
      <c r="A926" t="s">
        <v>1140</v>
      </c>
      <c r="B926" t="s">
        <v>2296</v>
      </c>
      <c r="C926" s="7" t="s">
        <v>9</v>
      </c>
      <c r="D926" t="s">
        <v>92</v>
      </c>
      <c r="E926" t="s">
        <v>1928</v>
      </c>
      <c r="F926" t="s">
        <v>1754</v>
      </c>
      <c r="I926">
        <f t="shared" si="84"/>
        <v>0</v>
      </c>
      <c r="J926">
        <f t="shared" si="85"/>
        <v>0</v>
      </c>
      <c r="K926">
        <f t="shared" si="86"/>
        <v>0</v>
      </c>
      <c r="L926">
        <f t="shared" si="87"/>
        <v>1</v>
      </c>
      <c r="M926">
        <f t="shared" si="88"/>
        <v>0</v>
      </c>
      <c r="N926">
        <f t="shared" si="89"/>
        <v>0</v>
      </c>
    </row>
    <row r="927" spans="1:14" x14ac:dyDescent="0.35">
      <c r="A927" t="s">
        <v>1140</v>
      </c>
      <c r="B927" t="s">
        <v>2296</v>
      </c>
      <c r="C927" s="7" t="s">
        <v>9</v>
      </c>
      <c r="D927" t="s">
        <v>92</v>
      </c>
      <c r="E927" t="s">
        <v>1931</v>
      </c>
      <c r="F927" t="s">
        <v>1754</v>
      </c>
      <c r="I927">
        <f t="shared" si="84"/>
        <v>0</v>
      </c>
      <c r="J927">
        <f t="shared" si="85"/>
        <v>0</v>
      </c>
      <c r="K927">
        <f t="shared" si="86"/>
        <v>0</v>
      </c>
      <c r="L927">
        <f t="shared" si="87"/>
        <v>1</v>
      </c>
      <c r="M927">
        <f t="shared" si="88"/>
        <v>0</v>
      </c>
      <c r="N927">
        <f t="shared" si="89"/>
        <v>0</v>
      </c>
    </row>
    <row r="928" spans="1:14" x14ac:dyDescent="0.35">
      <c r="A928" t="s">
        <v>717</v>
      </c>
      <c r="B928" t="s">
        <v>2297</v>
      </c>
      <c r="C928" s="7" t="s">
        <v>9</v>
      </c>
      <c r="D928" t="s">
        <v>718</v>
      </c>
      <c r="E928" t="s">
        <v>1894</v>
      </c>
      <c r="F928" t="s">
        <v>1754</v>
      </c>
      <c r="I928">
        <f t="shared" si="84"/>
        <v>0</v>
      </c>
      <c r="J928">
        <f t="shared" si="85"/>
        <v>0</v>
      </c>
      <c r="K928">
        <f t="shared" si="86"/>
        <v>0</v>
      </c>
      <c r="L928">
        <f t="shared" si="87"/>
        <v>1</v>
      </c>
      <c r="M928">
        <f t="shared" si="88"/>
        <v>0</v>
      </c>
      <c r="N928">
        <f t="shared" si="89"/>
        <v>0</v>
      </c>
    </row>
    <row r="929" spans="1:14" x14ac:dyDescent="0.35">
      <c r="A929" t="s">
        <v>717</v>
      </c>
      <c r="B929" t="s">
        <v>2297</v>
      </c>
      <c r="C929" s="7" t="s">
        <v>9</v>
      </c>
      <c r="D929" t="s">
        <v>718</v>
      </c>
      <c r="E929" t="s">
        <v>1896</v>
      </c>
      <c r="F929" t="s">
        <v>1754</v>
      </c>
      <c r="I929">
        <f t="shared" si="84"/>
        <v>0</v>
      </c>
      <c r="J929">
        <f t="shared" si="85"/>
        <v>0</v>
      </c>
      <c r="K929">
        <f t="shared" si="86"/>
        <v>0</v>
      </c>
      <c r="L929">
        <f t="shared" si="87"/>
        <v>1</v>
      </c>
      <c r="M929">
        <f t="shared" si="88"/>
        <v>0</v>
      </c>
      <c r="N929">
        <f t="shared" si="89"/>
        <v>0</v>
      </c>
    </row>
    <row r="930" spans="1:14" x14ac:dyDescent="0.35">
      <c r="A930" t="s">
        <v>717</v>
      </c>
      <c r="B930" t="s">
        <v>2297</v>
      </c>
      <c r="C930" s="7" t="s">
        <v>9</v>
      </c>
      <c r="D930" t="s">
        <v>718</v>
      </c>
      <c r="E930" t="s">
        <v>1915</v>
      </c>
      <c r="F930" t="s">
        <v>1727</v>
      </c>
      <c r="I930">
        <f t="shared" si="84"/>
        <v>0</v>
      </c>
      <c r="J930">
        <f t="shared" si="85"/>
        <v>0</v>
      </c>
      <c r="K930">
        <f t="shared" si="86"/>
        <v>0</v>
      </c>
      <c r="L930">
        <f t="shared" si="87"/>
        <v>0</v>
      </c>
      <c r="M930">
        <f t="shared" si="88"/>
        <v>1</v>
      </c>
      <c r="N930">
        <f t="shared" si="89"/>
        <v>0</v>
      </c>
    </row>
    <row r="931" spans="1:14" x14ac:dyDescent="0.35">
      <c r="A931" t="s">
        <v>139</v>
      </c>
      <c r="B931" t="s">
        <v>2298</v>
      </c>
      <c r="C931" s="7" t="s">
        <v>9</v>
      </c>
      <c r="D931" t="s">
        <v>51</v>
      </c>
      <c r="E931" t="s">
        <v>1822</v>
      </c>
      <c r="F931" t="s">
        <v>1760</v>
      </c>
      <c r="G931" t="s">
        <v>2299</v>
      </c>
      <c r="H931" t="s">
        <v>2300</v>
      </c>
      <c r="I931">
        <f t="shared" si="84"/>
        <v>0</v>
      </c>
      <c r="J931">
        <f t="shared" si="85"/>
        <v>0</v>
      </c>
      <c r="K931">
        <f t="shared" si="86"/>
        <v>1</v>
      </c>
      <c r="L931">
        <f t="shared" si="87"/>
        <v>0</v>
      </c>
      <c r="M931">
        <f t="shared" si="88"/>
        <v>0</v>
      </c>
      <c r="N931">
        <f t="shared" si="89"/>
        <v>1</v>
      </c>
    </row>
    <row r="932" spans="1:14" x14ac:dyDescent="0.35">
      <c r="A932" t="s">
        <v>139</v>
      </c>
      <c r="B932" t="s">
        <v>2298</v>
      </c>
      <c r="C932" s="7" t="s">
        <v>9</v>
      </c>
      <c r="D932" t="s">
        <v>51</v>
      </c>
      <c r="E932" t="s">
        <v>1821</v>
      </c>
      <c r="F932" t="s">
        <v>1760</v>
      </c>
      <c r="G932" t="s">
        <v>2299</v>
      </c>
      <c r="H932" t="s">
        <v>2300</v>
      </c>
      <c r="I932">
        <f t="shared" si="84"/>
        <v>0</v>
      </c>
      <c r="J932">
        <f t="shared" si="85"/>
        <v>0</v>
      </c>
      <c r="K932">
        <f t="shared" si="86"/>
        <v>1</v>
      </c>
      <c r="L932">
        <f t="shared" si="87"/>
        <v>0</v>
      </c>
      <c r="M932">
        <f t="shared" si="88"/>
        <v>0</v>
      </c>
      <c r="N932">
        <f t="shared" si="89"/>
        <v>1</v>
      </c>
    </row>
    <row r="933" spans="1:14" x14ac:dyDescent="0.35">
      <c r="A933" t="s">
        <v>1491</v>
      </c>
      <c r="B933" t="s">
        <v>2301</v>
      </c>
      <c r="C933" s="7" t="s">
        <v>9</v>
      </c>
      <c r="D933" t="s">
        <v>51</v>
      </c>
      <c r="E933" t="s">
        <v>1860</v>
      </c>
      <c r="F933" t="s">
        <v>1754</v>
      </c>
      <c r="I933">
        <f t="shared" si="84"/>
        <v>0</v>
      </c>
      <c r="J933">
        <f t="shared" si="85"/>
        <v>0</v>
      </c>
      <c r="K933">
        <f t="shared" si="86"/>
        <v>0</v>
      </c>
      <c r="L933">
        <f t="shared" si="87"/>
        <v>1</v>
      </c>
      <c r="M933">
        <f t="shared" si="88"/>
        <v>0</v>
      </c>
      <c r="N933">
        <f t="shared" si="89"/>
        <v>0</v>
      </c>
    </row>
    <row r="934" spans="1:14" x14ac:dyDescent="0.35">
      <c r="A934" t="s">
        <v>1709</v>
      </c>
      <c r="B934" t="s">
        <v>2302</v>
      </c>
      <c r="C934" s="7" t="s">
        <v>9</v>
      </c>
      <c r="D934" t="s">
        <v>55</v>
      </c>
      <c r="E934" t="s">
        <v>2106</v>
      </c>
      <c r="F934" t="s">
        <v>1805</v>
      </c>
      <c r="I934">
        <f t="shared" si="84"/>
        <v>0</v>
      </c>
      <c r="J934">
        <f t="shared" si="85"/>
        <v>1</v>
      </c>
      <c r="K934">
        <f t="shared" si="86"/>
        <v>0</v>
      </c>
      <c r="L934">
        <f t="shared" si="87"/>
        <v>0</v>
      </c>
      <c r="M934">
        <f t="shared" si="88"/>
        <v>0</v>
      </c>
      <c r="N934">
        <f t="shared" si="89"/>
        <v>0</v>
      </c>
    </row>
    <row r="935" spans="1:14" x14ac:dyDescent="0.35">
      <c r="A935" t="s">
        <v>1709</v>
      </c>
      <c r="B935" t="s">
        <v>2302</v>
      </c>
      <c r="C935" s="7" t="s">
        <v>9</v>
      </c>
      <c r="D935" t="s">
        <v>55</v>
      </c>
      <c r="E935" t="s">
        <v>1810</v>
      </c>
      <c r="F935" t="s">
        <v>1754</v>
      </c>
      <c r="I935">
        <f t="shared" si="84"/>
        <v>0</v>
      </c>
      <c r="J935">
        <f t="shared" si="85"/>
        <v>0</v>
      </c>
      <c r="K935">
        <f t="shared" si="86"/>
        <v>0</v>
      </c>
      <c r="L935">
        <f t="shared" si="87"/>
        <v>1</v>
      </c>
      <c r="M935">
        <f t="shared" si="88"/>
        <v>0</v>
      </c>
      <c r="N935">
        <f t="shared" si="89"/>
        <v>0</v>
      </c>
    </row>
    <row r="936" spans="1:14" x14ac:dyDescent="0.35">
      <c r="A936" t="s">
        <v>168</v>
      </c>
      <c r="B936" t="s">
        <v>2303</v>
      </c>
      <c r="C936" s="7" t="s">
        <v>9</v>
      </c>
      <c r="D936" t="s">
        <v>170</v>
      </c>
      <c r="E936" t="s">
        <v>2015</v>
      </c>
      <c r="F936" t="s">
        <v>1754</v>
      </c>
      <c r="I936">
        <f t="shared" si="84"/>
        <v>0</v>
      </c>
      <c r="J936">
        <f t="shared" si="85"/>
        <v>0</v>
      </c>
      <c r="K936">
        <f t="shared" si="86"/>
        <v>0</v>
      </c>
      <c r="L936">
        <f t="shared" si="87"/>
        <v>1</v>
      </c>
      <c r="M936">
        <f t="shared" si="88"/>
        <v>0</v>
      </c>
      <c r="N936">
        <f t="shared" si="89"/>
        <v>0</v>
      </c>
    </row>
    <row r="937" spans="1:14" x14ac:dyDescent="0.35">
      <c r="A937" t="s">
        <v>168</v>
      </c>
      <c r="B937" t="s">
        <v>2303</v>
      </c>
      <c r="C937" s="7" t="s">
        <v>9</v>
      </c>
      <c r="D937" t="s">
        <v>170</v>
      </c>
      <c r="E937" t="s">
        <v>2014</v>
      </c>
      <c r="F937" t="s">
        <v>1754</v>
      </c>
      <c r="I937">
        <f t="shared" si="84"/>
        <v>0</v>
      </c>
      <c r="J937">
        <f t="shared" si="85"/>
        <v>0</v>
      </c>
      <c r="K937">
        <f t="shared" si="86"/>
        <v>0</v>
      </c>
      <c r="L937">
        <f t="shared" si="87"/>
        <v>1</v>
      </c>
      <c r="M937">
        <f t="shared" si="88"/>
        <v>0</v>
      </c>
      <c r="N937">
        <f t="shared" si="89"/>
        <v>0</v>
      </c>
    </row>
    <row r="938" spans="1:14" x14ac:dyDescent="0.35">
      <c r="A938" t="s">
        <v>1385</v>
      </c>
      <c r="B938" t="s">
        <v>2304</v>
      </c>
      <c r="C938" s="7" t="s">
        <v>9</v>
      </c>
      <c r="D938" t="s">
        <v>55</v>
      </c>
      <c r="E938" t="s">
        <v>1877</v>
      </c>
      <c r="F938" t="s">
        <v>1754</v>
      </c>
      <c r="I938">
        <f t="shared" si="84"/>
        <v>0</v>
      </c>
      <c r="J938">
        <f t="shared" si="85"/>
        <v>0</v>
      </c>
      <c r="K938">
        <f t="shared" si="86"/>
        <v>0</v>
      </c>
      <c r="L938">
        <f t="shared" si="87"/>
        <v>1</v>
      </c>
      <c r="M938">
        <f t="shared" si="88"/>
        <v>0</v>
      </c>
      <c r="N938">
        <f t="shared" si="89"/>
        <v>0</v>
      </c>
    </row>
    <row r="939" spans="1:14" x14ac:dyDescent="0.35">
      <c r="A939" t="s">
        <v>1385</v>
      </c>
      <c r="B939" t="s">
        <v>2304</v>
      </c>
      <c r="C939" s="7" t="s">
        <v>9</v>
      </c>
      <c r="D939" t="s">
        <v>55</v>
      </c>
      <c r="E939" t="s">
        <v>1849</v>
      </c>
      <c r="F939" t="s">
        <v>1754</v>
      </c>
      <c r="I939">
        <f t="shared" si="84"/>
        <v>0</v>
      </c>
      <c r="J939">
        <f t="shared" si="85"/>
        <v>0</v>
      </c>
      <c r="K939">
        <f t="shared" si="86"/>
        <v>0</v>
      </c>
      <c r="L939">
        <f t="shared" si="87"/>
        <v>1</v>
      </c>
      <c r="M939">
        <f t="shared" si="88"/>
        <v>0</v>
      </c>
      <c r="N939">
        <f t="shared" si="89"/>
        <v>0</v>
      </c>
    </row>
    <row r="940" spans="1:14" x14ac:dyDescent="0.35">
      <c r="A940" t="s">
        <v>1054</v>
      </c>
      <c r="B940" t="s">
        <v>2305</v>
      </c>
      <c r="C940" s="7" t="s">
        <v>9</v>
      </c>
      <c r="D940" t="s">
        <v>1055</v>
      </c>
      <c r="E940" t="s">
        <v>1849</v>
      </c>
      <c r="F940" t="s">
        <v>1754</v>
      </c>
      <c r="I940">
        <f t="shared" si="84"/>
        <v>0</v>
      </c>
      <c r="J940">
        <f t="shared" si="85"/>
        <v>0</v>
      </c>
      <c r="K940">
        <f t="shared" si="86"/>
        <v>0</v>
      </c>
      <c r="L940">
        <f t="shared" si="87"/>
        <v>1</v>
      </c>
      <c r="M940">
        <f t="shared" si="88"/>
        <v>0</v>
      </c>
      <c r="N940">
        <f t="shared" si="89"/>
        <v>0</v>
      </c>
    </row>
    <row r="941" spans="1:14" x14ac:dyDescent="0.35">
      <c r="A941" t="s">
        <v>106</v>
      </c>
      <c r="B941" t="s">
        <v>2306</v>
      </c>
      <c r="C941" s="7" t="s">
        <v>9</v>
      </c>
      <c r="D941" t="s">
        <v>100</v>
      </c>
      <c r="E941" t="s">
        <v>1854</v>
      </c>
      <c r="F941" t="s">
        <v>1754</v>
      </c>
      <c r="I941">
        <f t="shared" si="84"/>
        <v>0</v>
      </c>
      <c r="J941">
        <f t="shared" si="85"/>
        <v>0</v>
      </c>
      <c r="K941">
        <f t="shared" si="86"/>
        <v>0</v>
      </c>
      <c r="L941">
        <f t="shared" si="87"/>
        <v>1</v>
      </c>
      <c r="M941">
        <f t="shared" si="88"/>
        <v>0</v>
      </c>
      <c r="N941">
        <f t="shared" si="89"/>
        <v>0</v>
      </c>
    </row>
    <row r="942" spans="1:14" x14ac:dyDescent="0.35">
      <c r="A942" t="s">
        <v>106</v>
      </c>
      <c r="B942" t="s">
        <v>2306</v>
      </c>
      <c r="C942" s="7" t="s">
        <v>9</v>
      </c>
      <c r="D942" t="s">
        <v>100</v>
      </c>
      <c r="E942" t="s">
        <v>2042</v>
      </c>
      <c r="F942" t="s">
        <v>1754</v>
      </c>
      <c r="I942">
        <f t="shared" si="84"/>
        <v>0</v>
      </c>
      <c r="J942">
        <f t="shared" si="85"/>
        <v>0</v>
      </c>
      <c r="K942">
        <f t="shared" si="86"/>
        <v>0</v>
      </c>
      <c r="L942">
        <f t="shared" si="87"/>
        <v>1</v>
      </c>
      <c r="M942">
        <f t="shared" si="88"/>
        <v>0</v>
      </c>
      <c r="N942">
        <f t="shared" si="89"/>
        <v>0</v>
      </c>
    </row>
    <row r="943" spans="1:14" x14ac:dyDescent="0.35">
      <c r="A943" t="s">
        <v>106</v>
      </c>
      <c r="B943" t="s">
        <v>2306</v>
      </c>
      <c r="C943" s="7" t="s">
        <v>10</v>
      </c>
      <c r="D943" t="s">
        <v>100</v>
      </c>
      <c r="E943" t="s">
        <v>1945</v>
      </c>
      <c r="F943" t="s">
        <v>1754</v>
      </c>
      <c r="I943">
        <f t="shared" si="84"/>
        <v>0</v>
      </c>
      <c r="J943">
        <f t="shared" si="85"/>
        <v>0</v>
      </c>
      <c r="K943">
        <f t="shared" si="86"/>
        <v>0</v>
      </c>
      <c r="L943">
        <f t="shared" si="87"/>
        <v>1</v>
      </c>
      <c r="M943">
        <f t="shared" si="88"/>
        <v>0</v>
      </c>
      <c r="N943">
        <f t="shared" si="89"/>
        <v>0</v>
      </c>
    </row>
    <row r="944" spans="1:14" x14ac:dyDescent="0.35">
      <c r="A944" t="s">
        <v>106</v>
      </c>
      <c r="B944" t="s">
        <v>2306</v>
      </c>
      <c r="C944" s="7" t="s">
        <v>10</v>
      </c>
      <c r="D944" t="s">
        <v>100</v>
      </c>
      <c r="E944" t="s">
        <v>1944</v>
      </c>
      <c r="F944" t="s">
        <v>1754</v>
      </c>
      <c r="I944">
        <f t="shared" si="84"/>
        <v>0</v>
      </c>
      <c r="J944">
        <f t="shared" si="85"/>
        <v>0</v>
      </c>
      <c r="K944">
        <f t="shared" si="86"/>
        <v>0</v>
      </c>
      <c r="L944">
        <f t="shared" si="87"/>
        <v>1</v>
      </c>
      <c r="M944">
        <f t="shared" si="88"/>
        <v>0</v>
      </c>
      <c r="N944">
        <f t="shared" si="89"/>
        <v>0</v>
      </c>
    </row>
    <row r="945" spans="1:14" x14ac:dyDescent="0.35">
      <c r="A945" t="s">
        <v>128</v>
      </c>
      <c r="B945" t="s">
        <v>2307</v>
      </c>
      <c r="C945" s="7" t="s">
        <v>10</v>
      </c>
      <c r="D945" t="s">
        <v>100</v>
      </c>
      <c r="E945" t="s">
        <v>1832</v>
      </c>
      <c r="F945" t="s">
        <v>1754</v>
      </c>
      <c r="I945">
        <f t="shared" si="84"/>
        <v>0</v>
      </c>
      <c r="J945">
        <f t="shared" si="85"/>
        <v>0</v>
      </c>
      <c r="K945">
        <f t="shared" si="86"/>
        <v>0</v>
      </c>
      <c r="L945">
        <f t="shared" si="87"/>
        <v>1</v>
      </c>
      <c r="M945">
        <f t="shared" si="88"/>
        <v>0</v>
      </c>
      <c r="N945">
        <f t="shared" si="89"/>
        <v>0</v>
      </c>
    </row>
    <row r="946" spans="1:14" x14ac:dyDescent="0.35">
      <c r="A946" t="s">
        <v>128</v>
      </c>
      <c r="B946" t="s">
        <v>2307</v>
      </c>
      <c r="C946" s="7" t="s">
        <v>10</v>
      </c>
      <c r="D946" t="s">
        <v>100</v>
      </c>
      <c r="E946" t="s">
        <v>1992</v>
      </c>
      <c r="F946" t="s">
        <v>1754</v>
      </c>
      <c r="I946">
        <f t="shared" si="84"/>
        <v>0</v>
      </c>
      <c r="J946">
        <f t="shared" si="85"/>
        <v>0</v>
      </c>
      <c r="K946">
        <f t="shared" si="86"/>
        <v>0</v>
      </c>
      <c r="L946">
        <f t="shared" si="87"/>
        <v>1</v>
      </c>
      <c r="M946">
        <f t="shared" si="88"/>
        <v>0</v>
      </c>
      <c r="N946">
        <f t="shared" si="89"/>
        <v>0</v>
      </c>
    </row>
    <row r="947" spans="1:14" x14ac:dyDescent="0.35">
      <c r="A947" t="s">
        <v>128</v>
      </c>
      <c r="B947" t="s">
        <v>2307</v>
      </c>
      <c r="C947" s="7" t="s">
        <v>10</v>
      </c>
      <c r="D947" t="s">
        <v>100</v>
      </c>
      <c r="E947" t="s">
        <v>1836</v>
      </c>
      <c r="F947" t="s">
        <v>1754</v>
      </c>
      <c r="I947">
        <f t="shared" si="84"/>
        <v>0</v>
      </c>
      <c r="J947">
        <f t="shared" si="85"/>
        <v>0</v>
      </c>
      <c r="K947">
        <f t="shared" si="86"/>
        <v>0</v>
      </c>
      <c r="L947">
        <f t="shared" si="87"/>
        <v>1</v>
      </c>
      <c r="M947">
        <f t="shared" si="88"/>
        <v>0</v>
      </c>
      <c r="N947">
        <f t="shared" si="89"/>
        <v>0</v>
      </c>
    </row>
    <row r="948" spans="1:14" x14ac:dyDescent="0.35">
      <c r="A948" t="s">
        <v>128</v>
      </c>
      <c r="B948" t="s">
        <v>2307</v>
      </c>
      <c r="C948" s="7" t="s">
        <v>10</v>
      </c>
      <c r="D948" t="s">
        <v>100</v>
      </c>
      <c r="E948" t="s">
        <v>1993</v>
      </c>
      <c r="F948" t="s">
        <v>1754</v>
      </c>
      <c r="I948">
        <f t="shared" si="84"/>
        <v>0</v>
      </c>
      <c r="J948">
        <f t="shared" si="85"/>
        <v>0</v>
      </c>
      <c r="K948">
        <f t="shared" si="86"/>
        <v>0</v>
      </c>
      <c r="L948">
        <f t="shared" si="87"/>
        <v>1</v>
      </c>
      <c r="M948">
        <f t="shared" si="88"/>
        <v>0</v>
      </c>
      <c r="N948">
        <f t="shared" si="89"/>
        <v>0</v>
      </c>
    </row>
    <row r="949" spans="1:14" x14ac:dyDescent="0.35">
      <c r="A949" t="s">
        <v>72</v>
      </c>
      <c r="B949" t="s">
        <v>1764</v>
      </c>
      <c r="C949" s="7" t="s">
        <v>10</v>
      </c>
      <c r="D949" t="s">
        <v>74</v>
      </c>
      <c r="E949" t="s">
        <v>1807</v>
      </c>
      <c r="F949" t="s">
        <v>1754</v>
      </c>
      <c r="G949" t="s">
        <v>1765</v>
      </c>
      <c r="H949" t="s">
        <v>1738</v>
      </c>
      <c r="I949">
        <f t="shared" si="84"/>
        <v>0</v>
      </c>
      <c r="J949">
        <f t="shared" si="85"/>
        <v>0</v>
      </c>
      <c r="K949">
        <f t="shared" si="86"/>
        <v>0</v>
      </c>
      <c r="L949">
        <f t="shared" si="87"/>
        <v>1</v>
      </c>
      <c r="M949">
        <f t="shared" si="88"/>
        <v>0</v>
      </c>
      <c r="N949">
        <f t="shared" si="89"/>
        <v>1</v>
      </c>
    </row>
    <row r="950" spans="1:14" x14ac:dyDescent="0.35">
      <c r="A950" t="s">
        <v>72</v>
      </c>
      <c r="B950" t="s">
        <v>1764</v>
      </c>
      <c r="C950" s="7" t="s">
        <v>10</v>
      </c>
      <c r="D950" t="s">
        <v>74</v>
      </c>
      <c r="E950" t="s">
        <v>1806</v>
      </c>
      <c r="F950" t="s">
        <v>1754</v>
      </c>
      <c r="G950" t="s">
        <v>1765</v>
      </c>
      <c r="H950" t="s">
        <v>1738</v>
      </c>
      <c r="I950">
        <f t="shared" si="84"/>
        <v>0</v>
      </c>
      <c r="J950">
        <f t="shared" si="85"/>
        <v>0</v>
      </c>
      <c r="K950">
        <f t="shared" si="86"/>
        <v>0</v>
      </c>
      <c r="L950">
        <f t="shared" si="87"/>
        <v>1</v>
      </c>
      <c r="M950">
        <f t="shared" si="88"/>
        <v>0</v>
      </c>
      <c r="N950">
        <f t="shared" si="89"/>
        <v>1</v>
      </c>
    </row>
    <row r="951" spans="1:14" x14ac:dyDescent="0.35">
      <c r="A951" t="s">
        <v>72</v>
      </c>
      <c r="B951" t="s">
        <v>1764</v>
      </c>
      <c r="C951" s="7" t="s">
        <v>10</v>
      </c>
      <c r="D951" t="s">
        <v>74</v>
      </c>
      <c r="E951" t="s">
        <v>2006</v>
      </c>
      <c r="F951" t="s">
        <v>1754</v>
      </c>
      <c r="G951" t="s">
        <v>1765</v>
      </c>
      <c r="H951" t="s">
        <v>1738</v>
      </c>
      <c r="I951">
        <f t="shared" si="84"/>
        <v>0</v>
      </c>
      <c r="J951">
        <f t="shared" si="85"/>
        <v>0</v>
      </c>
      <c r="K951">
        <f t="shared" si="86"/>
        <v>0</v>
      </c>
      <c r="L951">
        <f t="shared" si="87"/>
        <v>1</v>
      </c>
      <c r="M951">
        <f t="shared" si="88"/>
        <v>0</v>
      </c>
      <c r="N951">
        <f t="shared" si="89"/>
        <v>1</v>
      </c>
    </row>
    <row r="952" spans="1:14" x14ac:dyDescent="0.35">
      <c r="A952" t="s">
        <v>72</v>
      </c>
      <c r="B952" t="s">
        <v>1764</v>
      </c>
      <c r="C952" s="7" t="s">
        <v>10</v>
      </c>
      <c r="D952" t="s">
        <v>74</v>
      </c>
      <c r="E952" t="s">
        <v>2007</v>
      </c>
      <c r="F952" t="s">
        <v>1754</v>
      </c>
      <c r="G952" t="s">
        <v>1765</v>
      </c>
      <c r="H952" t="s">
        <v>1738</v>
      </c>
      <c r="I952">
        <f t="shared" si="84"/>
        <v>0</v>
      </c>
      <c r="J952">
        <f t="shared" si="85"/>
        <v>0</v>
      </c>
      <c r="K952">
        <f t="shared" si="86"/>
        <v>0</v>
      </c>
      <c r="L952">
        <f t="shared" si="87"/>
        <v>1</v>
      </c>
      <c r="M952">
        <f t="shared" si="88"/>
        <v>0</v>
      </c>
      <c r="N952">
        <f t="shared" si="89"/>
        <v>1</v>
      </c>
    </row>
    <row r="953" spans="1:14" x14ac:dyDescent="0.35">
      <c r="A953" t="s">
        <v>72</v>
      </c>
      <c r="B953" t="s">
        <v>1764</v>
      </c>
      <c r="C953" s="7" t="s">
        <v>10</v>
      </c>
      <c r="D953" t="s">
        <v>74</v>
      </c>
      <c r="E953" t="s">
        <v>1925</v>
      </c>
      <c r="F953" t="s">
        <v>1727</v>
      </c>
      <c r="G953" t="s">
        <v>1765</v>
      </c>
      <c r="H953" t="s">
        <v>1738</v>
      </c>
      <c r="I953">
        <f t="shared" si="84"/>
        <v>0</v>
      </c>
      <c r="J953">
        <f t="shared" si="85"/>
        <v>0</v>
      </c>
      <c r="K953">
        <f t="shared" si="86"/>
        <v>0</v>
      </c>
      <c r="L953">
        <f t="shared" si="87"/>
        <v>0</v>
      </c>
      <c r="M953">
        <f t="shared" si="88"/>
        <v>1</v>
      </c>
      <c r="N953">
        <f t="shared" si="89"/>
        <v>1</v>
      </c>
    </row>
    <row r="954" spans="1:14" x14ac:dyDescent="0.35">
      <c r="A954" t="s">
        <v>72</v>
      </c>
      <c r="B954" t="s">
        <v>1764</v>
      </c>
      <c r="C954" s="7" t="s">
        <v>10</v>
      </c>
      <c r="D954" t="s">
        <v>74</v>
      </c>
      <c r="E954" t="s">
        <v>2308</v>
      </c>
      <c r="F954" t="s">
        <v>1727</v>
      </c>
      <c r="G954" t="s">
        <v>1765</v>
      </c>
      <c r="H954" t="s">
        <v>1738</v>
      </c>
      <c r="I954">
        <f t="shared" si="84"/>
        <v>0</v>
      </c>
      <c r="J954">
        <f t="shared" si="85"/>
        <v>0</v>
      </c>
      <c r="K954">
        <f t="shared" si="86"/>
        <v>0</v>
      </c>
      <c r="L954">
        <f t="shared" si="87"/>
        <v>0</v>
      </c>
      <c r="M954">
        <f t="shared" si="88"/>
        <v>1</v>
      </c>
      <c r="N954">
        <f t="shared" si="89"/>
        <v>1</v>
      </c>
    </row>
    <row r="955" spans="1:14" x14ac:dyDescent="0.35">
      <c r="A955" t="s">
        <v>72</v>
      </c>
      <c r="B955" t="s">
        <v>1764</v>
      </c>
      <c r="C955" s="7" t="s">
        <v>10</v>
      </c>
      <c r="D955" t="s">
        <v>74</v>
      </c>
      <c r="E955" t="s">
        <v>2309</v>
      </c>
      <c r="F955" t="s">
        <v>1727</v>
      </c>
      <c r="G955" t="s">
        <v>1765</v>
      </c>
      <c r="H955" t="s">
        <v>1738</v>
      </c>
      <c r="I955">
        <f t="shared" si="84"/>
        <v>0</v>
      </c>
      <c r="J955">
        <f t="shared" si="85"/>
        <v>0</v>
      </c>
      <c r="K955">
        <f t="shared" si="86"/>
        <v>0</v>
      </c>
      <c r="L955">
        <f t="shared" si="87"/>
        <v>0</v>
      </c>
      <c r="M955">
        <f t="shared" si="88"/>
        <v>1</v>
      </c>
      <c r="N955">
        <f t="shared" si="89"/>
        <v>1</v>
      </c>
    </row>
    <row r="956" spans="1:14" x14ac:dyDescent="0.35">
      <c r="A956" t="s">
        <v>72</v>
      </c>
      <c r="B956" t="s">
        <v>1764</v>
      </c>
      <c r="C956" s="7" t="s">
        <v>10</v>
      </c>
      <c r="D956" t="s">
        <v>74</v>
      </c>
      <c r="E956" t="s">
        <v>2206</v>
      </c>
      <c r="F956" t="s">
        <v>1727</v>
      </c>
      <c r="G956" t="s">
        <v>1765</v>
      </c>
      <c r="H956" t="s">
        <v>1738</v>
      </c>
      <c r="I956">
        <f t="shared" si="84"/>
        <v>0</v>
      </c>
      <c r="J956">
        <f t="shared" si="85"/>
        <v>0</v>
      </c>
      <c r="K956">
        <f t="shared" si="86"/>
        <v>0</v>
      </c>
      <c r="L956">
        <f t="shared" si="87"/>
        <v>0</v>
      </c>
      <c r="M956">
        <f t="shared" si="88"/>
        <v>1</v>
      </c>
      <c r="N956">
        <f t="shared" si="89"/>
        <v>1</v>
      </c>
    </row>
    <row r="957" spans="1:14" x14ac:dyDescent="0.35">
      <c r="A957" t="s">
        <v>72</v>
      </c>
      <c r="B957" t="s">
        <v>1764</v>
      </c>
      <c r="C957" s="7" t="s">
        <v>10</v>
      </c>
      <c r="D957" t="s">
        <v>74</v>
      </c>
      <c r="E957" t="s">
        <v>1926</v>
      </c>
      <c r="F957" t="s">
        <v>1727</v>
      </c>
      <c r="G957" t="s">
        <v>1765</v>
      </c>
      <c r="H957" t="s">
        <v>1738</v>
      </c>
      <c r="I957">
        <f t="shared" si="84"/>
        <v>0</v>
      </c>
      <c r="J957">
        <f t="shared" si="85"/>
        <v>0</v>
      </c>
      <c r="K957">
        <f t="shared" si="86"/>
        <v>0</v>
      </c>
      <c r="L957">
        <f t="shared" si="87"/>
        <v>0</v>
      </c>
      <c r="M957">
        <f t="shared" si="88"/>
        <v>1</v>
      </c>
      <c r="N957">
        <f t="shared" si="89"/>
        <v>1</v>
      </c>
    </row>
    <row r="958" spans="1:14" x14ac:dyDescent="0.35">
      <c r="A958" t="s">
        <v>72</v>
      </c>
      <c r="B958" t="s">
        <v>1764</v>
      </c>
      <c r="C958" s="7" t="s">
        <v>10</v>
      </c>
      <c r="D958" t="s">
        <v>74</v>
      </c>
      <c r="E958" t="s">
        <v>1875</v>
      </c>
      <c r="F958" t="s">
        <v>1727</v>
      </c>
      <c r="G958" t="s">
        <v>1765</v>
      </c>
      <c r="H958" t="s">
        <v>1738</v>
      </c>
      <c r="I958">
        <f t="shared" si="84"/>
        <v>0</v>
      </c>
      <c r="J958">
        <f t="shared" si="85"/>
        <v>0</v>
      </c>
      <c r="K958">
        <f t="shared" si="86"/>
        <v>0</v>
      </c>
      <c r="L958">
        <f t="shared" si="87"/>
        <v>0</v>
      </c>
      <c r="M958">
        <f t="shared" si="88"/>
        <v>1</v>
      </c>
      <c r="N958">
        <f t="shared" si="89"/>
        <v>1</v>
      </c>
    </row>
    <row r="959" spans="1:14" x14ac:dyDescent="0.35">
      <c r="A959" t="s">
        <v>927</v>
      </c>
      <c r="B959" t="s">
        <v>2310</v>
      </c>
      <c r="C959" s="7" t="s">
        <v>10</v>
      </c>
      <c r="D959" t="s">
        <v>155</v>
      </c>
      <c r="E959" t="s">
        <v>1994</v>
      </c>
      <c r="F959" t="s">
        <v>1754</v>
      </c>
      <c r="I959">
        <f t="shared" si="84"/>
        <v>0</v>
      </c>
      <c r="J959">
        <f t="shared" si="85"/>
        <v>0</v>
      </c>
      <c r="K959">
        <f t="shared" si="86"/>
        <v>0</v>
      </c>
      <c r="L959">
        <f t="shared" si="87"/>
        <v>1</v>
      </c>
      <c r="M959">
        <f t="shared" si="88"/>
        <v>0</v>
      </c>
      <c r="N959">
        <f t="shared" si="89"/>
        <v>0</v>
      </c>
    </row>
    <row r="960" spans="1:14" x14ac:dyDescent="0.35">
      <c r="A960" t="s">
        <v>1224</v>
      </c>
      <c r="B960" t="s">
        <v>2311</v>
      </c>
      <c r="C960" s="7" t="s">
        <v>10</v>
      </c>
      <c r="D960" t="s">
        <v>55</v>
      </c>
      <c r="E960" t="s">
        <v>1932</v>
      </c>
      <c r="F960" t="s">
        <v>1727</v>
      </c>
      <c r="I960">
        <f t="shared" si="84"/>
        <v>0</v>
      </c>
      <c r="J960">
        <f t="shared" si="85"/>
        <v>0</v>
      </c>
      <c r="K960">
        <f t="shared" si="86"/>
        <v>0</v>
      </c>
      <c r="L960">
        <f t="shared" si="87"/>
        <v>0</v>
      </c>
      <c r="M960">
        <f t="shared" si="88"/>
        <v>1</v>
      </c>
      <c r="N960">
        <f t="shared" si="89"/>
        <v>0</v>
      </c>
    </row>
    <row r="961" spans="1:14" x14ac:dyDescent="0.35">
      <c r="A961" t="s">
        <v>93</v>
      </c>
      <c r="B961" t="s">
        <v>2312</v>
      </c>
      <c r="C961" s="7" t="s">
        <v>10</v>
      </c>
      <c r="D961" t="s">
        <v>55</v>
      </c>
      <c r="E961" t="s">
        <v>2165</v>
      </c>
      <c r="F961" t="s">
        <v>1805</v>
      </c>
      <c r="I961">
        <f t="shared" si="84"/>
        <v>0</v>
      </c>
      <c r="J961">
        <f t="shared" si="85"/>
        <v>1</v>
      </c>
      <c r="K961">
        <f t="shared" si="86"/>
        <v>0</v>
      </c>
      <c r="L961">
        <f t="shared" si="87"/>
        <v>0</v>
      </c>
      <c r="M961">
        <f t="shared" si="88"/>
        <v>0</v>
      </c>
      <c r="N961">
        <f t="shared" si="89"/>
        <v>0</v>
      </c>
    </row>
    <row r="962" spans="1:14" x14ac:dyDescent="0.35">
      <c r="A962" t="s">
        <v>519</v>
      </c>
      <c r="B962" t="s">
        <v>2313</v>
      </c>
      <c r="C962" s="7" t="s">
        <v>10</v>
      </c>
      <c r="D962" t="s">
        <v>55</v>
      </c>
      <c r="E962" t="s">
        <v>1830</v>
      </c>
      <c r="F962" t="s">
        <v>1754</v>
      </c>
      <c r="G962" t="s">
        <v>2314</v>
      </c>
      <c r="H962" t="s">
        <v>2315</v>
      </c>
      <c r="I962">
        <f t="shared" si="84"/>
        <v>0</v>
      </c>
      <c r="J962">
        <f t="shared" si="85"/>
        <v>0</v>
      </c>
      <c r="K962">
        <f t="shared" si="86"/>
        <v>0</v>
      </c>
      <c r="L962">
        <f t="shared" si="87"/>
        <v>1</v>
      </c>
      <c r="M962">
        <f t="shared" si="88"/>
        <v>0</v>
      </c>
      <c r="N962">
        <f t="shared" si="89"/>
        <v>1</v>
      </c>
    </row>
    <row r="963" spans="1:14" x14ac:dyDescent="0.35">
      <c r="A963" t="s">
        <v>519</v>
      </c>
      <c r="B963" t="s">
        <v>2313</v>
      </c>
      <c r="C963" s="7" t="s">
        <v>10</v>
      </c>
      <c r="D963" t="s">
        <v>55</v>
      </c>
      <c r="E963" t="s">
        <v>1810</v>
      </c>
      <c r="F963" t="s">
        <v>1754</v>
      </c>
      <c r="G963" t="s">
        <v>2314</v>
      </c>
      <c r="H963" t="s">
        <v>2315</v>
      </c>
      <c r="I963">
        <f t="shared" ref="I963:I1026" si="90">IF($F963=$F$1,1,0)</f>
        <v>0</v>
      </c>
      <c r="J963">
        <f t="shared" ref="J963:J1026" si="91">IF($F963=$J$1,1,0)</f>
        <v>0</v>
      </c>
      <c r="K963">
        <f t="shared" ref="K963:K1026" si="92">IF($F963=$K$1,1,0)</f>
        <v>0</v>
      </c>
      <c r="L963">
        <f t="shared" ref="L963:L1026" si="93">IF($F963=$L$1,1,0)</f>
        <v>1</v>
      </c>
      <c r="M963">
        <f t="shared" ref="M963:M1026" si="94">IF($F963=$M$1,1,0)</f>
        <v>0</v>
      </c>
      <c r="N963">
        <f t="shared" ref="N963:N1026" si="95">IF($G963&lt;&gt;"",1,0)</f>
        <v>1</v>
      </c>
    </row>
    <row r="964" spans="1:14" x14ac:dyDescent="0.35">
      <c r="A964" t="s">
        <v>519</v>
      </c>
      <c r="B964" t="s">
        <v>2313</v>
      </c>
      <c r="C964" s="7" t="s">
        <v>10</v>
      </c>
      <c r="D964" t="s">
        <v>55</v>
      </c>
      <c r="E964" t="s">
        <v>2070</v>
      </c>
      <c r="F964" t="s">
        <v>1754</v>
      </c>
      <c r="G964" t="s">
        <v>2314</v>
      </c>
      <c r="H964" t="s">
        <v>2315</v>
      </c>
      <c r="I964">
        <f t="shared" si="90"/>
        <v>0</v>
      </c>
      <c r="J964">
        <f t="shared" si="91"/>
        <v>0</v>
      </c>
      <c r="K964">
        <f t="shared" si="92"/>
        <v>0</v>
      </c>
      <c r="L964">
        <f t="shared" si="93"/>
        <v>1</v>
      </c>
      <c r="M964">
        <f t="shared" si="94"/>
        <v>0</v>
      </c>
      <c r="N964">
        <f t="shared" si="95"/>
        <v>1</v>
      </c>
    </row>
    <row r="965" spans="1:14" x14ac:dyDescent="0.35">
      <c r="A965" t="s">
        <v>519</v>
      </c>
      <c r="B965" t="s">
        <v>2313</v>
      </c>
      <c r="C965" s="7" t="s">
        <v>10</v>
      </c>
      <c r="D965" t="s">
        <v>55</v>
      </c>
      <c r="E965" t="s">
        <v>1849</v>
      </c>
      <c r="F965" t="s">
        <v>1754</v>
      </c>
      <c r="G965" t="s">
        <v>2314</v>
      </c>
      <c r="H965" t="s">
        <v>2315</v>
      </c>
      <c r="I965">
        <f t="shared" si="90"/>
        <v>0</v>
      </c>
      <c r="J965">
        <f t="shared" si="91"/>
        <v>0</v>
      </c>
      <c r="K965">
        <f t="shared" si="92"/>
        <v>0</v>
      </c>
      <c r="L965">
        <f t="shared" si="93"/>
        <v>1</v>
      </c>
      <c r="M965">
        <f t="shared" si="94"/>
        <v>0</v>
      </c>
      <c r="N965">
        <f t="shared" si="95"/>
        <v>1</v>
      </c>
    </row>
    <row r="966" spans="1:14" x14ac:dyDescent="0.35">
      <c r="A966" t="s">
        <v>519</v>
      </c>
      <c r="B966" t="s">
        <v>2313</v>
      </c>
      <c r="C966" s="7" t="s">
        <v>10</v>
      </c>
      <c r="D966" t="s">
        <v>55</v>
      </c>
      <c r="E966" t="s">
        <v>1877</v>
      </c>
      <c r="F966" t="s">
        <v>1754</v>
      </c>
      <c r="G966" t="s">
        <v>2314</v>
      </c>
      <c r="H966" t="s">
        <v>2315</v>
      </c>
      <c r="I966">
        <f t="shared" si="90"/>
        <v>0</v>
      </c>
      <c r="J966">
        <f t="shared" si="91"/>
        <v>0</v>
      </c>
      <c r="K966">
        <f t="shared" si="92"/>
        <v>0</v>
      </c>
      <c r="L966">
        <f t="shared" si="93"/>
        <v>1</v>
      </c>
      <c r="M966">
        <f t="shared" si="94"/>
        <v>0</v>
      </c>
      <c r="N966">
        <f t="shared" si="95"/>
        <v>1</v>
      </c>
    </row>
    <row r="967" spans="1:14" x14ac:dyDescent="0.35">
      <c r="A967" t="s">
        <v>519</v>
      </c>
      <c r="B967" t="s">
        <v>2313</v>
      </c>
      <c r="C967" s="7" t="s">
        <v>10</v>
      </c>
      <c r="D967" t="s">
        <v>55</v>
      </c>
      <c r="E967" t="s">
        <v>2069</v>
      </c>
      <c r="F967" t="s">
        <v>1754</v>
      </c>
      <c r="G967" t="s">
        <v>2314</v>
      </c>
      <c r="H967" t="s">
        <v>2315</v>
      </c>
      <c r="I967">
        <f t="shared" si="90"/>
        <v>0</v>
      </c>
      <c r="J967">
        <f t="shared" si="91"/>
        <v>0</v>
      </c>
      <c r="K967">
        <f t="shared" si="92"/>
        <v>0</v>
      </c>
      <c r="L967">
        <f t="shared" si="93"/>
        <v>1</v>
      </c>
      <c r="M967">
        <f t="shared" si="94"/>
        <v>0</v>
      </c>
      <c r="N967">
        <f t="shared" si="95"/>
        <v>1</v>
      </c>
    </row>
    <row r="968" spans="1:14" x14ac:dyDescent="0.35">
      <c r="A968" t="s">
        <v>519</v>
      </c>
      <c r="B968" t="s">
        <v>2313</v>
      </c>
      <c r="C968" s="7" t="s">
        <v>10</v>
      </c>
      <c r="D968" t="s">
        <v>55</v>
      </c>
      <c r="E968" t="s">
        <v>2068</v>
      </c>
      <c r="F968" t="s">
        <v>1754</v>
      </c>
      <c r="G968" t="s">
        <v>2314</v>
      </c>
      <c r="H968" t="s">
        <v>2315</v>
      </c>
      <c r="I968">
        <f t="shared" si="90"/>
        <v>0</v>
      </c>
      <c r="J968">
        <f t="shared" si="91"/>
        <v>0</v>
      </c>
      <c r="K968">
        <f t="shared" si="92"/>
        <v>0</v>
      </c>
      <c r="L968">
        <f t="shared" si="93"/>
        <v>1</v>
      </c>
      <c r="M968">
        <f t="shared" si="94"/>
        <v>0</v>
      </c>
      <c r="N968">
        <f t="shared" si="95"/>
        <v>1</v>
      </c>
    </row>
    <row r="969" spans="1:14" x14ac:dyDescent="0.35">
      <c r="A969" t="s">
        <v>1468</v>
      </c>
      <c r="B969" t="s">
        <v>2316</v>
      </c>
      <c r="C969" s="7" t="s">
        <v>10</v>
      </c>
      <c r="D969" t="s">
        <v>206</v>
      </c>
      <c r="E969" t="s">
        <v>1992</v>
      </c>
      <c r="F969" t="s">
        <v>1754</v>
      </c>
      <c r="G969" t="s">
        <v>2317</v>
      </c>
      <c r="H969" t="s">
        <v>2318</v>
      </c>
      <c r="I969">
        <f t="shared" si="90"/>
        <v>0</v>
      </c>
      <c r="J969">
        <f t="shared" si="91"/>
        <v>0</v>
      </c>
      <c r="K969">
        <f t="shared" si="92"/>
        <v>0</v>
      </c>
      <c r="L969">
        <f t="shared" si="93"/>
        <v>1</v>
      </c>
      <c r="M969">
        <f t="shared" si="94"/>
        <v>0</v>
      </c>
      <c r="N969">
        <f t="shared" si="95"/>
        <v>1</v>
      </c>
    </row>
    <row r="970" spans="1:14" x14ac:dyDescent="0.35">
      <c r="A970" t="s">
        <v>1468</v>
      </c>
      <c r="B970" t="s">
        <v>2316</v>
      </c>
      <c r="C970" s="7" t="s">
        <v>10</v>
      </c>
      <c r="D970" t="s">
        <v>206</v>
      </c>
      <c r="E970" t="s">
        <v>1994</v>
      </c>
      <c r="F970" t="s">
        <v>1754</v>
      </c>
      <c r="G970" t="s">
        <v>2317</v>
      </c>
      <c r="H970" t="s">
        <v>2318</v>
      </c>
      <c r="I970">
        <f t="shared" si="90"/>
        <v>0</v>
      </c>
      <c r="J970">
        <f t="shared" si="91"/>
        <v>0</v>
      </c>
      <c r="K970">
        <f t="shared" si="92"/>
        <v>0</v>
      </c>
      <c r="L970">
        <f t="shared" si="93"/>
        <v>1</v>
      </c>
      <c r="M970">
        <f t="shared" si="94"/>
        <v>0</v>
      </c>
      <c r="N970">
        <f t="shared" si="95"/>
        <v>1</v>
      </c>
    </row>
    <row r="971" spans="1:14" x14ac:dyDescent="0.35">
      <c r="A971" t="s">
        <v>1468</v>
      </c>
      <c r="B971" t="s">
        <v>2316</v>
      </c>
      <c r="C971" s="7" t="s">
        <v>10</v>
      </c>
      <c r="D971" t="s">
        <v>206</v>
      </c>
      <c r="E971" t="s">
        <v>1832</v>
      </c>
      <c r="F971" t="s">
        <v>1754</v>
      </c>
      <c r="G971" t="s">
        <v>2317</v>
      </c>
      <c r="H971" t="s">
        <v>2318</v>
      </c>
      <c r="I971">
        <f t="shared" si="90"/>
        <v>0</v>
      </c>
      <c r="J971">
        <f t="shared" si="91"/>
        <v>0</v>
      </c>
      <c r="K971">
        <f t="shared" si="92"/>
        <v>0</v>
      </c>
      <c r="L971">
        <f t="shared" si="93"/>
        <v>1</v>
      </c>
      <c r="M971">
        <f t="shared" si="94"/>
        <v>0</v>
      </c>
      <c r="N971">
        <f t="shared" si="95"/>
        <v>1</v>
      </c>
    </row>
    <row r="972" spans="1:14" x14ac:dyDescent="0.35">
      <c r="A972" t="s">
        <v>1468</v>
      </c>
      <c r="B972" t="s">
        <v>2316</v>
      </c>
      <c r="C972" s="7" t="s">
        <v>10</v>
      </c>
      <c r="D972" t="s">
        <v>206</v>
      </c>
      <c r="E972" t="s">
        <v>1836</v>
      </c>
      <c r="F972" t="s">
        <v>1754</v>
      </c>
      <c r="G972" t="s">
        <v>2317</v>
      </c>
      <c r="H972" t="s">
        <v>2318</v>
      </c>
      <c r="I972">
        <f t="shared" si="90"/>
        <v>0</v>
      </c>
      <c r="J972">
        <f t="shared" si="91"/>
        <v>0</v>
      </c>
      <c r="K972">
        <f t="shared" si="92"/>
        <v>0</v>
      </c>
      <c r="L972">
        <f t="shared" si="93"/>
        <v>1</v>
      </c>
      <c r="M972">
        <f t="shared" si="94"/>
        <v>0</v>
      </c>
      <c r="N972">
        <f t="shared" si="95"/>
        <v>1</v>
      </c>
    </row>
    <row r="973" spans="1:14" x14ac:dyDescent="0.35">
      <c r="A973" t="s">
        <v>1468</v>
      </c>
      <c r="B973" t="s">
        <v>2316</v>
      </c>
      <c r="C973" s="7" t="s">
        <v>10</v>
      </c>
      <c r="D973" t="s">
        <v>206</v>
      </c>
      <c r="E973" t="s">
        <v>1809</v>
      </c>
      <c r="F973" t="s">
        <v>1754</v>
      </c>
      <c r="G973" t="s">
        <v>2317</v>
      </c>
      <c r="H973" t="s">
        <v>2318</v>
      </c>
      <c r="I973">
        <f t="shared" si="90"/>
        <v>0</v>
      </c>
      <c r="J973">
        <f t="shared" si="91"/>
        <v>0</v>
      </c>
      <c r="K973">
        <f t="shared" si="92"/>
        <v>0</v>
      </c>
      <c r="L973">
        <f t="shared" si="93"/>
        <v>1</v>
      </c>
      <c r="M973">
        <f t="shared" si="94"/>
        <v>0</v>
      </c>
      <c r="N973">
        <f t="shared" si="95"/>
        <v>1</v>
      </c>
    </row>
    <row r="974" spans="1:14" x14ac:dyDescent="0.35">
      <c r="A974" t="s">
        <v>1468</v>
      </c>
      <c r="B974" t="s">
        <v>2316</v>
      </c>
      <c r="C974" s="7" t="s">
        <v>10</v>
      </c>
      <c r="D974" t="s">
        <v>206</v>
      </c>
      <c r="E974" t="s">
        <v>1993</v>
      </c>
      <c r="F974" t="s">
        <v>1754</v>
      </c>
      <c r="G974" t="s">
        <v>2317</v>
      </c>
      <c r="H974" t="s">
        <v>2318</v>
      </c>
      <c r="I974">
        <f t="shared" si="90"/>
        <v>0</v>
      </c>
      <c r="J974">
        <f t="shared" si="91"/>
        <v>0</v>
      </c>
      <c r="K974">
        <f t="shared" si="92"/>
        <v>0</v>
      </c>
      <c r="L974">
        <f t="shared" si="93"/>
        <v>1</v>
      </c>
      <c r="M974">
        <f t="shared" si="94"/>
        <v>0</v>
      </c>
      <c r="N974">
        <f t="shared" si="95"/>
        <v>1</v>
      </c>
    </row>
    <row r="975" spans="1:14" x14ac:dyDescent="0.35">
      <c r="A975" t="s">
        <v>1468</v>
      </c>
      <c r="B975" t="s">
        <v>2316</v>
      </c>
      <c r="C975" s="7" t="s">
        <v>10</v>
      </c>
      <c r="D975" t="s">
        <v>206</v>
      </c>
      <c r="E975" t="s">
        <v>1991</v>
      </c>
      <c r="F975" t="s">
        <v>1754</v>
      </c>
      <c r="G975" t="s">
        <v>2317</v>
      </c>
      <c r="H975" t="s">
        <v>2318</v>
      </c>
      <c r="I975">
        <f t="shared" si="90"/>
        <v>0</v>
      </c>
      <c r="J975">
        <f t="shared" si="91"/>
        <v>0</v>
      </c>
      <c r="K975">
        <f t="shared" si="92"/>
        <v>0</v>
      </c>
      <c r="L975">
        <f t="shared" si="93"/>
        <v>1</v>
      </c>
      <c r="M975">
        <f t="shared" si="94"/>
        <v>0</v>
      </c>
      <c r="N975">
        <f t="shared" si="95"/>
        <v>1</v>
      </c>
    </row>
    <row r="976" spans="1:14" x14ac:dyDescent="0.35">
      <c r="A976" t="s">
        <v>983</v>
      </c>
      <c r="B976" t="s">
        <v>2319</v>
      </c>
      <c r="C976" s="7" t="s">
        <v>10</v>
      </c>
      <c r="D976" t="s">
        <v>92</v>
      </c>
      <c r="E976" t="s">
        <v>1821</v>
      </c>
      <c r="F976" t="s">
        <v>1760</v>
      </c>
      <c r="I976">
        <f t="shared" si="90"/>
        <v>0</v>
      </c>
      <c r="J976">
        <f t="shared" si="91"/>
        <v>0</v>
      </c>
      <c r="K976">
        <f t="shared" si="92"/>
        <v>1</v>
      </c>
      <c r="L976">
        <f t="shared" si="93"/>
        <v>0</v>
      </c>
      <c r="M976">
        <f t="shared" si="94"/>
        <v>0</v>
      </c>
      <c r="N976">
        <f t="shared" si="95"/>
        <v>0</v>
      </c>
    </row>
    <row r="977" spans="1:14" x14ac:dyDescent="0.35">
      <c r="A977" t="s">
        <v>983</v>
      </c>
      <c r="B977" t="s">
        <v>2319</v>
      </c>
      <c r="C977" s="7" t="s">
        <v>10</v>
      </c>
      <c r="D977" t="s">
        <v>92</v>
      </c>
      <c r="E977" t="s">
        <v>1839</v>
      </c>
      <c r="F977" t="s">
        <v>1760</v>
      </c>
      <c r="I977">
        <f t="shared" si="90"/>
        <v>0</v>
      </c>
      <c r="J977">
        <f t="shared" si="91"/>
        <v>0</v>
      </c>
      <c r="K977">
        <f t="shared" si="92"/>
        <v>1</v>
      </c>
      <c r="L977">
        <f t="shared" si="93"/>
        <v>0</v>
      </c>
      <c r="M977">
        <f t="shared" si="94"/>
        <v>0</v>
      </c>
      <c r="N977">
        <f t="shared" si="95"/>
        <v>0</v>
      </c>
    </row>
    <row r="978" spans="1:14" x14ac:dyDescent="0.35">
      <c r="A978" t="s">
        <v>983</v>
      </c>
      <c r="B978" t="s">
        <v>2319</v>
      </c>
      <c r="C978" s="7" t="s">
        <v>10</v>
      </c>
      <c r="D978" t="s">
        <v>92</v>
      </c>
      <c r="E978" t="s">
        <v>1822</v>
      </c>
      <c r="F978" t="s">
        <v>1760</v>
      </c>
      <c r="I978">
        <f t="shared" si="90"/>
        <v>0</v>
      </c>
      <c r="J978">
        <f t="shared" si="91"/>
        <v>0</v>
      </c>
      <c r="K978">
        <f t="shared" si="92"/>
        <v>1</v>
      </c>
      <c r="L978">
        <f t="shared" si="93"/>
        <v>0</v>
      </c>
      <c r="M978">
        <f t="shared" si="94"/>
        <v>0</v>
      </c>
      <c r="N978">
        <f t="shared" si="95"/>
        <v>0</v>
      </c>
    </row>
    <row r="979" spans="1:14" x14ac:dyDescent="0.35">
      <c r="A979" t="s">
        <v>983</v>
      </c>
      <c r="B979" t="s">
        <v>2319</v>
      </c>
      <c r="C979" s="7" t="s">
        <v>10</v>
      </c>
      <c r="D979" t="s">
        <v>92</v>
      </c>
      <c r="E979" t="s">
        <v>2002</v>
      </c>
      <c r="F979" t="s">
        <v>1754</v>
      </c>
      <c r="I979">
        <f t="shared" si="90"/>
        <v>0</v>
      </c>
      <c r="J979">
        <f t="shared" si="91"/>
        <v>0</v>
      </c>
      <c r="K979">
        <f t="shared" si="92"/>
        <v>0</v>
      </c>
      <c r="L979">
        <f t="shared" si="93"/>
        <v>1</v>
      </c>
      <c r="M979">
        <f t="shared" si="94"/>
        <v>0</v>
      </c>
      <c r="N979">
        <f t="shared" si="95"/>
        <v>0</v>
      </c>
    </row>
    <row r="980" spans="1:14" x14ac:dyDescent="0.35">
      <c r="A980" t="s">
        <v>983</v>
      </c>
      <c r="B980" t="s">
        <v>2319</v>
      </c>
      <c r="C980" s="7" t="s">
        <v>10</v>
      </c>
      <c r="D980" t="s">
        <v>92</v>
      </c>
      <c r="E980" t="s">
        <v>2003</v>
      </c>
      <c r="F980" t="s">
        <v>1754</v>
      </c>
      <c r="I980">
        <f t="shared" si="90"/>
        <v>0</v>
      </c>
      <c r="J980">
        <f t="shared" si="91"/>
        <v>0</v>
      </c>
      <c r="K980">
        <f t="shared" si="92"/>
        <v>0</v>
      </c>
      <c r="L980">
        <f t="shared" si="93"/>
        <v>1</v>
      </c>
      <c r="M980">
        <f t="shared" si="94"/>
        <v>0</v>
      </c>
      <c r="N980">
        <f t="shared" si="95"/>
        <v>0</v>
      </c>
    </row>
    <row r="981" spans="1:14" x14ac:dyDescent="0.35">
      <c r="A981" t="s">
        <v>983</v>
      </c>
      <c r="B981" t="s">
        <v>2319</v>
      </c>
      <c r="C981" s="7" t="s">
        <v>10</v>
      </c>
      <c r="D981" t="s">
        <v>92</v>
      </c>
      <c r="E981" t="s">
        <v>1938</v>
      </c>
      <c r="F981" t="s">
        <v>1760</v>
      </c>
      <c r="I981">
        <f t="shared" si="90"/>
        <v>0</v>
      </c>
      <c r="J981">
        <f t="shared" si="91"/>
        <v>0</v>
      </c>
      <c r="K981">
        <f t="shared" si="92"/>
        <v>1</v>
      </c>
      <c r="L981">
        <f t="shared" si="93"/>
        <v>0</v>
      </c>
      <c r="M981">
        <f t="shared" si="94"/>
        <v>0</v>
      </c>
      <c r="N981">
        <f t="shared" si="95"/>
        <v>0</v>
      </c>
    </row>
    <row r="982" spans="1:14" x14ac:dyDescent="0.35">
      <c r="A982" t="s">
        <v>983</v>
      </c>
      <c r="B982" t="s">
        <v>2319</v>
      </c>
      <c r="C982" s="7" t="s">
        <v>10</v>
      </c>
      <c r="D982" t="s">
        <v>92</v>
      </c>
      <c r="E982" t="s">
        <v>1838</v>
      </c>
      <c r="F982" t="s">
        <v>1760</v>
      </c>
      <c r="I982">
        <f t="shared" si="90"/>
        <v>0</v>
      </c>
      <c r="J982">
        <f t="shared" si="91"/>
        <v>0</v>
      </c>
      <c r="K982">
        <f t="shared" si="92"/>
        <v>1</v>
      </c>
      <c r="L982">
        <f t="shared" si="93"/>
        <v>0</v>
      </c>
      <c r="M982">
        <f t="shared" si="94"/>
        <v>0</v>
      </c>
      <c r="N982">
        <f t="shared" si="95"/>
        <v>0</v>
      </c>
    </row>
    <row r="983" spans="1:14" x14ac:dyDescent="0.35">
      <c r="A983" t="s">
        <v>983</v>
      </c>
      <c r="B983" t="s">
        <v>2319</v>
      </c>
      <c r="C983" s="7" t="s">
        <v>10</v>
      </c>
      <c r="D983" t="s">
        <v>92</v>
      </c>
      <c r="E983" t="s">
        <v>1843</v>
      </c>
      <c r="F983" t="s">
        <v>1760</v>
      </c>
      <c r="I983">
        <f t="shared" si="90"/>
        <v>0</v>
      </c>
      <c r="J983">
        <f t="shared" si="91"/>
        <v>0</v>
      </c>
      <c r="K983">
        <f t="shared" si="92"/>
        <v>1</v>
      </c>
      <c r="L983">
        <f t="shared" si="93"/>
        <v>0</v>
      </c>
      <c r="M983">
        <f t="shared" si="94"/>
        <v>0</v>
      </c>
      <c r="N983">
        <f t="shared" si="95"/>
        <v>0</v>
      </c>
    </row>
    <row r="984" spans="1:14" x14ac:dyDescent="0.35">
      <c r="A984" t="s">
        <v>983</v>
      </c>
      <c r="B984" t="s">
        <v>2319</v>
      </c>
      <c r="C984" s="7" t="s">
        <v>10</v>
      </c>
      <c r="D984" t="s">
        <v>92</v>
      </c>
      <c r="E984" t="s">
        <v>1842</v>
      </c>
      <c r="F984" t="s">
        <v>1760</v>
      </c>
      <c r="I984">
        <f t="shared" si="90"/>
        <v>0</v>
      </c>
      <c r="J984">
        <f t="shared" si="91"/>
        <v>0</v>
      </c>
      <c r="K984">
        <f t="shared" si="92"/>
        <v>1</v>
      </c>
      <c r="L984">
        <f t="shared" si="93"/>
        <v>0</v>
      </c>
      <c r="M984">
        <f t="shared" si="94"/>
        <v>0</v>
      </c>
      <c r="N984">
        <f t="shared" si="95"/>
        <v>0</v>
      </c>
    </row>
    <row r="985" spans="1:14" x14ac:dyDescent="0.35">
      <c r="A985" t="s">
        <v>983</v>
      </c>
      <c r="B985" t="s">
        <v>2319</v>
      </c>
      <c r="C985" s="7" t="s">
        <v>10</v>
      </c>
      <c r="D985" t="s">
        <v>92</v>
      </c>
      <c r="E985" t="s">
        <v>1823</v>
      </c>
      <c r="F985" t="s">
        <v>1760</v>
      </c>
      <c r="I985">
        <f t="shared" si="90"/>
        <v>0</v>
      </c>
      <c r="J985">
        <f t="shared" si="91"/>
        <v>0</v>
      </c>
      <c r="K985">
        <f t="shared" si="92"/>
        <v>1</v>
      </c>
      <c r="L985">
        <f t="shared" si="93"/>
        <v>0</v>
      </c>
      <c r="M985">
        <f t="shared" si="94"/>
        <v>0</v>
      </c>
      <c r="N985">
        <f t="shared" si="95"/>
        <v>0</v>
      </c>
    </row>
    <row r="986" spans="1:14" x14ac:dyDescent="0.35">
      <c r="A986" t="s">
        <v>983</v>
      </c>
      <c r="B986" t="s">
        <v>2319</v>
      </c>
      <c r="C986" s="7" t="s">
        <v>10</v>
      </c>
      <c r="D986" t="s">
        <v>92</v>
      </c>
      <c r="E986" t="s">
        <v>1928</v>
      </c>
      <c r="F986" t="s">
        <v>1754</v>
      </c>
      <c r="I986">
        <f t="shared" si="90"/>
        <v>0</v>
      </c>
      <c r="J986">
        <f t="shared" si="91"/>
        <v>0</v>
      </c>
      <c r="K986">
        <f t="shared" si="92"/>
        <v>0</v>
      </c>
      <c r="L986">
        <f t="shared" si="93"/>
        <v>1</v>
      </c>
      <c r="M986">
        <f t="shared" si="94"/>
        <v>0</v>
      </c>
      <c r="N986">
        <f t="shared" si="95"/>
        <v>0</v>
      </c>
    </row>
    <row r="987" spans="1:14" x14ac:dyDescent="0.35">
      <c r="A987" t="s">
        <v>983</v>
      </c>
      <c r="B987" t="s">
        <v>2319</v>
      </c>
      <c r="C987" s="7" t="s">
        <v>10</v>
      </c>
      <c r="D987" t="s">
        <v>92</v>
      </c>
      <c r="E987" t="s">
        <v>1931</v>
      </c>
      <c r="F987" t="s">
        <v>1754</v>
      </c>
      <c r="I987">
        <f t="shared" si="90"/>
        <v>0</v>
      </c>
      <c r="J987">
        <f t="shared" si="91"/>
        <v>0</v>
      </c>
      <c r="K987">
        <f t="shared" si="92"/>
        <v>0</v>
      </c>
      <c r="L987">
        <f t="shared" si="93"/>
        <v>1</v>
      </c>
      <c r="M987">
        <f t="shared" si="94"/>
        <v>0</v>
      </c>
      <c r="N987">
        <f t="shared" si="95"/>
        <v>0</v>
      </c>
    </row>
    <row r="988" spans="1:14" x14ac:dyDescent="0.35">
      <c r="A988" t="s">
        <v>983</v>
      </c>
      <c r="B988" t="s">
        <v>2319</v>
      </c>
      <c r="C988" s="7" t="s">
        <v>10</v>
      </c>
      <c r="D988" t="s">
        <v>92</v>
      </c>
      <c r="E988" t="s">
        <v>1841</v>
      </c>
      <c r="F988" t="s">
        <v>1760</v>
      </c>
      <c r="I988">
        <f t="shared" si="90"/>
        <v>0</v>
      </c>
      <c r="J988">
        <f t="shared" si="91"/>
        <v>0</v>
      </c>
      <c r="K988">
        <f t="shared" si="92"/>
        <v>1</v>
      </c>
      <c r="L988">
        <f t="shared" si="93"/>
        <v>0</v>
      </c>
      <c r="M988">
        <f t="shared" si="94"/>
        <v>0</v>
      </c>
      <c r="N988">
        <f t="shared" si="95"/>
        <v>0</v>
      </c>
    </row>
    <row r="989" spans="1:14" x14ac:dyDescent="0.35">
      <c r="A989" t="s">
        <v>983</v>
      </c>
      <c r="B989" t="s">
        <v>2319</v>
      </c>
      <c r="C989" s="7" t="s">
        <v>10</v>
      </c>
      <c r="D989" t="s">
        <v>92</v>
      </c>
      <c r="E989" t="s">
        <v>1892</v>
      </c>
      <c r="F989" t="s">
        <v>1760</v>
      </c>
      <c r="I989">
        <f t="shared" si="90"/>
        <v>0</v>
      </c>
      <c r="J989">
        <f t="shared" si="91"/>
        <v>0</v>
      </c>
      <c r="K989">
        <f t="shared" si="92"/>
        <v>1</v>
      </c>
      <c r="L989">
        <f t="shared" si="93"/>
        <v>0</v>
      </c>
      <c r="M989">
        <f t="shared" si="94"/>
        <v>0</v>
      </c>
      <c r="N989">
        <f t="shared" si="95"/>
        <v>0</v>
      </c>
    </row>
    <row r="990" spans="1:14" x14ac:dyDescent="0.35">
      <c r="A990" t="s">
        <v>983</v>
      </c>
      <c r="B990" t="s">
        <v>2319</v>
      </c>
      <c r="C990" s="7" t="s">
        <v>10</v>
      </c>
      <c r="D990" t="s">
        <v>92</v>
      </c>
      <c r="E990" t="s">
        <v>1935</v>
      </c>
      <c r="F990" t="s">
        <v>1760</v>
      </c>
      <c r="I990">
        <f t="shared" si="90"/>
        <v>0</v>
      </c>
      <c r="J990">
        <f t="shared" si="91"/>
        <v>0</v>
      </c>
      <c r="K990">
        <f t="shared" si="92"/>
        <v>1</v>
      </c>
      <c r="L990">
        <f t="shared" si="93"/>
        <v>0</v>
      </c>
      <c r="M990">
        <f t="shared" si="94"/>
        <v>0</v>
      </c>
      <c r="N990">
        <f t="shared" si="95"/>
        <v>0</v>
      </c>
    </row>
    <row r="991" spans="1:14" x14ac:dyDescent="0.35">
      <c r="A991" t="s">
        <v>960</v>
      </c>
      <c r="B991" t="s">
        <v>2320</v>
      </c>
      <c r="C991" s="7" t="s">
        <v>10</v>
      </c>
      <c r="D991" t="s">
        <v>51</v>
      </c>
      <c r="E991" t="s">
        <v>1816</v>
      </c>
      <c r="F991" t="s">
        <v>1760</v>
      </c>
      <c r="I991">
        <f t="shared" si="90"/>
        <v>0</v>
      </c>
      <c r="J991">
        <f t="shared" si="91"/>
        <v>0</v>
      </c>
      <c r="K991">
        <f t="shared" si="92"/>
        <v>1</v>
      </c>
      <c r="L991">
        <f t="shared" si="93"/>
        <v>0</v>
      </c>
      <c r="M991">
        <f t="shared" si="94"/>
        <v>0</v>
      </c>
      <c r="N991">
        <f t="shared" si="95"/>
        <v>0</v>
      </c>
    </row>
    <row r="992" spans="1:14" x14ac:dyDescent="0.35">
      <c r="A992" t="s">
        <v>960</v>
      </c>
      <c r="B992" t="s">
        <v>2320</v>
      </c>
      <c r="C992" s="7" t="s">
        <v>10</v>
      </c>
      <c r="D992" t="s">
        <v>51</v>
      </c>
      <c r="E992" t="s">
        <v>1821</v>
      </c>
      <c r="F992" t="s">
        <v>1760</v>
      </c>
      <c r="I992">
        <f t="shared" si="90"/>
        <v>0</v>
      </c>
      <c r="J992">
        <f t="shared" si="91"/>
        <v>0</v>
      </c>
      <c r="K992">
        <f t="shared" si="92"/>
        <v>1</v>
      </c>
      <c r="L992">
        <f t="shared" si="93"/>
        <v>0</v>
      </c>
      <c r="M992">
        <f t="shared" si="94"/>
        <v>0</v>
      </c>
      <c r="N992">
        <f t="shared" si="95"/>
        <v>0</v>
      </c>
    </row>
    <row r="993" spans="1:14" x14ac:dyDescent="0.35">
      <c r="A993" t="s">
        <v>960</v>
      </c>
      <c r="B993" t="s">
        <v>2320</v>
      </c>
      <c r="C993" s="7" t="s">
        <v>10</v>
      </c>
      <c r="D993" t="s">
        <v>51</v>
      </c>
      <c r="E993" t="s">
        <v>1822</v>
      </c>
      <c r="F993" t="s">
        <v>1760</v>
      </c>
      <c r="I993">
        <f t="shared" si="90"/>
        <v>0</v>
      </c>
      <c r="J993">
        <f t="shared" si="91"/>
        <v>0</v>
      </c>
      <c r="K993">
        <f t="shared" si="92"/>
        <v>1</v>
      </c>
      <c r="L993">
        <f t="shared" si="93"/>
        <v>0</v>
      </c>
      <c r="M993">
        <f t="shared" si="94"/>
        <v>0</v>
      </c>
      <c r="N993">
        <f t="shared" si="95"/>
        <v>0</v>
      </c>
    </row>
    <row r="994" spans="1:14" x14ac:dyDescent="0.35">
      <c r="A994" t="s">
        <v>960</v>
      </c>
      <c r="B994" t="s">
        <v>2320</v>
      </c>
      <c r="C994" s="7" t="s">
        <v>10</v>
      </c>
      <c r="D994" t="s">
        <v>51</v>
      </c>
      <c r="E994" t="s">
        <v>1823</v>
      </c>
      <c r="F994" t="s">
        <v>1760</v>
      </c>
      <c r="I994">
        <f t="shared" si="90"/>
        <v>0</v>
      </c>
      <c r="J994">
        <f t="shared" si="91"/>
        <v>0</v>
      </c>
      <c r="K994">
        <f t="shared" si="92"/>
        <v>1</v>
      </c>
      <c r="L994">
        <f t="shared" si="93"/>
        <v>0</v>
      </c>
      <c r="M994">
        <f t="shared" si="94"/>
        <v>0</v>
      </c>
      <c r="N994">
        <f t="shared" si="95"/>
        <v>0</v>
      </c>
    </row>
    <row r="995" spans="1:14" x14ac:dyDescent="0.35">
      <c r="A995" t="s">
        <v>934</v>
      </c>
      <c r="B995" t="s">
        <v>2321</v>
      </c>
      <c r="C995" s="7" t="s">
        <v>10</v>
      </c>
      <c r="D995" t="s">
        <v>55</v>
      </c>
      <c r="E995" t="s">
        <v>2053</v>
      </c>
      <c r="F995" t="s">
        <v>1805</v>
      </c>
      <c r="I995">
        <f t="shared" si="90"/>
        <v>0</v>
      </c>
      <c r="J995">
        <f t="shared" si="91"/>
        <v>1</v>
      </c>
      <c r="K995">
        <f t="shared" si="92"/>
        <v>0</v>
      </c>
      <c r="L995">
        <f t="shared" si="93"/>
        <v>0</v>
      </c>
      <c r="M995">
        <f t="shared" si="94"/>
        <v>0</v>
      </c>
      <c r="N995">
        <f t="shared" si="95"/>
        <v>0</v>
      </c>
    </row>
    <row r="996" spans="1:14" x14ac:dyDescent="0.35">
      <c r="A996" t="s">
        <v>934</v>
      </c>
      <c r="B996" t="s">
        <v>2321</v>
      </c>
      <c r="C996" s="7" t="s">
        <v>10</v>
      </c>
      <c r="D996" t="s">
        <v>55</v>
      </c>
      <c r="E996" t="s">
        <v>2053</v>
      </c>
      <c r="F996" t="s">
        <v>1805</v>
      </c>
      <c r="I996">
        <f t="shared" si="90"/>
        <v>0</v>
      </c>
      <c r="J996">
        <f t="shared" si="91"/>
        <v>1</v>
      </c>
      <c r="K996">
        <f t="shared" si="92"/>
        <v>0</v>
      </c>
      <c r="L996">
        <f t="shared" si="93"/>
        <v>0</v>
      </c>
      <c r="M996">
        <f t="shared" si="94"/>
        <v>0</v>
      </c>
      <c r="N996">
        <f t="shared" si="95"/>
        <v>0</v>
      </c>
    </row>
    <row r="997" spans="1:14" x14ac:dyDescent="0.35">
      <c r="A997" t="s">
        <v>416</v>
      </c>
      <c r="B997" t="s">
        <v>2322</v>
      </c>
      <c r="C997" s="7" t="s">
        <v>10</v>
      </c>
      <c r="D997" t="s">
        <v>281</v>
      </c>
      <c r="E997" t="s">
        <v>2034</v>
      </c>
      <c r="F997" t="s">
        <v>1886</v>
      </c>
      <c r="G997" t="s">
        <v>2323</v>
      </c>
      <c r="H997" t="s">
        <v>2324</v>
      </c>
      <c r="I997">
        <f t="shared" si="90"/>
        <v>0</v>
      </c>
      <c r="J997">
        <f t="shared" si="91"/>
        <v>0</v>
      </c>
      <c r="K997">
        <f t="shared" si="92"/>
        <v>0</v>
      </c>
      <c r="L997">
        <f t="shared" si="93"/>
        <v>0</v>
      </c>
      <c r="M997">
        <f t="shared" si="94"/>
        <v>0</v>
      </c>
      <c r="N997">
        <f t="shared" si="95"/>
        <v>1</v>
      </c>
    </row>
    <row r="998" spans="1:14" x14ac:dyDescent="0.35">
      <c r="A998" t="s">
        <v>416</v>
      </c>
      <c r="B998" t="s">
        <v>2322</v>
      </c>
      <c r="C998" s="7" t="s">
        <v>10</v>
      </c>
      <c r="D998" t="s">
        <v>281</v>
      </c>
      <c r="E998" t="s">
        <v>1904</v>
      </c>
      <c r="F998" t="s">
        <v>1760</v>
      </c>
      <c r="G998" t="s">
        <v>2323</v>
      </c>
      <c r="H998" t="s">
        <v>2324</v>
      </c>
      <c r="I998">
        <f t="shared" si="90"/>
        <v>0</v>
      </c>
      <c r="J998">
        <f t="shared" si="91"/>
        <v>0</v>
      </c>
      <c r="K998">
        <f t="shared" si="92"/>
        <v>1</v>
      </c>
      <c r="L998">
        <f t="shared" si="93"/>
        <v>0</v>
      </c>
      <c r="M998">
        <f t="shared" si="94"/>
        <v>0</v>
      </c>
      <c r="N998">
        <f t="shared" si="95"/>
        <v>1</v>
      </c>
    </row>
    <row r="999" spans="1:14" x14ac:dyDescent="0.35">
      <c r="A999" t="s">
        <v>416</v>
      </c>
      <c r="B999" t="s">
        <v>2322</v>
      </c>
      <c r="C999" s="7" t="s">
        <v>10</v>
      </c>
      <c r="D999" t="s">
        <v>281</v>
      </c>
      <c r="E999" t="s">
        <v>2325</v>
      </c>
      <c r="F999" t="s">
        <v>1886</v>
      </c>
      <c r="G999" t="s">
        <v>2323</v>
      </c>
      <c r="H999" t="s">
        <v>2324</v>
      </c>
      <c r="I999">
        <f t="shared" si="90"/>
        <v>0</v>
      </c>
      <c r="J999">
        <f t="shared" si="91"/>
        <v>0</v>
      </c>
      <c r="K999">
        <f t="shared" si="92"/>
        <v>0</v>
      </c>
      <c r="L999">
        <f t="shared" si="93"/>
        <v>0</v>
      </c>
      <c r="M999">
        <f t="shared" si="94"/>
        <v>0</v>
      </c>
      <c r="N999">
        <f t="shared" si="95"/>
        <v>1</v>
      </c>
    </row>
    <row r="1000" spans="1:14" x14ac:dyDescent="0.35">
      <c r="A1000" t="s">
        <v>416</v>
      </c>
      <c r="B1000" t="s">
        <v>2322</v>
      </c>
      <c r="C1000" s="7" t="s">
        <v>10</v>
      </c>
      <c r="D1000" t="s">
        <v>281</v>
      </c>
      <c r="E1000" t="s">
        <v>2326</v>
      </c>
      <c r="F1000" t="s">
        <v>1886</v>
      </c>
      <c r="G1000" t="s">
        <v>2323</v>
      </c>
      <c r="H1000" t="s">
        <v>2324</v>
      </c>
      <c r="I1000">
        <f t="shared" si="90"/>
        <v>0</v>
      </c>
      <c r="J1000">
        <f t="shared" si="91"/>
        <v>0</v>
      </c>
      <c r="K1000">
        <f t="shared" si="92"/>
        <v>0</v>
      </c>
      <c r="L1000">
        <f t="shared" si="93"/>
        <v>0</v>
      </c>
      <c r="M1000">
        <f t="shared" si="94"/>
        <v>0</v>
      </c>
      <c r="N1000">
        <f t="shared" si="95"/>
        <v>1</v>
      </c>
    </row>
    <row r="1001" spans="1:14" x14ac:dyDescent="0.35">
      <c r="A1001" t="s">
        <v>416</v>
      </c>
      <c r="B1001" t="s">
        <v>2322</v>
      </c>
      <c r="C1001" s="7" t="s">
        <v>10</v>
      </c>
      <c r="D1001" t="s">
        <v>281</v>
      </c>
      <c r="E1001" t="s">
        <v>2327</v>
      </c>
      <c r="F1001" t="s">
        <v>1886</v>
      </c>
      <c r="G1001" t="s">
        <v>2323</v>
      </c>
      <c r="H1001" t="s">
        <v>2324</v>
      </c>
      <c r="I1001">
        <f t="shared" si="90"/>
        <v>0</v>
      </c>
      <c r="J1001">
        <f t="shared" si="91"/>
        <v>0</v>
      </c>
      <c r="K1001">
        <f t="shared" si="92"/>
        <v>0</v>
      </c>
      <c r="L1001">
        <f t="shared" si="93"/>
        <v>0</v>
      </c>
      <c r="M1001">
        <f t="shared" si="94"/>
        <v>0</v>
      </c>
      <c r="N1001">
        <f t="shared" si="95"/>
        <v>1</v>
      </c>
    </row>
    <row r="1002" spans="1:14" x14ac:dyDescent="0.35">
      <c r="A1002" t="s">
        <v>416</v>
      </c>
      <c r="B1002" t="s">
        <v>2322</v>
      </c>
      <c r="C1002" s="7" t="s">
        <v>10</v>
      </c>
      <c r="D1002" t="s">
        <v>281</v>
      </c>
      <c r="E1002" t="s">
        <v>1849</v>
      </c>
      <c r="F1002" t="s">
        <v>1754</v>
      </c>
      <c r="G1002" t="s">
        <v>2323</v>
      </c>
      <c r="H1002" t="s">
        <v>2324</v>
      </c>
      <c r="I1002">
        <f t="shared" si="90"/>
        <v>0</v>
      </c>
      <c r="J1002">
        <f t="shared" si="91"/>
        <v>0</v>
      </c>
      <c r="K1002">
        <f t="shared" si="92"/>
        <v>0</v>
      </c>
      <c r="L1002">
        <f t="shared" si="93"/>
        <v>1</v>
      </c>
      <c r="M1002">
        <f t="shared" si="94"/>
        <v>0</v>
      </c>
      <c r="N1002">
        <f t="shared" si="95"/>
        <v>1</v>
      </c>
    </row>
    <row r="1003" spans="1:14" x14ac:dyDescent="0.35">
      <c r="A1003" t="s">
        <v>416</v>
      </c>
      <c r="B1003" t="s">
        <v>2322</v>
      </c>
      <c r="C1003" s="7" t="s">
        <v>10</v>
      </c>
      <c r="D1003" t="s">
        <v>281</v>
      </c>
      <c r="E1003" t="s">
        <v>2328</v>
      </c>
      <c r="F1003" t="s">
        <v>1886</v>
      </c>
      <c r="G1003" t="s">
        <v>2323</v>
      </c>
      <c r="H1003" t="s">
        <v>2324</v>
      </c>
      <c r="I1003">
        <f t="shared" si="90"/>
        <v>0</v>
      </c>
      <c r="J1003">
        <f t="shared" si="91"/>
        <v>0</v>
      </c>
      <c r="K1003">
        <f t="shared" si="92"/>
        <v>0</v>
      </c>
      <c r="L1003">
        <f t="shared" si="93"/>
        <v>0</v>
      </c>
      <c r="M1003">
        <f t="shared" si="94"/>
        <v>0</v>
      </c>
      <c r="N1003">
        <f t="shared" si="95"/>
        <v>1</v>
      </c>
    </row>
    <row r="1004" spans="1:14" x14ac:dyDescent="0.35">
      <c r="A1004" t="s">
        <v>708</v>
      </c>
      <c r="B1004" t="s">
        <v>2329</v>
      </c>
      <c r="C1004" s="7" t="s">
        <v>10</v>
      </c>
      <c r="D1004" t="s">
        <v>55</v>
      </c>
      <c r="E1004" t="s">
        <v>1807</v>
      </c>
      <c r="F1004" t="s">
        <v>1754</v>
      </c>
      <c r="I1004">
        <f t="shared" si="90"/>
        <v>0</v>
      </c>
      <c r="J1004">
        <f t="shared" si="91"/>
        <v>0</v>
      </c>
      <c r="K1004">
        <f t="shared" si="92"/>
        <v>0</v>
      </c>
      <c r="L1004">
        <f t="shared" si="93"/>
        <v>1</v>
      </c>
      <c r="M1004">
        <f t="shared" si="94"/>
        <v>0</v>
      </c>
      <c r="N1004">
        <f t="shared" si="95"/>
        <v>0</v>
      </c>
    </row>
    <row r="1005" spans="1:14" x14ac:dyDescent="0.35">
      <c r="A1005" t="s">
        <v>708</v>
      </c>
      <c r="B1005" t="s">
        <v>2329</v>
      </c>
      <c r="C1005" s="7" t="s">
        <v>10</v>
      </c>
      <c r="D1005" t="s">
        <v>55</v>
      </c>
      <c r="E1005" t="s">
        <v>1806</v>
      </c>
      <c r="F1005" t="s">
        <v>1754</v>
      </c>
      <c r="I1005">
        <f t="shared" si="90"/>
        <v>0</v>
      </c>
      <c r="J1005">
        <f t="shared" si="91"/>
        <v>0</v>
      </c>
      <c r="K1005">
        <f t="shared" si="92"/>
        <v>0</v>
      </c>
      <c r="L1005">
        <f t="shared" si="93"/>
        <v>1</v>
      </c>
      <c r="M1005">
        <f t="shared" si="94"/>
        <v>0</v>
      </c>
      <c r="N1005">
        <f t="shared" si="95"/>
        <v>0</v>
      </c>
    </row>
    <row r="1006" spans="1:14" x14ac:dyDescent="0.35">
      <c r="A1006" t="s">
        <v>462</v>
      </c>
      <c r="B1006" t="s">
        <v>2330</v>
      </c>
      <c r="C1006" s="7" t="s">
        <v>10</v>
      </c>
      <c r="D1006" t="s">
        <v>55</v>
      </c>
      <c r="E1006" t="s">
        <v>2217</v>
      </c>
      <c r="F1006" t="s">
        <v>1727</v>
      </c>
      <c r="I1006">
        <f t="shared" si="90"/>
        <v>0</v>
      </c>
      <c r="J1006">
        <f t="shared" si="91"/>
        <v>0</v>
      </c>
      <c r="K1006">
        <f t="shared" si="92"/>
        <v>0</v>
      </c>
      <c r="L1006">
        <f t="shared" si="93"/>
        <v>0</v>
      </c>
      <c r="M1006">
        <f t="shared" si="94"/>
        <v>1</v>
      </c>
      <c r="N1006">
        <f t="shared" si="95"/>
        <v>0</v>
      </c>
    </row>
    <row r="1007" spans="1:14" x14ac:dyDescent="0.35">
      <c r="A1007" t="s">
        <v>1094</v>
      </c>
      <c r="B1007" t="s">
        <v>2331</v>
      </c>
      <c r="C1007" s="7" t="s">
        <v>10</v>
      </c>
      <c r="D1007" t="s">
        <v>152</v>
      </c>
      <c r="E1007" t="s">
        <v>1910</v>
      </c>
      <c r="F1007" t="s">
        <v>1754</v>
      </c>
      <c r="I1007">
        <f t="shared" si="90"/>
        <v>0</v>
      </c>
      <c r="J1007">
        <f t="shared" si="91"/>
        <v>0</v>
      </c>
      <c r="K1007">
        <f t="shared" si="92"/>
        <v>0</v>
      </c>
      <c r="L1007">
        <f t="shared" si="93"/>
        <v>1</v>
      </c>
      <c r="M1007">
        <f t="shared" si="94"/>
        <v>0</v>
      </c>
      <c r="N1007">
        <f t="shared" si="95"/>
        <v>0</v>
      </c>
    </row>
    <row r="1008" spans="1:14" x14ac:dyDescent="0.35">
      <c r="A1008" t="s">
        <v>1094</v>
      </c>
      <c r="B1008" t="s">
        <v>2331</v>
      </c>
      <c r="C1008" s="7" t="s">
        <v>10</v>
      </c>
      <c r="D1008" t="s">
        <v>152</v>
      </c>
      <c r="E1008" t="s">
        <v>2044</v>
      </c>
      <c r="F1008" t="s">
        <v>1727</v>
      </c>
      <c r="I1008">
        <f t="shared" si="90"/>
        <v>0</v>
      </c>
      <c r="J1008">
        <f t="shared" si="91"/>
        <v>0</v>
      </c>
      <c r="K1008">
        <f t="shared" si="92"/>
        <v>0</v>
      </c>
      <c r="L1008">
        <f t="shared" si="93"/>
        <v>0</v>
      </c>
      <c r="M1008">
        <f t="shared" si="94"/>
        <v>1</v>
      </c>
      <c r="N1008">
        <f t="shared" si="95"/>
        <v>0</v>
      </c>
    </row>
    <row r="1009" spans="1:14" x14ac:dyDescent="0.35">
      <c r="A1009" t="s">
        <v>1094</v>
      </c>
      <c r="B1009" t="s">
        <v>2331</v>
      </c>
      <c r="C1009" s="7" t="s">
        <v>10</v>
      </c>
      <c r="D1009" t="s">
        <v>152</v>
      </c>
      <c r="E1009" t="s">
        <v>1911</v>
      </c>
      <c r="F1009" t="s">
        <v>1754</v>
      </c>
      <c r="I1009">
        <f t="shared" si="90"/>
        <v>0</v>
      </c>
      <c r="J1009">
        <f t="shared" si="91"/>
        <v>0</v>
      </c>
      <c r="K1009">
        <f t="shared" si="92"/>
        <v>0</v>
      </c>
      <c r="L1009">
        <f t="shared" si="93"/>
        <v>1</v>
      </c>
      <c r="M1009">
        <f t="shared" si="94"/>
        <v>0</v>
      </c>
      <c r="N1009">
        <f t="shared" si="95"/>
        <v>0</v>
      </c>
    </row>
    <row r="1010" spans="1:14" x14ac:dyDescent="0.35">
      <c r="A1010" t="s">
        <v>1285</v>
      </c>
      <c r="B1010" t="s">
        <v>2332</v>
      </c>
      <c r="C1010" s="7" t="s">
        <v>10</v>
      </c>
      <c r="D1010" t="s">
        <v>276</v>
      </c>
      <c r="E1010" t="s">
        <v>1889</v>
      </c>
      <c r="F1010" t="s">
        <v>1754</v>
      </c>
      <c r="I1010">
        <f t="shared" si="90"/>
        <v>0</v>
      </c>
      <c r="J1010">
        <f t="shared" si="91"/>
        <v>0</v>
      </c>
      <c r="K1010">
        <f t="shared" si="92"/>
        <v>0</v>
      </c>
      <c r="L1010">
        <f t="shared" si="93"/>
        <v>1</v>
      </c>
      <c r="M1010">
        <f t="shared" si="94"/>
        <v>0</v>
      </c>
      <c r="N1010">
        <f t="shared" si="95"/>
        <v>0</v>
      </c>
    </row>
    <row r="1011" spans="1:14" x14ac:dyDescent="0.35">
      <c r="A1011" t="s">
        <v>1285</v>
      </c>
      <c r="B1011" t="s">
        <v>2332</v>
      </c>
      <c r="C1011" s="7" t="s">
        <v>10</v>
      </c>
      <c r="D1011" t="s">
        <v>276</v>
      </c>
      <c r="E1011" t="s">
        <v>1888</v>
      </c>
      <c r="F1011" t="s">
        <v>1754</v>
      </c>
      <c r="I1011">
        <f t="shared" si="90"/>
        <v>0</v>
      </c>
      <c r="J1011">
        <f t="shared" si="91"/>
        <v>0</v>
      </c>
      <c r="K1011">
        <f t="shared" si="92"/>
        <v>0</v>
      </c>
      <c r="L1011">
        <f t="shared" si="93"/>
        <v>1</v>
      </c>
      <c r="M1011">
        <f t="shared" si="94"/>
        <v>0</v>
      </c>
      <c r="N1011">
        <f t="shared" si="95"/>
        <v>0</v>
      </c>
    </row>
    <row r="1012" spans="1:14" x14ac:dyDescent="0.35">
      <c r="A1012" t="s">
        <v>1285</v>
      </c>
      <c r="B1012" t="s">
        <v>2332</v>
      </c>
      <c r="C1012" s="7" t="s">
        <v>10</v>
      </c>
      <c r="D1012" t="s">
        <v>276</v>
      </c>
      <c r="E1012" t="s">
        <v>1968</v>
      </c>
      <c r="F1012" t="s">
        <v>1760</v>
      </c>
      <c r="I1012">
        <f t="shared" si="90"/>
        <v>0</v>
      </c>
      <c r="J1012">
        <f t="shared" si="91"/>
        <v>0</v>
      </c>
      <c r="K1012">
        <f t="shared" si="92"/>
        <v>1</v>
      </c>
      <c r="L1012">
        <f t="shared" si="93"/>
        <v>0</v>
      </c>
      <c r="M1012">
        <f t="shared" si="94"/>
        <v>0</v>
      </c>
      <c r="N1012">
        <f t="shared" si="95"/>
        <v>0</v>
      </c>
    </row>
    <row r="1013" spans="1:14" x14ac:dyDescent="0.35">
      <c r="A1013" t="s">
        <v>1285</v>
      </c>
      <c r="B1013" t="s">
        <v>2332</v>
      </c>
      <c r="C1013" s="7" t="s">
        <v>10</v>
      </c>
      <c r="D1013" t="s">
        <v>276</v>
      </c>
      <c r="E1013" t="s">
        <v>2333</v>
      </c>
      <c r="F1013" t="s">
        <v>1760</v>
      </c>
      <c r="I1013">
        <f t="shared" si="90"/>
        <v>0</v>
      </c>
      <c r="J1013">
        <f t="shared" si="91"/>
        <v>0</v>
      </c>
      <c r="K1013">
        <f t="shared" si="92"/>
        <v>1</v>
      </c>
      <c r="L1013">
        <f t="shared" si="93"/>
        <v>0</v>
      </c>
      <c r="M1013">
        <f t="shared" si="94"/>
        <v>0</v>
      </c>
      <c r="N1013">
        <f t="shared" si="95"/>
        <v>0</v>
      </c>
    </row>
    <row r="1014" spans="1:14" x14ac:dyDescent="0.35">
      <c r="A1014" t="s">
        <v>359</v>
      </c>
      <c r="B1014" t="s">
        <v>2334</v>
      </c>
      <c r="C1014" s="7" t="s">
        <v>10</v>
      </c>
      <c r="D1014" t="s">
        <v>342</v>
      </c>
      <c r="E1014" t="s">
        <v>1858</v>
      </c>
      <c r="F1014" t="s">
        <v>1760</v>
      </c>
      <c r="I1014">
        <f t="shared" si="90"/>
        <v>0</v>
      </c>
      <c r="J1014">
        <f t="shared" si="91"/>
        <v>0</v>
      </c>
      <c r="K1014">
        <f t="shared" si="92"/>
        <v>1</v>
      </c>
      <c r="L1014">
        <f t="shared" si="93"/>
        <v>0</v>
      </c>
      <c r="M1014">
        <f t="shared" si="94"/>
        <v>0</v>
      </c>
      <c r="N1014">
        <f t="shared" si="95"/>
        <v>0</v>
      </c>
    </row>
    <row r="1015" spans="1:14" x14ac:dyDescent="0.35">
      <c r="A1015" t="s">
        <v>359</v>
      </c>
      <c r="B1015" t="s">
        <v>2334</v>
      </c>
      <c r="C1015" s="7" t="s">
        <v>10</v>
      </c>
      <c r="D1015" t="s">
        <v>342</v>
      </c>
      <c r="E1015" t="s">
        <v>1872</v>
      </c>
      <c r="F1015" t="s">
        <v>1727</v>
      </c>
      <c r="I1015">
        <f t="shared" si="90"/>
        <v>0</v>
      </c>
      <c r="J1015">
        <f t="shared" si="91"/>
        <v>0</v>
      </c>
      <c r="K1015">
        <f t="shared" si="92"/>
        <v>0</v>
      </c>
      <c r="L1015">
        <f t="shared" si="93"/>
        <v>0</v>
      </c>
      <c r="M1015">
        <f t="shared" si="94"/>
        <v>1</v>
      </c>
      <c r="N1015">
        <f t="shared" si="95"/>
        <v>0</v>
      </c>
    </row>
    <row r="1016" spans="1:14" x14ac:dyDescent="0.35">
      <c r="A1016" t="s">
        <v>75</v>
      </c>
      <c r="B1016" t="s">
        <v>2335</v>
      </c>
      <c r="C1016" s="7" t="s">
        <v>10</v>
      </c>
      <c r="D1016" t="s">
        <v>55</v>
      </c>
      <c r="E1016" t="s">
        <v>1822</v>
      </c>
      <c r="F1016" t="s">
        <v>1760</v>
      </c>
      <c r="I1016">
        <f t="shared" si="90"/>
        <v>0</v>
      </c>
      <c r="J1016">
        <f t="shared" si="91"/>
        <v>0</v>
      </c>
      <c r="K1016">
        <f t="shared" si="92"/>
        <v>1</v>
      </c>
      <c r="L1016">
        <f t="shared" si="93"/>
        <v>0</v>
      </c>
      <c r="M1016">
        <f t="shared" si="94"/>
        <v>0</v>
      </c>
      <c r="N1016">
        <f t="shared" si="95"/>
        <v>0</v>
      </c>
    </row>
    <row r="1017" spans="1:14" x14ac:dyDescent="0.35">
      <c r="A1017" t="s">
        <v>75</v>
      </c>
      <c r="B1017" t="s">
        <v>2335</v>
      </c>
      <c r="C1017" s="7" t="s">
        <v>10</v>
      </c>
      <c r="D1017" t="s">
        <v>55</v>
      </c>
      <c r="E1017" t="s">
        <v>1821</v>
      </c>
      <c r="F1017" t="s">
        <v>1760</v>
      </c>
      <c r="I1017">
        <f t="shared" si="90"/>
        <v>0</v>
      </c>
      <c r="J1017">
        <f t="shared" si="91"/>
        <v>0</v>
      </c>
      <c r="K1017">
        <f t="shared" si="92"/>
        <v>1</v>
      </c>
      <c r="L1017">
        <f t="shared" si="93"/>
        <v>0</v>
      </c>
      <c r="M1017">
        <f t="shared" si="94"/>
        <v>0</v>
      </c>
      <c r="N1017">
        <f t="shared" si="95"/>
        <v>0</v>
      </c>
    </row>
    <row r="1018" spans="1:14" x14ac:dyDescent="0.35">
      <c r="A1018" t="s">
        <v>75</v>
      </c>
      <c r="B1018" t="s">
        <v>2335</v>
      </c>
      <c r="C1018" s="7" t="s">
        <v>10</v>
      </c>
      <c r="D1018" t="s">
        <v>55</v>
      </c>
      <c r="E1018" t="s">
        <v>1823</v>
      </c>
      <c r="F1018" t="s">
        <v>1760</v>
      </c>
      <c r="I1018">
        <f t="shared" si="90"/>
        <v>0</v>
      </c>
      <c r="J1018">
        <f t="shared" si="91"/>
        <v>0</v>
      </c>
      <c r="K1018">
        <f t="shared" si="92"/>
        <v>1</v>
      </c>
      <c r="L1018">
        <f t="shared" si="93"/>
        <v>0</v>
      </c>
      <c r="M1018">
        <f t="shared" si="94"/>
        <v>0</v>
      </c>
      <c r="N1018">
        <f t="shared" si="95"/>
        <v>0</v>
      </c>
    </row>
    <row r="1019" spans="1:14" x14ac:dyDescent="0.35">
      <c r="A1019" t="s">
        <v>75</v>
      </c>
      <c r="B1019" t="s">
        <v>2335</v>
      </c>
      <c r="C1019" s="7" t="s">
        <v>10</v>
      </c>
      <c r="D1019" t="s">
        <v>55</v>
      </c>
      <c r="E1019" t="s">
        <v>1840</v>
      </c>
      <c r="F1019" t="s">
        <v>1760</v>
      </c>
      <c r="I1019">
        <f t="shared" si="90"/>
        <v>0</v>
      </c>
      <c r="J1019">
        <f t="shared" si="91"/>
        <v>0</v>
      </c>
      <c r="K1019">
        <f t="shared" si="92"/>
        <v>1</v>
      </c>
      <c r="L1019">
        <f t="shared" si="93"/>
        <v>0</v>
      </c>
      <c r="M1019">
        <f t="shared" si="94"/>
        <v>0</v>
      </c>
      <c r="N1019">
        <f t="shared" si="95"/>
        <v>0</v>
      </c>
    </row>
    <row r="1020" spans="1:14" x14ac:dyDescent="0.35">
      <c r="A1020" t="s">
        <v>428</v>
      </c>
      <c r="B1020" t="s">
        <v>2336</v>
      </c>
      <c r="C1020" s="7" t="s">
        <v>10</v>
      </c>
      <c r="D1020" t="s">
        <v>55</v>
      </c>
      <c r="E1020" t="s">
        <v>2163</v>
      </c>
      <c r="F1020" t="s">
        <v>1805</v>
      </c>
      <c r="I1020">
        <f t="shared" si="90"/>
        <v>0</v>
      </c>
      <c r="J1020">
        <f t="shared" si="91"/>
        <v>1</v>
      </c>
      <c r="K1020">
        <f t="shared" si="92"/>
        <v>0</v>
      </c>
      <c r="L1020">
        <f t="shared" si="93"/>
        <v>0</v>
      </c>
      <c r="M1020">
        <f t="shared" si="94"/>
        <v>0</v>
      </c>
      <c r="N1020">
        <f t="shared" si="95"/>
        <v>0</v>
      </c>
    </row>
    <row r="1021" spans="1:14" x14ac:dyDescent="0.35">
      <c r="A1021" t="s">
        <v>428</v>
      </c>
      <c r="B1021" t="s">
        <v>2336</v>
      </c>
      <c r="C1021" s="7" t="s">
        <v>10</v>
      </c>
      <c r="D1021" t="s">
        <v>55</v>
      </c>
      <c r="E1021" t="s">
        <v>1961</v>
      </c>
      <c r="F1021" t="s">
        <v>1805</v>
      </c>
      <c r="I1021">
        <f t="shared" si="90"/>
        <v>0</v>
      </c>
      <c r="J1021">
        <f t="shared" si="91"/>
        <v>1</v>
      </c>
      <c r="K1021">
        <f t="shared" si="92"/>
        <v>0</v>
      </c>
      <c r="L1021">
        <f t="shared" si="93"/>
        <v>0</v>
      </c>
      <c r="M1021">
        <f t="shared" si="94"/>
        <v>0</v>
      </c>
      <c r="N1021">
        <f t="shared" si="95"/>
        <v>0</v>
      </c>
    </row>
    <row r="1022" spans="1:14" x14ac:dyDescent="0.35">
      <c r="A1022" t="s">
        <v>428</v>
      </c>
      <c r="B1022" t="s">
        <v>2336</v>
      </c>
      <c r="C1022" s="7" t="s">
        <v>10</v>
      </c>
      <c r="D1022" t="s">
        <v>55</v>
      </c>
      <c r="E1022" t="s">
        <v>1956</v>
      </c>
      <c r="F1022" t="s">
        <v>1760</v>
      </c>
      <c r="I1022">
        <f t="shared" si="90"/>
        <v>0</v>
      </c>
      <c r="J1022">
        <f t="shared" si="91"/>
        <v>0</v>
      </c>
      <c r="K1022">
        <f t="shared" si="92"/>
        <v>1</v>
      </c>
      <c r="L1022">
        <f t="shared" si="93"/>
        <v>0</v>
      </c>
      <c r="M1022">
        <f t="shared" si="94"/>
        <v>0</v>
      </c>
      <c r="N1022">
        <f t="shared" si="95"/>
        <v>0</v>
      </c>
    </row>
    <row r="1023" spans="1:14" x14ac:dyDescent="0.35">
      <c r="A1023" t="s">
        <v>428</v>
      </c>
      <c r="B1023" t="s">
        <v>2336</v>
      </c>
      <c r="C1023" s="7" t="s">
        <v>10</v>
      </c>
      <c r="D1023" t="s">
        <v>55</v>
      </c>
      <c r="E1023" t="s">
        <v>1955</v>
      </c>
      <c r="F1023" t="s">
        <v>1760</v>
      </c>
      <c r="I1023">
        <f t="shared" si="90"/>
        <v>0</v>
      </c>
      <c r="J1023">
        <f t="shared" si="91"/>
        <v>0</v>
      </c>
      <c r="K1023">
        <f t="shared" si="92"/>
        <v>1</v>
      </c>
      <c r="L1023">
        <f t="shared" si="93"/>
        <v>0</v>
      </c>
      <c r="M1023">
        <f t="shared" si="94"/>
        <v>0</v>
      </c>
      <c r="N1023">
        <f t="shared" si="95"/>
        <v>0</v>
      </c>
    </row>
    <row r="1024" spans="1:14" x14ac:dyDescent="0.35">
      <c r="A1024" t="s">
        <v>428</v>
      </c>
      <c r="B1024" t="s">
        <v>2336</v>
      </c>
      <c r="C1024" s="7" t="s">
        <v>10</v>
      </c>
      <c r="D1024" t="s">
        <v>55</v>
      </c>
      <c r="E1024" t="s">
        <v>1957</v>
      </c>
      <c r="F1024" t="s">
        <v>1760</v>
      </c>
      <c r="I1024">
        <f t="shared" si="90"/>
        <v>0</v>
      </c>
      <c r="J1024">
        <f t="shared" si="91"/>
        <v>0</v>
      </c>
      <c r="K1024">
        <f t="shared" si="92"/>
        <v>1</v>
      </c>
      <c r="L1024">
        <f t="shared" si="93"/>
        <v>0</v>
      </c>
      <c r="M1024">
        <f t="shared" si="94"/>
        <v>0</v>
      </c>
      <c r="N1024">
        <f t="shared" si="95"/>
        <v>0</v>
      </c>
    </row>
    <row r="1025" spans="1:14" x14ac:dyDescent="0.35">
      <c r="A1025" t="s">
        <v>428</v>
      </c>
      <c r="B1025" t="s">
        <v>2336</v>
      </c>
      <c r="C1025" s="7" t="s">
        <v>10</v>
      </c>
      <c r="D1025" t="s">
        <v>55</v>
      </c>
      <c r="E1025" t="s">
        <v>2167</v>
      </c>
      <c r="F1025" t="s">
        <v>1805</v>
      </c>
      <c r="I1025">
        <f t="shared" si="90"/>
        <v>0</v>
      </c>
      <c r="J1025">
        <f t="shared" si="91"/>
        <v>1</v>
      </c>
      <c r="K1025">
        <f t="shared" si="92"/>
        <v>0</v>
      </c>
      <c r="L1025">
        <f t="shared" si="93"/>
        <v>0</v>
      </c>
      <c r="M1025">
        <f t="shared" si="94"/>
        <v>0</v>
      </c>
      <c r="N1025">
        <f t="shared" si="95"/>
        <v>0</v>
      </c>
    </row>
    <row r="1026" spans="1:14" x14ac:dyDescent="0.35">
      <c r="A1026" t="s">
        <v>428</v>
      </c>
      <c r="B1026" t="s">
        <v>2336</v>
      </c>
      <c r="C1026" s="7" t="s">
        <v>10</v>
      </c>
      <c r="D1026" t="s">
        <v>55</v>
      </c>
      <c r="E1026" t="s">
        <v>1959</v>
      </c>
      <c r="F1026" t="s">
        <v>1760</v>
      </c>
      <c r="I1026">
        <f t="shared" si="90"/>
        <v>0</v>
      </c>
      <c r="J1026">
        <f t="shared" si="91"/>
        <v>0</v>
      </c>
      <c r="K1026">
        <f t="shared" si="92"/>
        <v>1</v>
      </c>
      <c r="L1026">
        <f t="shared" si="93"/>
        <v>0</v>
      </c>
      <c r="M1026">
        <f t="shared" si="94"/>
        <v>0</v>
      </c>
      <c r="N1026">
        <f t="shared" si="95"/>
        <v>0</v>
      </c>
    </row>
    <row r="1027" spans="1:14" x14ac:dyDescent="0.35">
      <c r="A1027" t="s">
        <v>428</v>
      </c>
      <c r="B1027" t="s">
        <v>2336</v>
      </c>
      <c r="C1027" s="7" t="s">
        <v>10</v>
      </c>
      <c r="D1027" t="s">
        <v>55</v>
      </c>
      <c r="E1027" t="s">
        <v>1856</v>
      </c>
      <c r="F1027" t="s">
        <v>1760</v>
      </c>
      <c r="I1027">
        <f t="shared" ref="I1027:I1090" si="96">IF($F1027=$F$1,1,0)</f>
        <v>0</v>
      </c>
      <c r="J1027">
        <f t="shared" ref="J1027:J1090" si="97">IF($F1027=$J$1,1,0)</f>
        <v>0</v>
      </c>
      <c r="K1027">
        <f t="shared" ref="K1027:K1090" si="98">IF($F1027=$K$1,1,0)</f>
        <v>1</v>
      </c>
      <c r="L1027">
        <f t="shared" ref="L1027:L1090" si="99">IF($F1027=$L$1,1,0)</f>
        <v>0</v>
      </c>
      <c r="M1027">
        <f t="shared" ref="M1027:M1090" si="100">IF($F1027=$M$1,1,0)</f>
        <v>0</v>
      </c>
      <c r="N1027">
        <f t="shared" ref="N1027:N1090" si="101">IF($G1027&lt;&gt;"",1,0)</f>
        <v>0</v>
      </c>
    </row>
    <row r="1028" spans="1:14" x14ac:dyDescent="0.35">
      <c r="A1028" t="s">
        <v>428</v>
      </c>
      <c r="B1028" t="s">
        <v>2336</v>
      </c>
      <c r="C1028" s="7" t="s">
        <v>10</v>
      </c>
      <c r="D1028" t="s">
        <v>55</v>
      </c>
      <c r="E1028" t="s">
        <v>1996</v>
      </c>
      <c r="F1028" t="s">
        <v>1886</v>
      </c>
      <c r="I1028">
        <f t="shared" si="96"/>
        <v>0</v>
      </c>
      <c r="J1028">
        <f t="shared" si="97"/>
        <v>0</v>
      </c>
      <c r="K1028">
        <f t="shared" si="98"/>
        <v>0</v>
      </c>
      <c r="L1028">
        <f t="shared" si="99"/>
        <v>0</v>
      </c>
      <c r="M1028">
        <f t="shared" si="100"/>
        <v>0</v>
      </c>
      <c r="N1028">
        <f t="shared" si="101"/>
        <v>0</v>
      </c>
    </row>
    <row r="1029" spans="1:14" x14ac:dyDescent="0.35">
      <c r="A1029" t="s">
        <v>428</v>
      </c>
      <c r="B1029" t="s">
        <v>2336</v>
      </c>
      <c r="C1029" s="7" t="s">
        <v>10</v>
      </c>
      <c r="D1029" t="s">
        <v>55</v>
      </c>
      <c r="E1029" t="s">
        <v>1958</v>
      </c>
      <c r="F1029" t="s">
        <v>1760</v>
      </c>
      <c r="I1029">
        <f t="shared" si="96"/>
        <v>0</v>
      </c>
      <c r="J1029">
        <f t="shared" si="97"/>
        <v>0</v>
      </c>
      <c r="K1029">
        <f t="shared" si="98"/>
        <v>1</v>
      </c>
      <c r="L1029">
        <f t="shared" si="99"/>
        <v>0</v>
      </c>
      <c r="M1029">
        <f t="shared" si="100"/>
        <v>0</v>
      </c>
      <c r="N1029">
        <f t="shared" si="101"/>
        <v>0</v>
      </c>
    </row>
    <row r="1030" spans="1:14" x14ac:dyDescent="0.35">
      <c r="A1030" t="s">
        <v>866</v>
      </c>
      <c r="B1030" t="s">
        <v>2337</v>
      </c>
      <c r="C1030" s="7" t="s">
        <v>10</v>
      </c>
      <c r="D1030" t="s">
        <v>55</v>
      </c>
      <c r="E1030" t="s">
        <v>2095</v>
      </c>
      <c r="F1030" t="s">
        <v>1754</v>
      </c>
      <c r="I1030">
        <f t="shared" si="96"/>
        <v>0</v>
      </c>
      <c r="J1030">
        <f t="shared" si="97"/>
        <v>0</v>
      </c>
      <c r="K1030">
        <f t="shared" si="98"/>
        <v>0</v>
      </c>
      <c r="L1030">
        <f t="shared" si="99"/>
        <v>1</v>
      </c>
      <c r="M1030">
        <f t="shared" si="100"/>
        <v>0</v>
      </c>
      <c r="N1030">
        <f t="shared" si="101"/>
        <v>0</v>
      </c>
    </row>
    <row r="1031" spans="1:14" x14ac:dyDescent="0.35">
      <c r="A1031" t="s">
        <v>866</v>
      </c>
      <c r="B1031" t="s">
        <v>2337</v>
      </c>
      <c r="C1031" s="7" t="s">
        <v>10</v>
      </c>
      <c r="D1031" t="s">
        <v>55</v>
      </c>
      <c r="E1031" t="s">
        <v>1835</v>
      </c>
      <c r="F1031" t="s">
        <v>1754</v>
      </c>
      <c r="I1031">
        <f t="shared" si="96"/>
        <v>0</v>
      </c>
      <c r="J1031">
        <f t="shared" si="97"/>
        <v>0</v>
      </c>
      <c r="K1031">
        <f t="shared" si="98"/>
        <v>0</v>
      </c>
      <c r="L1031">
        <f t="shared" si="99"/>
        <v>1</v>
      </c>
      <c r="M1031">
        <f t="shared" si="100"/>
        <v>0</v>
      </c>
      <c r="N1031">
        <f t="shared" si="101"/>
        <v>0</v>
      </c>
    </row>
    <row r="1032" spans="1:14" x14ac:dyDescent="0.35">
      <c r="A1032" t="s">
        <v>315</v>
      </c>
      <c r="B1032" t="s">
        <v>2338</v>
      </c>
      <c r="C1032" s="7" t="s">
        <v>10</v>
      </c>
      <c r="D1032" t="s">
        <v>55</v>
      </c>
      <c r="E1032" t="s">
        <v>2106</v>
      </c>
      <c r="F1032" t="s">
        <v>1805</v>
      </c>
      <c r="I1032">
        <f t="shared" si="96"/>
        <v>0</v>
      </c>
      <c r="J1032">
        <f t="shared" si="97"/>
        <v>1</v>
      </c>
      <c r="K1032">
        <f t="shared" si="98"/>
        <v>0</v>
      </c>
      <c r="L1032">
        <f t="shared" si="99"/>
        <v>0</v>
      </c>
      <c r="M1032">
        <f t="shared" si="100"/>
        <v>0</v>
      </c>
      <c r="N1032">
        <f t="shared" si="101"/>
        <v>0</v>
      </c>
    </row>
    <row r="1033" spans="1:14" x14ac:dyDescent="0.35">
      <c r="A1033" t="s">
        <v>315</v>
      </c>
      <c r="B1033" t="s">
        <v>2338</v>
      </c>
      <c r="C1033" s="7" t="s">
        <v>10</v>
      </c>
      <c r="D1033" t="s">
        <v>55</v>
      </c>
      <c r="E1033" t="s">
        <v>2085</v>
      </c>
      <c r="F1033" t="s">
        <v>1805</v>
      </c>
      <c r="I1033">
        <f t="shared" si="96"/>
        <v>0</v>
      </c>
      <c r="J1033">
        <f t="shared" si="97"/>
        <v>1</v>
      </c>
      <c r="K1033">
        <f t="shared" si="98"/>
        <v>0</v>
      </c>
      <c r="L1033">
        <f t="shared" si="99"/>
        <v>0</v>
      </c>
      <c r="M1033">
        <f t="shared" si="100"/>
        <v>0</v>
      </c>
      <c r="N1033">
        <f t="shared" si="101"/>
        <v>0</v>
      </c>
    </row>
    <row r="1034" spans="1:14" x14ac:dyDescent="0.35">
      <c r="A1034" t="s">
        <v>1398</v>
      </c>
      <c r="B1034" t="s">
        <v>2339</v>
      </c>
      <c r="C1034" s="7" t="s">
        <v>10</v>
      </c>
      <c r="D1034" t="s">
        <v>582</v>
      </c>
      <c r="E1034" t="s">
        <v>1822</v>
      </c>
      <c r="F1034" t="s">
        <v>1760</v>
      </c>
      <c r="I1034">
        <f t="shared" si="96"/>
        <v>0</v>
      </c>
      <c r="J1034">
        <f t="shared" si="97"/>
        <v>0</v>
      </c>
      <c r="K1034">
        <f t="shared" si="98"/>
        <v>1</v>
      </c>
      <c r="L1034">
        <f t="shared" si="99"/>
        <v>0</v>
      </c>
      <c r="M1034">
        <f t="shared" si="100"/>
        <v>0</v>
      </c>
      <c r="N1034">
        <f t="shared" si="101"/>
        <v>0</v>
      </c>
    </row>
    <row r="1035" spans="1:14" x14ac:dyDescent="0.35">
      <c r="A1035" t="s">
        <v>1398</v>
      </c>
      <c r="B1035" t="s">
        <v>2339</v>
      </c>
      <c r="C1035" s="7" t="s">
        <v>10</v>
      </c>
      <c r="D1035" t="s">
        <v>582</v>
      </c>
      <c r="E1035" t="s">
        <v>1823</v>
      </c>
      <c r="F1035" t="s">
        <v>1760</v>
      </c>
      <c r="I1035">
        <f t="shared" si="96"/>
        <v>0</v>
      </c>
      <c r="J1035">
        <f t="shared" si="97"/>
        <v>0</v>
      </c>
      <c r="K1035">
        <f t="shared" si="98"/>
        <v>1</v>
      </c>
      <c r="L1035">
        <f t="shared" si="99"/>
        <v>0</v>
      </c>
      <c r="M1035">
        <f t="shared" si="100"/>
        <v>0</v>
      </c>
      <c r="N1035">
        <f t="shared" si="101"/>
        <v>0</v>
      </c>
    </row>
    <row r="1036" spans="1:14" x14ac:dyDescent="0.35">
      <c r="A1036" t="s">
        <v>1398</v>
      </c>
      <c r="B1036" t="s">
        <v>2339</v>
      </c>
      <c r="C1036" s="7" t="s">
        <v>10</v>
      </c>
      <c r="D1036" t="s">
        <v>582</v>
      </c>
      <c r="E1036" t="s">
        <v>1821</v>
      </c>
      <c r="F1036" t="s">
        <v>1760</v>
      </c>
      <c r="I1036">
        <f t="shared" si="96"/>
        <v>0</v>
      </c>
      <c r="J1036">
        <f t="shared" si="97"/>
        <v>0</v>
      </c>
      <c r="K1036">
        <f t="shared" si="98"/>
        <v>1</v>
      </c>
      <c r="L1036">
        <f t="shared" si="99"/>
        <v>0</v>
      </c>
      <c r="M1036">
        <f t="shared" si="100"/>
        <v>0</v>
      </c>
      <c r="N1036">
        <f t="shared" si="101"/>
        <v>0</v>
      </c>
    </row>
    <row r="1037" spans="1:14" x14ac:dyDescent="0.35">
      <c r="A1037" t="s">
        <v>529</v>
      </c>
      <c r="B1037" t="s">
        <v>2340</v>
      </c>
      <c r="C1037" s="7" t="s">
        <v>10</v>
      </c>
      <c r="D1037" t="s">
        <v>55</v>
      </c>
      <c r="E1037" t="s">
        <v>1936</v>
      </c>
      <c r="F1037" t="s">
        <v>1760</v>
      </c>
      <c r="G1037" t="s">
        <v>2341</v>
      </c>
      <c r="H1037" t="s">
        <v>2342</v>
      </c>
      <c r="I1037">
        <f t="shared" si="96"/>
        <v>0</v>
      </c>
      <c r="J1037">
        <f t="shared" si="97"/>
        <v>0</v>
      </c>
      <c r="K1037">
        <f t="shared" si="98"/>
        <v>1</v>
      </c>
      <c r="L1037">
        <f t="shared" si="99"/>
        <v>0</v>
      </c>
      <c r="M1037">
        <f t="shared" si="100"/>
        <v>0</v>
      </c>
      <c r="N1037">
        <f t="shared" si="101"/>
        <v>1</v>
      </c>
    </row>
    <row r="1038" spans="1:14" x14ac:dyDescent="0.35">
      <c r="A1038" t="s">
        <v>529</v>
      </c>
      <c r="B1038" t="s">
        <v>2340</v>
      </c>
      <c r="C1038" s="7" t="s">
        <v>10</v>
      </c>
      <c r="D1038" t="s">
        <v>55</v>
      </c>
      <c r="E1038" t="s">
        <v>1935</v>
      </c>
      <c r="F1038" t="s">
        <v>1760</v>
      </c>
      <c r="G1038" t="s">
        <v>2341</v>
      </c>
      <c r="H1038" t="s">
        <v>2342</v>
      </c>
      <c r="I1038">
        <f t="shared" si="96"/>
        <v>0</v>
      </c>
      <c r="J1038">
        <f t="shared" si="97"/>
        <v>0</v>
      </c>
      <c r="K1038">
        <f t="shared" si="98"/>
        <v>1</v>
      </c>
      <c r="L1038">
        <f t="shared" si="99"/>
        <v>0</v>
      </c>
      <c r="M1038">
        <f t="shared" si="100"/>
        <v>0</v>
      </c>
      <c r="N1038">
        <f t="shared" si="101"/>
        <v>1</v>
      </c>
    </row>
    <row r="1039" spans="1:14" x14ac:dyDescent="0.35">
      <c r="A1039" t="s">
        <v>529</v>
      </c>
      <c r="B1039" t="s">
        <v>2340</v>
      </c>
      <c r="C1039" s="7" t="s">
        <v>10</v>
      </c>
      <c r="D1039" t="s">
        <v>55</v>
      </c>
      <c r="E1039" t="s">
        <v>1955</v>
      </c>
      <c r="F1039" t="s">
        <v>1760</v>
      </c>
      <c r="G1039" t="s">
        <v>2341</v>
      </c>
      <c r="H1039" t="s">
        <v>2342</v>
      </c>
      <c r="I1039">
        <f t="shared" si="96"/>
        <v>0</v>
      </c>
      <c r="J1039">
        <f t="shared" si="97"/>
        <v>0</v>
      </c>
      <c r="K1039">
        <f t="shared" si="98"/>
        <v>1</v>
      </c>
      <c r="L1039">
        <f t="shared" si="99"/>
        <v>0</v>
      </c>
      <c r="M1039">
        <f t="shared" si="100"/>
        <v>0</v>
      </c>
      <c r="N1039">
        <f t="shared" si="101"/>
        <v>1</v>
      </c>
    </row>
    <row r="1040" spans="1:14" x14ac:dyDescent="0.35">
      <c r="A1040" t="s">
        <v>389</v>
      </c>
      <c r="B1040" t="s">
        <v>2343</v>
      </c>
      <c r="C1040" s="7" t="s">
        <v>10</v>
      </c>
      <c r="D1040" t="s">
        <v>100</v>
      </c>
      <c r="E1040" t="s">
        <v>1980</v>
      </c>
      <c r="F1040" t="s">
        <v>1805</v>
      </c>
      <c r="I1040">
        <f t="shared" si="96"/>
        <v>0</v>
      </c>
      <c r="J1040">
        <f t="shared" si="97"/>
        <v>1</v>
      </c>
      <c r="K1040">
        <f t="shared" si="98"/>
        <v>0</v>
      </c>
      <c r="L1040">
        <f t="shared" si="99"/>
        <v>0</v>
      </c>
      <c r="M1040">
        <f t="shared" si="100"/>
        <v>0</v>
      </c>
      <c r="N1040">
        <f t="shared" si="101"/>
        <v>0</v>
      </c>
    </row>
    <row r="1041" spans="1:14" x14ac:dyDescent="0.35">
      <c r="A1041" t="s">
        <v>389</v>
      </c>
      <c r="B1041" t="s">
        <v>2343</v>
      </c>
      <c r="C1041" s="7" t="s">
        <v>10</v>
      </c>
      <c r="D1041" t="s">
        <v>100</v>
      </c>
      <c r="E1041" t="s">
        <v>2167</v>
      </c>
      <c r="F1041" t="s">
        <v>1805</v>
      </c>
      <c r="I1041">
        <f t="shared" si="96"/>
        <v>0</v>
      </c>
      <c r="J1041">
        <f t="shared" si="97"/>
        <v>1</v>
      </c>
      <c r="K1041">
        <f t="shared" si="98"/>
        <v>0</v>
      </c>
      <c r="L1041">
        <f t="shared" si="99"/>
        <v>0</v>
      </c>
      <c r="M1041">
        <f t="shared" si="100"/>
        <v>0</v>
      </c>
      <c r="N1041">
        <f t="shared" si="101"/>
        <v>0</v>
      </c>
    </row>
    <row r="1042" spans="1:14" x14ac:dyDescent="0.35">
      <c r="A1042" t="s">
        <v>809</v>
      </c>
      <c r="B1042" t="s">
        <v>2344</v>
      </c>
      <c r="C1042" s="7" t="s">
        <v>10</v>
      </c>
      <c r="D1042" t="s">
        <v>180</v>
      </c>
      <c r="E1042" t="s">
        <v>1806</v>
      </c>
      <c r="F1042" t="s">
        <v>1754</v>
      </c>
      <c r="I1042">
        <f t="shared" si="96"/>
        <v>0</v>
      </c>
      <c r="J1042">
        <f t="shared" si="97"/>
        <v>0</v>
      </c>
      <c r="K1042">
        <f t="shared" si="98"/>
        <v>0</v>
      </c>
      <c r="L1042">
        <f t="shared" si="99"/>
        <v>1</v>
      </c>
      <c r="M1042">
        <f t="shared" si="100"/>
        <v>0</v>
      </c>
      <c r="N1042">
        <f t="shared" si="101"/>
        <v>0</v>
      </c>
    </row>
    <row r="1043" spans="1:14" x14ac:dyDescent="0.35">
      <c r="A1043" t="s">
        <v>809</v>
      </c>
      <c r="B1043" t="s">
        <v>2344</v>
      </c>
      <c r="C1043" s="7" t="s">
        <v>10</v>
      </c>
      <c r="D1043" t="s">
        <v>180</v>
      </c>
      <c r="E1043" t="s">
        <v>1807</v>
      </c>
      <c r="F1043" t="s">
        <v>1754</v>
      </c>
      <c r="I1043">
        <f t="shared" si="96"/>
        <v>0</v>
      </c>
      <c r="J1043">
        <f t="shared" si="97"/>
        <v>0</v>
      </c>
      <c r="K1043">
        <f t="shared" si="98"/>
        <v>0</v>
      </c>
      <c r="L1043">
        <f t="shared" si="99"/>
        <v>1</v>
      </c>
      <c r="M1043">
        <f t="shared" si="100"/>
        <v>0</v>
      </c>
      <c r="N1043">
        <f t="shared" si="101"/>
        <v>0</v>
      </c>
    </row>
    <row r="1044" spans="1:14" x14ac:dyDescent="0.35">
      <c r="A1044" t="s">
        <v>809</v>
      </c>
      <c r="B1044" t="s">
        <v>2344</v>
      </c>
      <c r="C1044" s="7" t="s">
        <v>10</v>
      </c>
      <c r="D1044" t="s">
        <v>180</v>
      </c>
      <c r="E1044" t="s">
        <v>1894</v>
      </c>
      <c r="F1044" t="s">
        <v>1754</v>
      </c>
      <c r="I1044">
        <f t="shared" si="96"/>
        <v>0</v>
      </c>
      <c r="J1044">
        <f t="shared" si="97"/>
        <v>0</v>
      </c>
      <c r="K1044">
        <f t="shared" si="98"/>
        <v>0</v>
      </c>
      <c r="L1044">
        <f t="shared" si="99"/>
        <v>1</v>
      </c>
      <c r="M1044">
        <f t="shared" si="100"/>
        <v>0</v>
      </c>
      <c r="N1044">
        <f t="shared" si="101"/>
        <v>0</v>
      </c>
    </row>
    <row r="1045" spans="1:14" x14ac:dyDescent="0.35">
      <c r="A1045" t="s">
        <v>809</v>
      </c>
      <c r="B1045" t="s">
        <v>2344</v>
      </c>
      <c r="C1045" s="7" t="s">
        <v>10</v>
      </c>
      <c r="D1045" t="s">
        <v>180</v>
      </c>
      <c r="E1045" t="s">
        <v>1896</v>
      </c>
      <c r="F1045" t="s">
        <v>1754</v>
      </c>
      <c r="I1045">
        <f t="shared" si="96"/>
        <v>0</v>
      </c>
      <c r="J1045">
        <f t="shared" si="97"/>
        <v>0</v>
      </c>
      <c r="K1045">
        <f t="shared" si="98"/>
        <v>0</v>
      </c>
      <c r="L1045">
        <f t="shared" si="99"/>
        <v>1</v>
      </c>
      <c r="M1045">
        <f t="shared" si="100"/>
        <v>0</v>
      </c>
      <c r="N1045">
        <f t="shared" si="101"/>
        <v>0</v>
      </c>
    </row>
    <row r="1046" spans="1:14" x14ac:dyDescent="0.35">
      <c r="A1046" t="s">
        <v>1608</v>
      </c>
      <c r="B1046" t="s">
        <v>2345</v>
      </c>
      <c r="C1046" s="7" t="s">
        <v>10</v>
      </c>
      <c r="D1046" t="s">
        <v>100</v>
      </c>
      <c r="E1046" t="s">
        <v>2346</v>
      </c>
      <c r="F1046" t="s">
        <v>1727</v>
      </c>
      <c r="I1046">
        <f t="shared" si="96"/>
        <v>0</v>
      </c>
      <c r="J1046">
        <f t="shared" si="97"/>
        <v>0</v>
      </c>
      <c r="K1046">
        <f t="shared" si="98"/>
        <v>0</v>
      </c>
      <c r="L1046">
        <f t="shared" si="99"/>
        <v>0</v>
      </c>
      <c r="M1046">
        <f t="shared" si="100"/>
        <v>1</v>
      </c>
      <c r="N1046">
        <f t="shared" si="101"/>
        <v>0</v>
      </c>
    </row>
    <row r="1047" spans="1:14" x14ac:dyDescent="0.35">
      <c r="A1047" t="s">
        <v>1608</v>
      </c>
      <c r="B1047" t="s">
        <v>2345</v>
      </c>
      <c r="C1047" s="7" t="s">
        <v>10</v>
      </c>
      <c r="D1047" t="s">
        <v>100</v>
      </c>
      <c r="E1047" t="s">
        <v>2024</v>
      </c>
      <c r="F1047" t="s">
        <v>1727</v>
      </c>
      <c r="I1047">
        <f t="shared" si="96"/>
        <v>0</v>
      </c>
      <c r="J1047">
        <f t="shared" si="97"/>
        <v>0</v>
      </c>
      <c r="K1047">
        <f t="shared" si="98"/>
        <v>0</v>
      </c>
      <c r="L1047">
        <f t="shared" si="99"/>
        <v>0</v>
      </c>
      <c r="M1047">
        <f t="shared" si="100"/>
        <v>1</v>
      </c>
      <c r="N1047">
        <f t="shared" si="101"/>
        <v>0</v>
      </c>
    </row>
    <row r="1048" spans="1:14" x14ac:dyDescent="0.35">
      <c r="A1048" t="s">
        <v>1350</v>
      </c>
      <c r="B1048" t="s">
        <v>2347</v>
      </c>
      <c r="C1048" s="7" t="s">
        <v>10</v>
      </c>
      <c r="D1048" t="s">
        <v>97</v>
      </c>
      <c r="E1048" t="s">
        <v>1940</v>
      </c>
      <c r="F1048" t="s">
        <v>1754</v>
      </c>
      <c r="I1048">
        <f t="shared" si="96"/>
        <v>0</v>
      </c>
      <c r="J1048">
        <f t="shared" si="97"/>
        <v>0</v>
      </c>
      <c r="K1048">
        <f t="shared" si="98"/>
        <v>0</v>
      </c>
      <c r="L1048">
        <f t="shared" si="99"/>
        <v>1</v>
      </c>
      <c r="M1048">
        <f t="shared" si="100"/>
        <v>0</v>
      </c>
      <c r="N1048">
        <f t="shared" si="101"/>
        <v>0</v>
      </c>
    </row>
    <row r="1049" spans="1:14" x14ac:dyDescent="0.35">
      <c r="A1049" t="s">
        <v>1350</v>
      </c>
      <c r="B1049" t="s">
        <v>2347</v>
      </c>
      <c r="C1049" s="7" t="s">
        <v>10</v>
      </c>
      <c r="D1049" t="s">
        <v>97</v>
      </c>
      <c r="E1049" t="s">
        <v>1941</v>
      </c>
      <c r="F1049" t="s">
        <v>1754</v>
      </c>
      <c r="I1049">
        <f t="shared" si="96"/>
        <v>0</v>
      </c>
      <c r="J1049">
        <f t="shared" si="97"/>
        <v>0</v>
      </c>
      <c r="K1049">
        <f t="shared" si="98"/>
        <v>0</v>
      </c>
      <c r="L1049">
        <f t="shared" si="99"/>
        <v>1</v>
      </c>
      <c r="M1049">
        <f t="shared" si="100"/>
        <v>0</v>
      </c>
      <c r="N1049">
        <f t="shared" si="101"/>
        <v>0</v>
      </c>
    </row>
    <row r="1050" spans="1:14" x14ac:dyDescent="0.35">
      <c r="A1050" t="s">
        <v>508</v>
      </c>
      <c r="B1050" t="s">
        <v>2348</v>
      </c>
      <c r="C1050" s="7" t="s">
        <v>10</v>
      </c>
      <c r="D1050" t="s">
        <v>55</v>
      </c>
      <c r="E1050" t="s">
        <v>1896</v>
      </c>
      <c r="F1050" t="s">
        <v>1754</v>
      </c>
      <c r="I1050">
        <f t="shared" si="96"/>
        <v>0</v>
      </c>
      <c r="J1050">
        <f t="shared" si="97"/>
        <v>0</v>
      </c>
      <c r="K1050">
        <f t="shared" si="98"/>
        <v>0</v>
      </c>
      <c r="L1050">
        <f t="shared" si="99"/>
        <v>1</v>
      </c>
      <c r="M1050">
        <f t="shared" si="100"/>
        <v>0</v>
      </c>
      <c r="N1050">
        <f t="shared" si="101"/>
        <v>0</v>
      </c>
    </row>
    <row r="1051" spans="1:14" x14ac:dyDescent="0.35">
      <c r="A1051" t="s">
        <v>508</v>
      </c>
      <c r="B1051" t="s">
        <v>2348</v>
      </c>
      <c r="C1051" s="7" t="s">
        <v>10</v>
      </c>
      <c r="D1051" t="s">
        <v>55</v>
      </c>
      <c r="E1051" t="s">
        <v>1823</v>
      </c>
      <c r="F1051" t="s">
        <v>1760</v>
      </c>
      <c r="I1051">
        <f t="shared" si="96"/>
        <v>0</v>
      </c>
      <c r="J1051">
        <f t="shared" si="97"/>
        <v>0</v>
      </c>
      <c r="K1051">
        <f t="shared" si="98"/>
        <v>1</v>
      </c>
      <c r="L1051">
        <f t="shared" si="99"/>
        <v>0</v>
      </c>
      <c r="M1051">
        <f t="shared" si="100"/>
        <v>0</v>
      </c>
      <c r="N1051">
        <f t="shared" si="101"/>
        <v>0</v>
      </c>
    </row>
    <row r="1052" spans="1:14" x14ac:dyDescent="0.35">
      <c r="A1052" t="s">
        <v>508</v>
      </c>
      <c r="B1052" t="s">
        <v>2348</v>
      </c>
      <c r="C1052" s="7" t="s">
        <v>10</v>
      </c>
      <c r="D1052" t="s">
        <v>55</v>
      </c>
      <c r="E1052" t="s">
        <v>1894</v>
      </c>
      <c r="F1052" t="s">
        <v>1754</v>
      </c>
      <c r="I1052">
        <f t="shared" si="96"/>
        <v>0</v>
      </c>
      <c r="J1052">
        <f t="shared" si="97"/>
        <v>0</v>
      </c>
      <c r="K1052">
        <f t="shared" si="98"/>
        <v>0</v>
      </c>
      <c r="L1052">
        <f t="shared" si="99"/>
        <v>1</v>
      </c>
      <c r="M1052">
        <f t="shared" si="100"/>
        <v>0</v>
      </c>
      <c r="N1052">
        <f t="shared" si="101"/>
        <v>0</v>
      </c>
    </row>
    <row r="1053" spans="1:14" x14ac:dyDescent="0.35">
      <c r="A1053" t="s">
        <v>508</v>
      </c>
      <c r="B1053" t="s">
        <v>2348</v>
      </c>
      <c r="C1053" s="7" t="s">
        <v>10</v>
      </c>
      <c r="D1053" t="s">
        <v>55</v>
      </c>
      <c r="E1053" t="s">
        <v>1814</v>
      </c>
      <c r="F1053" t="s">
        <v>1760</v>
      </c>
      <c r="I1053">
        <f t="shared" si="96"/>
        <v>0</v>
      </c>
      <c r="J1053">
        <f t="shared" si="97"/>
        <v>0</v>
      </c>
      <c r="K1053">
        <f t="shared" si="98"/>
        <v>1</v>
      </c>
      <c r="L1053">
        <f t="shared" si="99"/>
        <v>0</v>
      </c>
      <c r="M1053">
        <f t="shared" si="100"/>
        <v>0</v>
      </c>
      <c r="N1053">
        <f t="shared" si="101"/>
        <v>0</v>
      </c>
    </row>
    <row r="1054" spans="1:14" x14ac:dyDescent="0.35">
      <c r="A1054" t="s">
        <v>236</v>
      </c>
      <c r="B1054" t="s">
        <v>2349</v>
      </c>
      <c r="C1054" s="7" t="s">
        <v>9</v>
      </c>
      <c r="D1054" t="s">
        <v>55</v>
      </c>
      <c r="E1054" t="s">
        <v>1809</v>
      </c>
      <c r="F1054" t="s">
        <v>1754</v>
      </c>
      <c r="I1054">
        <f t="shared" si="96"/>
        <v>0</v>
      </c>
      <c r="J1054">
        <f t="shared" si="97"/>
        <v>0</v>
      </c>
      <c r="K1054">
        <f t="shared" si="98"/>
        <v>0</v>
      </c>
      <c r="L1054">
        <f t="shared" si="99"/>
        <v>1</v>
      </c>
      <c r="M1054">
        <f t="shared" si="100"/>
        <v>0</v>
      </c>
      <c r="N1054">
        <f t="shared" si="101"/>
        <v>0</v>
      </c>
    </row>
    <row r="1055" spans="1:14" x14ac:dyDescent="0.35">
      <c r="A1055" t="s">
        <v>236</v>
      </c>
      <c r="B1055" t="s">
        <v>2349</v>
      </c>
      <c r="C1055" s="7" t="s">
        <v>9</v>
      </c>
      <c r="D1055" t="s">
        <v>55</v>
      </c>
      <c r="E1055" t="s">
        <v>1944</v>
      </c>
      <c r="F1055" t="s">
        <v>1754</v>
      </c>
      <c r="I1055">
        <f t="shared" si="96"/>
        <v>0</v>
      </c>
      <c r="J1055">
        <f t="shared" si="97"/>
        <v>0</v>
      </c>
      <c r="K1055">
        <f t="shared" si="98"/>
        <v>0</v>
      </c>
      <c r="L1055">
        <f t="shared" si="99"/>
        <v>1</v>
      </c>
      <c r="M1055">
        <f t="shared" si="100"/>
        <v>0</v>
      </c>
      <c r="N1055">
        <f t="shared" si="101"/>
        <v>0</v>
      </c>
    </row>
    <row r="1056" spans="1:14" x14ac:dyDescent="0.35">
      <c r="A1056" t="s">
        <v>236</v>
      </c>
      <c r="B1056" t="s">
        <v>2349</v>
      </c>
      <c r="C1056" s="7" t="s">
        <v>9</v>
      </c>
      <c r="D1056" t="s">
        <v>55</v>
      </c>
      <c r="E1056" t="s">
        <v>1945</v>
      </c>
      <c r="F1056" t="s">
        <v>1754</v>
      </c>
      <c r="I1056">
        <f t="shared" si="96"/>
        <v>0</v>
      </c>
      <c r="J1056">
        <f t="shared" si="97"/>
        <v>0</v>
      </c>
      <c r="K1056">
        <f t="shared" si="98"/>
        <v>0</v>
      </c>
      <c r="L1056">
        <f t="shared" si="99"/>
        <v>1</v>
      </c>
      <c r="M1056">
        <f t="shared" si="100"/>
        <v>0</v>
      </c>
      <c r="N1056">
        <f t="shared" si="101"/>
        <v>0</v>
      </c>
    </row>
    <row r="1057" spans="1:14" x14ac:dyDescent="0.35">
      <c r="A1057" t="s">
        <v>756</v>
      </c>
      <c r="B1057" t="s">
        <v>2350</v>
      </c>
      <c r="C1057" s="7" t="s">
        <v>9</v>
      </c>
      <c r="D1057" t="s">
        <v>180</v>
      </c>
      <c r="E1057" t="s">
        <v>1963</v>
      </c>
      <c r="F1057" t="s">
        <v>1760</v>
      </c>
      <c r="I1057">
        <f t="shared" si="96"/>
        <v>0</v>
      </c>
      <c r="J1057">
        <f t="shared" si="97"/>
        <v>0</v>
      </c>
      <c r="K1057">
        <f t="shared" si="98"/>
        <v>1</v>
      </c>
      <c r="L1057">
        <f t="shared" si="99"/>
        <v>0</v>
      </c>
      <c r="M1057">
        <f t="shared" si="100"/>
        <v>0</v>
      </c>
      <c r="N1057">
        <f t="shared" si="101"/>
        <v>0</v>
      </c>
    </row>
    <row r="1058" spans="1:14" x14ac:dyDescent="0.35">
      <c r="A1058" t="s">
        <v>756</v>
      </c>
      <c r="B1058" t="s">
        <v>2350</v>
      </c>
      <c r="C1058" s="7" t="s">
        <v>9</v>
      </c>
      <c r="D1058" t="s">
        <v>180</v>
      </c>
      <c r="E1058" t="s">
        <v>1944</v>
      </c>
      <c r="F1058" t="s">
        <v>1754</v>
      </c>
      <c r="I1058">
        <f t="shared" si="96"/>
        <v>0</v>
      </c>
      <c r="J1058">
        <f t="shared" si="97"/>
        <v>0</v>
      </c>
      <c r="K1058">
        <f t="shared" si="98"/>
        <v>0</v>
      </c>
      <c r="L1058">
        <f t="shared" si="99"/>
        <v>1</v>
      </c>
      <c r="M1058">
        <f t="shared" si="100"/>
        <v>0</v>
      </c>
      <c r="N1058">
        <f t="shared" si="101"/>
        <v>0</v>
      </c>
    </row>
    <row r="1059" spans="1:14" x14ac:dyDescent="0.35">
      <c r="A1059" t="s">
        <v>423</v>
      </c>
      <c r="B1059" t="s">
        <v>2351</v>
      </c>
      <c r="C1059" s="7" t="s">
        <v>9</v>
      </c>
      <c r="D1059" t="s">
        <v>152</v>
      </c>
      <c r="E1059" t="s">
        <v>1928</v>
      </c>
      <c r="F1059" t="s">
        <v>1754</v>
      </c>
      <c r="I1059">
        <f t="shared" si="96"/>
        <v>0</v>
      </c>
      <c r="J1059">
        <f t="shared" si="97"/>
        <v>0</v>
      </c>
      <c r="K1059">
        <f t="shared" si="98"/>
        <v>0</v>
      </c>
      <c r="L1059">
        <f t="shared" si="99"/>
        <v>1</v>
      </c>
      <c r="M1059">
        <f t="shared" si="100"/>
        <v>0</v>
      </c>
      <c r="N1059">
        <f t="shared" si="101"/>
        <v>0</v>
      </c>
    </row>
    <row r="1060" spans="1:14" x14ac:dyDescent="0.35">
      <c r="A1060" t="s">
        <v>423</v>
      </c>
      <c r="B1060" t="s">
        <v>2351</v>
      </c>
      <c r="C1060" s="7" t="s">
        <v>10</v>
      </c>
      <c r="D1060" t="s">
        <v>152</v>
      </c>
      <c r="E1060" t="s">
        <v>1931</v>
      </c>
      <c r="F1060" t="s">
        <v>1754</v>
      </c>
      <c r="I1060">
        <f t="shared" si="96"/>
        <v>0</v>
      </c>
      <c r="J1060">
        <f t="shared" si="97"/>
        <v>0</v>
      </c>
      <c r="K1060">
        <f t="shared" si="98"/>
        <v>0</v>
      </c>
      <c r="L1060">
        <f t="shared" si="99"/>
        <v>1</v>
      </c>
      <c r="M1060">
        <f t="shared" si="100"/>
        <v>0</v>
      </c>
      <c r="N1060">
        <f t="shared" si="101"/>
        <v>0</v>
      </c>
    </row>
    <row r="1061" spans="1:14" x14ac:dyDescent="0.35">
      <c r="A1061" t="s">
        <v>933</v>
      </c>
      <c r="B1061" t="s">
        <v>2352</v>
      </c>
      <c r="C1061" s="7" t="s">
        <v>10</v>
      </c>
      <c r="D1061" t="s">
        <v>55</v>
      </c>
      <c r="E1061" t="s">
        <v>1998</v>
      </c>
      <c r="F1061" t="s">
        <v>1886</v>
      </c>
      <c r="I1061">
        <f t="shared" si="96"/>
        <v>0</v>
      </c>
      <c r="J1061">
        <f t="shared" si="97"/>
        <v>0</v>
      </c>
      <c r="K1061">
        <f t="shared" si="98"/>
        <v>0</v>
      </c>
      <c r="L1061">
        <f t="shared" si="99"/>
        <v>0</v>
      </c>
      <c r="M1061">
        <f t="shared" si="100"/>
        <v>0</v>
      </c>
      <c r="N1061">
        <f t="shared" si="101"/>
        <v>0</v>
      </c>
    </row>
    <row r="1062" spans="1:14" x14ac:dyDescent="0.35">
      <c r="A1062" t="s">
        <v>1217</v>
      </c>
      <c r="B1062" t="s">
        <v>1981</v>
      </c>
      <c r="C1062" s="7" t="s">
        <v>10</v>
      </c>
      <c r="D1062" t="s">
        <v>55</v>
      </c>
      <c r="E1062" t="s">
        <v>1821</v>
      </c>
      <c r="F1062" t="s">
        <v>1760</v>
      </c>
      <c r="I1062">
        <f t="shared" si="96"/>
        <v>0</v>
      </c>
      <c r="J1062">
        <f t="shared" si="97"/>
        <v>0</v>
      </c>
      <c r="K1062">
        <f t="shared" si="98"/>
        <v>1</v>
      </c>
      <c r="L1062">
        <f t="shared" si="99"/>
        <v>0</v>
      </c>
      <c r="M1062">
        <f t="shared" si="100"/>
        <v>0</v>
      </c>
      <c r="N1062">
        <f t="shared" si="101"/>
        <v>0</v>
      </c>
    </row>
    <row r="1063" spans="1:14" x14ac:dyDescent="0.35">
      <c r="A1063" t="s">
        <v>1044</v>
      </c>
      <c r="B1063" t="s">
        <v>2353</v>
      </c>
      <c r="C1063" s="7" t="s">
        <v>10</v>
      </c>
      <c r="D1063" t="s">
        <v>180</v>
      </c>
      <c r="E1063" t="s">
        <v>1941</v>
      </c>
      <c r="F1063" t="s">
        <v>1754</v>
      </c>
      <c r="G1063" t="s">
        <v>2354</v>
      </c>
      <c r="H1063" t="s">
        <v>2355</v>
      </c>
      <c r="I1063">
        <f t="shared" si="96"/>
        <v>0</v>
      </c>
      <c r="J1063">
        <f t="shared" si="97"/>
        <v>0</v>
      </c>
      <c r="K1063">
        <f t="shared" si="98"/>
        <v>0</v>
      </c>
      <c r="L1063">
        <f t="shared" si="99"/>
        <v>1</v>
      </c>
      <c r="M1063">
        <f t="shared" si="100"/>
        <v>0</v>
      </c>
      <c r="N1063">
        <f t="shared" si="101"/>
        <v>1</v>
      </c>
    </row>
    <row r="1064" spans="1:14" x14ac:dyDescent="0.35">
      <c r="A1064" t="s">
        <v>1044</v>
      </c>
      <c r="B1064" t="s">
        <v>2353</v>
      </c>
      <c r="C1064" s="7" t="s">
        <v>10</v>
      </c>
      <c r="D1064" t="s">
        <v>180</v>
      </c>
      <c r="E1064" t="s">
        <v>1940</v>
      </c>
      <c r="F1064" t="s">
        <v>1754</v>
      </c>
      <c r="G1064" t="s">
        <v>2354</v>
      </c>
      <c r="H1064" t="s">
        <v>2355</v>
      </c>
      <c r="I1064">
        <f t="shared" si="96"/>
        <v>0</v>
      </c>
      <c r="J1064">
        <f t="shared" si="97"/>
        <v>0</v>
      </c>
      <c r="K1064">
        <f t="shared" si="98"/>
        <v>0</v>
      </c>
      <c r="L1064">
        <f t="shared" si="99"/>
        <v>1</v>
      </c>
      <c r="M1064">
        <f t="shared" si="100"/>
        <v>0</v>
      </c>
      <c r="N1064">
        <f t="shared" si="101"/>
        <v>1</v>
      </c>
    </row>
    <row r="1065" spans="1:14" x14ac:dyDescent="0.35">
      <c r="A1065" t="s">
        <v>1687</v>
      </c>
      <c r="B1065" t="s">
        <v>2356</v>
      </c>
      <c r="C1065" s="7" t="s">
        <v>10</v>
      </c>
      <c r="D1065" t="s">
        <v>97</v>
      </c>
      <c r="E1065" t="s">
        <v>1894</v>
      </c>
      <c r="F1065" t="s">
        <v>1754</v>
      </c>
      <c r="I1065">
        <f t="shared" si="96"/>
        <v>0</v>
      </c>
      <c r="J1065">
        <f t="shared" si="97"/>
        <v>0</v>
      </c>
      <c r="K1065">
        <f t="shared" si="98"/>
        <v>0</v>
      </c>
      <c r="L1065">
        <f t="shared" si="99"/>
        <v>1</v>
      </c>
      <c r="M1065">
        <f t="shared" si="100"/>
        <v>0</v>
      </c>
      <c r="N1065">
        <f t="shared" si="101"/>
        <v>0</v>
      </c>
    </row>
    <row r="1066" spans="1:14" x14ac:dyDescent="0.35">
      <c r="A1066" t="s">
        <v>1687</v>
      </c>
      <c r="B1066" t="s">
        <v>2356</v>
      </c>
      <c r="C1066" s="7" t="s">
        <v>10</v>
      </c>
      <c r="D1066" t="s">
        <v>97</v>
      </c>
      <c r="E1066" t="s">
        <v>1896</v>
      </c>
      <c r="F1066" t="s">
        <v>1754</v>
      </c>
      <c r="I1066">
        <f t="shared" si="96"/>
        <v>0</v>
      </c>
      <c r="J1066">
        <f t="shared" si="97"/>
        <v>0</v>
      </c>
      <c r="K1066">
        <f t="shared" si="98"/>
        <v>0</v>
      </c>
      <c r="L1066">
        <f t="shared" si="99"/>
        <v>1</v>
      </c>
      <c r="M1066">
        <f t="shared" si="100"/>
        <v>0</v>
      </c>
      <c r="N1066">
        <f t="shared" si="101"/>
        <v>0</v>
      </c>
    </row>
    <row r="1067" spans="1:14" x14ac:dyDescent="0.35">
      <c r="A1067" t="s">
        <v>1687</v>
      </c>
      <c r="B1067" t="s">
        <v>2356</v>
      </c>
      <c r="C1067" s="7" t="s">
        <v>10</v>
      </c>
      <c r="D1067" t="s">
        <v>97</v>
      </c>
      <c r="E1067" t="s">
        <v>2058</v>
      </c>
      <c r="F1067" t="s">
        <v>1754</v>
      </c>
      <c r="I1067">
        <f t="shared" si="96"/>
        <v>0</v>
      </c>
      <c r="J1067">
        <f t="shared" si="97"/>
        <v>0</v>
      </c>
      <c r="K1067">
        <f t="shared" si="98"/>
        <v>0</v>
      </c>
      <c r="L1067">
        <f t="shared" si="99"/>
        <v>1</v>
      </c>
      <c r="M1067">
        <f t="shared" si="100"/>
        <v>0</v>
      </c>
      <c r="N1067">
        <f t="shared" si="101"/>
        <v>0</v>
      </c>
    </row>
    <row r="1068" spans="1:14" x14ac:dyDescent="0.35">
      <c r="A1068" t="s">
        <v>1687</v>
      </c>
      <c r="B1068" t="s">
        <v>2356</v>
      </c>
      <c r="C1068" s="7" t="s">
        <v>10</v>
      </c>
      <c r="D1068" t="s">
        <v>97</v>
      </c>
      <c r="E1068" t="s">
        <v>2057</v>
      </c>
      <c r="F1068" t="s">
        <v>1754</v>
      </c>
      <c r="I1068">
        <f t="shared" si="96"/>
        <v>0</v>
      </c>
      <c r="J1068">
        <f t="shared" si="97"/>
        <v>0</v>
      </c>
      <c r="K1068">
        <f t="shared" si="98"/>
        <v>0</v>
      </c>
      <c r="L1068">
        <f t="shared" si="99"/>
        <v>1</v>
      </c>
      <c r="M1068">
        <f t="shared" si="100"/>
        <v>0</v>
      </c>
      <c r="N1068">
        <f t="shared" si="101"/>
        <v>0</v>
      </c>
    </row>
    <row r="1069" spans="1:14" x14ac:dyDescent="0.35">
      <c r="A1069" t="s">
        <v>1687</v>
      </c>
      <c r="B1069" t="s">
        <v>2356</v>
      </c>
      <c r="C1069" s="7" t="s">
        <v>10</v>
      </c>
      <c r="D1069" t="s">
        <v>97</v>
      </c>
      <c r="E1069" t="s">
        <v>2002</v>
      </c>
      <c r="F1069" t="s">
        <v>1754</v>
      </c>
      <c r="I1069">
        <f t="shared" si="96"/>
        <v>0</v>
      </c>
      <c r="J1069">
        <f t="shared" si="97"/>
        <v>0</v>
      </c>
      <c r="K1069">
        <f t="shared" si="98"/>
        <v>0</v>
      </c>
      <c r="L1069">
        <f t="shared" si="99"/>
        <v>1</v>
      </c>
      <c r="M1069">
        <f t="shared" si="100"/>
        <v>0</v>
      </c>
      <c r="N1069">
        <f t="shared" si="101"/>
        <v>0</v>
      </c>
    </row>
    <row r="1070" spans="1:14" x14ac:dyDescent="0.35">
      <c r="A1070" t="s">
        <v>1687</v>
      </c>
      <c r="B1070" t="s">
        <v>2356</v>
      </c>
      <c r="C1070" s="7" t="s">
        <v>10</v>
      </c>
      <c r="D1070" t="s">
        <v>97</v>
      </c>
      <c r="E1070" t="s">
        <v>2003</v>
      </c>
      <c r="F1070" t="s">
        <v>1754</v>
      </c>
      <c r="I1070">
        <f t="shared" si="96"/>
        <v>0</v>
      </c>
      <c r="J1070">
        <f t="shared" si="97"/>
        <v>0</v>
      </c>
      <c r="K1070">
        <f t="shared" si="98"/>
        <v>0</v>
      </c>
      <c r="L1070">
        <f t="shared" si="99"/>
        <v>1</v>
      </c>
      <c r="M1070">
        <f t="shared" si="100"/>
        <v>0</v>
      </c>
      <c r="N1070">
        <f t="shared" si="101"/>
        <v>0</v>
      </c>
    </row>
    <row r="1071" spans="1:14" x14ac:dyDescent="0.35">
      <c r="A1071" t="s">
        <v>375</v>
      </c>
      <c r="B1071" t="s">
        <v>2357</v>
      </c>
      <c r="C1071" s="7" t="s">
        <v>10</v>
      </c>
      <c r="D1071" t="s">
        <v>305</v>
      </c>
      <c r="E1071" t="s">
        <v>1821</v>
      </c>
      <c r="F1071" t="s">
        <v>1760</v>
      </c>
      <c r="I1071">
        <f t="shared" si="96"/>
        <v>0</v>
      </c>
      <c r="J1071">
        <f t="shared" si="97"/>
        <v>0</v>
      </c>
      <c r="K1071">
        <f t="shared" si="98"/>
        <v>1</v>
      </c>
      <c r="L1071">
        <f t="shared" si="99"/>
        <v>0</v>
      </c>
      <c r="M1071">
        <f t="shared" si="100"/>
        <v>0</v>
      </c>
      <c r="N1071">
        <f t="shared" si="101"/>
        <v>0</v>
      </c>
    </row>
    <row r="1072" spans="1:14" x14ac:dyDescent="0.35">
      <c r="A1072" t="s">
        <v>375</v>
      </c>
      <c r="B1072" t="s">
        <v>2357</v>
      </c>
      <c r="C1072" s="7" t="s">
        <v>10</v>
      </c>
      <c r="D1072" t="s">
        <v>305</v>
      </c>
      <c r="E1072" t="s">
        <v>1840</v>
      </c>
      <c r="F1072" t="s">
        <v>1760</v>
      </c>
      <c r="I1072">
        <f t="shared" si="96"/>
        <v>0</v>
      </c>
      <c r="J1072">
        <f t="shared" si="97"/>
        <v>0</v>
      </c>
      <c r="K1072">
        <f t="shared" si="98"/>
        <v>1</v>
      </c>
      <c r="L1072">
        <f t="shared" si="99"/>
        <v>0</v>
      </c>
      <c r="M1072">
        <f t="shared" si="100"/>
        <v>0</v>
      </c>
      <c r="N1072">
        <f t="shared" si="101"/>
        <v>0</v>
      </c>
    </row>
    <row r="1073" spans="1:14" x14ac:dyDescent="0.35">
      <c r="A1073" t="s">
        <v>375</v>
      </c>
      <c r="B1073" t="s">
        <v>2357</v>
      </c>
      <c r="C1073" s="7" t="s">
        <v>10</v>
      </c>
      <c r="D1073" t="s">
        <v>305</v>
      </c>
      <c r="E1073" t="s">
        <v>1822</v>
      </c>
      <c r="F1073" t="s">
        <v>1760</v>
      </c>
      <c r="I1073">
        <f t="shared" si="96"/>
        <v>0</v>
      </c>
      <c r="J1073">
        <f t="shared" si="97"/>
        <v>0</v>
      </c>
      <c r="K1073">
        <f t="shared" si="98"/>
        <v>1</v>
      </c>
      <c r="L1073">
        <f t="shared" si="99"/>
        <v>0</v>
      </c>
      <c r="M1073">
        <f t="shared" si="100"/>
        <v>0</v>
      </c>
      <c r="N1073">
        <f t="shared" si="101"/>
        <v>0</v>
      </c>
    </row>
    <row r="1074" spans="1:14" x14ac:dyDescent="0.35">
      <c r="A1074" t="s">
        <v>271</v>
      </c>
      <c r="B1074" t="s">
        <v>2358</v>
      </c>
      <c r="C1074" s="7" t="s">
        <v>10</v>
      </c>
      <c r="D1074" t="s">
        <v>273</v>
      </c>
      <c r="E1074" t="s">
        <v>1996</v>
      </c>
      <c r="F1074" t="s">
        <v>1886</v>
      </c>
      <c r="I1074">
        <f t="shared" si="96"/>
        <v>0</v>
      </c>
      <c r="J1074">
        <f t="shared" si="97"/>
        <v>0</v>
      </c>
      <c r="K1074">
        <f t="shared" si="98"/>
        <v>0</v>
      </c>
      <c r="L1074">
        <f t="shared" si="99"/>
        <v>0</v>
      </c>
      <c r="M1074">
        <f t="shared" si="100"/>
        <v>0</v>
      </c>
      <c r="N1074">
        <f t="shared" si="101"/>
        <v>0</v>
      </c>
    </row>
    <row r="1075" spans="1:14" x14ac:dyDescent="0.35">
      <c r="A1075" t="s">
        <v>426</v>
      </c>
      <c r="B1075" t="s">
        <v>2359</v>
      </c>
      <c r="C1075" s="7" t="s">
        <v>10</v>
      </c>
      <c r="D1075" t="s">
        <v>427</v>
      </c>
      <c r="E1075" t="s">
        <v>1885</v>
      </c>
      <c r="F1075" t="s">
        <v>1886</v>
      </c>
      <c r="I1075">
        <f t="shared" si="96"/>
        <v>0</v>
      </c>
      <c r="J1075">
        <f t="shared" si="97"/>
        <v>0</v>
      </c>
      <c r="K1075">
        <f t="shared" si="98"/>
        <v>0</v>
      </c>
      <c r="L1075">
        <f t="shared" si="99"/>
        <v>0</v>
      </c>
      <c r="M1075">
        <f t="shared" si="100"/>
        <v>0</v>
      </c>
      <c r="N1075">
        <f t="shared" si="101"/>
        <v>0</v>
      </c>
    </row>
    <row r="1076" spans="1:14" x14ac:dyDescent="0.35">
      <c r="A1076" t="s">
        <v>84</v>
      </c>
      <c r="B1076" t="s">
        <v>2360</v>
      </c>
      <c r="C1076" s="7" t="s">
        <v>10</v>
      </c>
      <c r="D1076" t="s">
        <v>55</v>
      </c>
      <c r="E1076" t="s">
        <v>1835</v>
      </c>
      <c r="F1076" t="s">
        <v>1754</v>
      </c>
      <c r="I1076">
        <f t="shared" si="96"/>
        <v>0</v>
      </c>
      <c r="J1076">
        <f t="shared" si="97"/>
        <v>0</v>
      </c>
      <c r="K1076">
        <f t="shared" si="98"/>
        <v>0</v>
      </c>
      <c r="L1076">
        <f t="shared" si="99"/>
        <v>1</v>
      </c>
      <c r="M1076">
        <f t="shared" si="100"/>
        <v>0</v>
      </c>
      <c r="N1076">
        <f t="shared" si="101"/>
        <v>0</v>
      </c>
    </row>
    <row r="1077" spans="1:14" x14ac:dyDescent="0.35">
      <c r="A1077" t="s">
        <v>84</v>
      </c>
      <c r="B1077" t="s">
        <v>2360</v>
      </c>
      <c r="C1077" s="7" t="s">
        <v>10</v>
      </c>
      <c r="D1077" t="s">
        <v>55</v>
      </c>
      <c r="E1077" t="s">
        <v>2042</v>
      </c>
      <c r="F1077" t="s">
        <v>1754</v>
      </c>
      <c r="I1077">
        <f t="shared" si="96"/>
        <v>0</v>
      </c>
      <c r="J1077">
        <f t="shared" si="97"/>
        <v>0</v>
      </c>
      <c r="K1077">
        <f t="shared" si="98"/>
        <v>0</v>
      </c>
      <c r="L1077">
        <f t="shared" si="99"/>
        <v>1</v>
      </c>
      <c r="M1077">
        <f t="shared" si="100"/>
        <v>0</v>
      </c>
      <c r="N1077">
        <f t="shared" si="101"/>
        <v>0</v>
      </c>
    </row>
    <row r="1078" spans="1:14" x14ac:dyDescent="0.35">
      <c r="A1078" t="s">
        <v>84</v>
      </c>
      <c r="B1078" t="s">
        <v>2360</v>
      </c>
      <c r="C1078" s="7" t="s">
        <v>10</v>
      </c>
      <c r="D1078" t="s">
        <v>55</v>
      </c>
      <c r="E1078" t="s">
        <v>1854</v>
      </c>
      <c r="F1078" t="s">
        <v>1754</v>
      </c>
      <c r="I1078">
        <f t="shared" si="96"/>
        <v>0</v>
      </c>
      <c r="J1078">
        <f t="shared" si="97"/>
        <v>0</v>
      </c>
      <c r="K1078">
        <f t="shared" si="98"/>
        <v>0</v>
      </c>
      <c r="L1078">
        <f t="shared" si="99"/>
        <v>1</v>
      </c>
      <c r="M1078">
        <f t="shared" si="100"/>
        <v>0</v>
      </c>
      <c r="N1078">
        <f t="shared" si="101"/>
        <v>0</v>
      </c>
    </row>
    <row r="1079" spans="1:14" x14ac:dyDescent="0.35">
      <c r="A1079" t="s">
        <v>67</v>
      </c>
      <c r="B1079" t="s">
        <v>1766</v>
      </c>
      <c r="C1079" s="7" t="s">
        <v>10</v>
      </c>
      <c r="D1079" t="s">
        <v>55</v>
      </c>
      <c r="E1079" t="s">
        <v>2053</v>
      </c>
      <c r="F1079" t="s">
        <v>1805</v>
      </c>
      <c r="I1079">
        <f t="shared" si="96"/>
        <v>0</v>
      </c>
      <c r="J1079">
        <f t="shared" si="97"/>
        <v>1</v>
      </c>
      <c r="K1079">
        <f t="shared" si="98"/>
        <v>0</v>
      </c>
      <c r="L1079">
        <f t="shared" si="99"/>
        <v>0</v>
      </c>
      <c r="M1079">
        <f t="shared" si="100"/>
        <v>0</v>
      </c>
      <c r="N1079">
        <f t="shared" si="101"/>
        <v>0</v>
      </c>
    </row>
    <row r="1080" spans="1:14" x14ac:dyDescent="0.35">
      <c r="A1080" t="s">
        <v>1529</v>
      </c>
      <c r="B1080" t="s">
        <v>2361</v>
      </c>
      <c r="C1080" s="7" t="s">
        <v>10</v>
      </c>
      <c r="D1080" t="s">
        <v>1085</v>
      </c>
      <c r="E1080" t="s">
        <v>1840</v>
      </c>
      <c r="F1080" t="s">
        <v>1760</v>
      </c>
      <c r="G1080" t="s">
        <v>2362</v>
      </c>
      <c r="H1080" t="s">
        <v>1919</v>
      </c>
      <c r="I1080">
        <f t="shared" si="96"/>
        <v>0</v>
      </c>
      <c r="J1080">
        <f t="shared" si="97"/>
        <v>0</v>
      </c>
      <c r="K1080">
        <f t="shared" si="98"/>
        <v>1</v>
      </c>
      <c r="L1080">
        <f t="shared" si="99"/>
        <v>0</v>
      </c>
      <c r="M1080">
        <f t="shared" si="100"/>
        <v>0</v>
      </c>
      <c r="N1080">
        <f t="shared" si="101"/>
        <v>1</v>
      </c>
    </row>
    <row r="1081" spans="1:14" x14ac:dyDescent="0.35">
      <c r="A1081" t="s">
        <v>576</v>
      </c>
      <c r="B1081" t="s">
        <v>2363</v>
      </c>
      <c r="C1081" s="7" t="s">
        <v>6</v>
      </c>
      <c r="D1081" t="s">
        <v>577</v>
      </c>
      <c r="E1081" t="s">
        <v>1811</v>
      </c>
      <c r="F1081" t="s">
        <v>1754</v>
      </c>
      <c r="I1081">
        <f t="shared" si="96"/>
        <v>0</v>
      </c>
      <c r="J1081">
        <f t="shared" si="97"/>
        <v>0</v>
      </c>
      <c r="K1081">
        <f t="shared" si="98"/>
        <v>0</v>
      </c>
      <c r="L1081">
        <f t="shared" si="99"/>
        <v>1</v>
      </c>
      <c r="M1081">
        <f t="shared" si="100"/>
        <v>0</v>
      </c>
      <c r="N1081">
        <f t="shared" si="101"/>
        <v>0</v>
      </c>
    </row>
    <row r="1082" spans="1:14" x14ac:dyDescent="0.35">
      <c r="A1082" t="s">
        <v>1677</v>
      </c>
      <c r="B1082" t="s">
        <v>2364</v>
      </c>
      <c r="C1082" s="7" t="s">
        <v>6</v>
      </c>
      <c r="D1082" t="s">
        <v>55</v>
      </c>
      <c r="E1082" t="s">
        <v>2217</v>
      </c>
      <c r="F1082" t="s">
        <v>1727</v>
      </c>
      <c r="I1082">
        <f t="shared" si="96"/>
        <v>0</v>
      </c>
      <c r="J1082">
        <f t="shared" si="97"/>
        <v>0</v>
      </c>
      <c r="K1082">
        <f t="shared" si="98"/>
        <v>0</v>
      </c>
      <c r="L1082">
        <f t="shared" si="99"/>
        <v>0</v>
      </c>
      <c r="M1082">
        <f t="shared" si="100"/>
        <v>1</v>
      </c>
      <c r="N1082">
        <f t="shared" si="101"/>
        <v>0</v>
      </c>
    </row>
    <row r="1083" spans="1:14" x14ac:dyDescent="0.35">
      <c r="A1083" t="s">
        <v>1041</v>
      </c>
      <c r="B1083" t="s">
        <v>1767</v>
      </c>
      <c r="C1083" s="7" t="s">
        <v>6</v>
      </c>
      <c r="D1083" t="s">
        <v>1043</v>
      </c>
      <c r="E1083" t="s">
        <v>1807</v>
      </c>
      <c r="F1083" t="s">
        <v>1754</v>
      </c>
      <c r="I1083">
        <f t="shared" si="96"/>
        <v>0</v>
      </c>
      <c r="J1083">
        <f t="shared" si="97"/>
        <v>0</v>
      </c>
      <c r="K1083">
        <f t="shared" si="98"/>
        <v>0</v>
      </c>
      <c r="L1083">
        <f t="shared" si="99"/>
        <v>1</v>
      </c>
      <c r="M1083">
        <f t="shared" si="100"/>
        <v>0</v>
      </c>
      <c r="N1083">
        <f t="shared" si="101"/>
        <v>0</v>
      </c>
    </row>
    <row r="1084" spans="1:14" x14ac:dyDescent="0.35">
      <c r="A1084" t="s">
        <v>1041</v>
      </c>
      <c r="B1084" t="s">
        <v>1767</v>
      </c>
      <c r="C1084" s="7" t="s">
        <v>6</v>
      </c>
      <c r="D1084" t="s">
        <v>1043</v>
      </c>
      <c r="E1084" t="s">
        <v>1806</v>
      </c>
      <c r="F1084" t="s">
        <v>1754</v>
      </c>
      <c r="I1084">
        <f t="shared" si="96"/>
        <v>0</v>
      </c>
      <c r="J1084">
        <f t="shared" si="97"/>
        <v>0</v>
      </c>
      <c r="K1084">
        <f t="shared" si="98"/>
        <v>0</v>
      </c>
      <c r="L1084">
        <f t="shared" si="99"/>
        <v>1</v>
      </c>
      <c r="M1084">
        <f t="shared" si="100"/>
        <v>0</v>
      </c>
      <c r="N1084">
        <f t="shared" si="101"/>
        <v>0</v>
      </c>
    </row>
    <row r="1085" spans="1:14" x14ac:dyDescent="0.35">
      <c r="A1085" t="s">
        <v>1041</v>
      </c>
      <c r="B1085" t="s">
        <v>1767</v>
      </c>
      <c r="C1085" s="7" t="s">
        <v>6</v>
      </c>
      <c r="D1085" t="s">
        <v>1043</v>
      </c>
      <c r="E1085" t="s">
        <v>2130</v>
      </c>
      <c r="F1085" t="s">
        <v>1754</v>
      </c>
      <c r="I1085">
        <f t="shared" si="96"/>
        <v>0</v>
      </c>
      <c r="J1085">
        <f t="shared" si="97"/>
        <v>0</v>
      </c>
      <c r="K1085">
        <f t="shared" si="98"/>
        <v>0</v>
      </c>
      <c r="L1085">
        <f t="shared" si="99"/>
        <v>1</v>
      </c>
      <c r="M1085">
        <f t="shared" si="100"/>
        <v>0</v>
      </c>
      <c r="N1085">
        <f t="shared" si="101"/>
        <v>0</v>
      </c>
    </row>
    <row r="1086" spans="1:14" x14ac:dyDescent="0.35">
      <c r="A1086" t="s">
        <v>590</v>
      </c>
      <c r="B1086" t="s">
        <v>2365</v>
      </c>
      <c r="C1086" s="7" t="s">
        <v>6</v>
      </c>
      <c r="D1086" t="s">
        <v>276</v>
      </c>
      <c r="E1086" t="s">
        <v>1940</v>
      </c>
      <c r="F1086" t="s">
        <v>1754</v>
      </c>
      <c r="I1086">
        <f t="shared" si="96"/>
        <v>0</v>
      </c>
      <c r="J1086">
        <f t="shared" si="97"/>
        <v>0</v>
      </c>
      <c r="K1086">
        <f t="shared" si="98"/>
        <v>0</v>
      </c>
      <c r="L1086">
        <f t="shared" si="99"/>
        <v>1</v>
      </c>
      <c r="M1086">
        <f t="shared" si="100"/>
        <v>0</v>
      </c>
      <c r="N1086">
        <f t="shared" si="101"/>
        <v>0</v>
      </c>
    </row>
    <row r="1087" spans="1:14" x14ac:dyDescent="0.35">
      <c r="A1087" t="s">
        <v>590</v>
      </c>
      <c r="B1087" t="s">
        <v>2365</v>
      </c>
      <c r="C1087" s="7" t="s">
        <v>6</v>
      </c>
      <c r="D1087" t="s">
        <v>276</v>
      </c>
      <c r="E1087" t="s">
        <v>1941</v>
      </c>
      <c r="F1087" t="s">
        <v>1754</v>
      </c>
      <c r="I1087">
        <f t="shared" si="96"/>
        <v>0</v>
      </c>
      <c r="J1087">
        <f t="shared" si="97"/>
        <v>0</v>
      </c>
      <c r="K1087">
        <f t="shared" si="98"/>
        <v>0</v>
      </c>
      <c r="L1087">
        <f t="shared" si="99"/>
        <v>1</v>
      </c>
      <c r="M1087">
        <f t="shared" si="100"/>
        <v>0</v>
      </c>
      <c r="N1087">
        <f t="shared" si="101"/>
        <v>0</v>
      </c>
    </row>
    <row r="1088" spans="1:14" x14ac:dyDescent="0.35">
      <c r="A1088" t="s">
        <v>590</v>
      </c>
      <c r="B1088" t="s">
        <v>2365</v>
      </c>
      <c r="C1088" s="7" t="s">
        <v>6</v>
      </c>
      <c r="D1088" t="s">
        <v>276</v>
      </c>
      <c r="E1088" t="s">
        <v>2366</v>
      </c>
      <c r="F1088" t="s">
        <v>1727</v>
      </c>
      <c r="I1088">
        <f t="shared" si="96"/>
        <v>0</v>
      </c>
      <c r="J1088">
        <f t="shared" si="97"/>
        <v>0</v>
      </c>
      <c r="K1088">
        <f t="shared" si="98"/>
        <v>0</v>
      </c>
      <c r="L1088">
        <f t="shared" si="99"/>
        <v>0</v>
      </c>
      <c r="M1088">
        <f t="shared" si="100"/>
        <v>1</v>
      </c>
      <c r="N1088">
        <f t="shared" si="101"/>
        <v>0</v>
      </c>
    </row>
    <row r="1089" spans="1:14" x14ac:dyDescent="0.35">
      <c r="A1089" t="s">
        <v>973</v>
      </c>
      <c r="B1089" t="s">
        <v>2367</v>
      </c>
      <c r="C1089" s="7" t="s">
        <v>6</v>
      </c>
      <c r="D1089" t="s">
        <v>92</v>
      </c>
      <c r="E1089" t="s">
        <v>1821</v>
      </c>
      <c r="F1089" t="s">
        <v>1760</v>
      </c>
      <c r="I1089">
        <f t="shared" si="96"/>
        <v>0</v>
      </c>
      <c r="J1089">
        <f t="shared" si="97"/>
        <v>0</v>
      </c>
      <c r="K1089">
        <f t="shared" si="98"/>
        <v>1</v>
      </c>
      <c r="L1089">
        <f t="shared" si="99"/>
        <v>0</v>
      </c>
      <c r="M1089">
        <f t="shared" si="100"/>
        <v>0</v>
      </c>
      <c r="N1089">
        <f t="shared" si="101"/>
        <v>0</v>
      </c>
    </row>
    <row r="1090" spans="1:14" x14ac:dyDescent="0.35">
      <c r="A1090" t="s">
        <v>973</v>
      </c>
      <c r="B1090" t="s">
        <v>2367</v>
      </c>
      <c r="C1090" s="7" t="s">
        <v>6</v>
      </c>
      <c r="D1090" t="s">
        <v>92</v>
      </c>
      <c r="E1090" t="s">
        <v>1904</v>
      </c>
      <c r="F1090" t="s">
        <v>1760</v>
      </c>
      <c r="I1090">
        <f t="shared" si="96"/>
        <v>0</v>
      </c>
      <c r="J1090">
        <f t="shared" si="97"/>
        <v>0</v>
      </c>
      <c r="K1090">
        <f t="shared" si="98"/>
        <v>1</v>
      </c>
      <c r="L1090">
        <f t="shared" si="99"/>
        <v>0</v>
      </c>
      <c r="M1090">
        <f t="shared" si="100"/>
        <v>0</v>
      </c>
      <c r="N1090">
        <f t="shared" si="101"/>
        <v>0</v>
      </c>
    </row>
    <row r="1091" spans="1:14" x14ac:dyDescent="0.35">
      <c r="A1091" t="s">
        <v>973</v>
      </c>
      <c r="B1091" t="s">
        <v>2367</v>
      </c>
      <c r="C1091" s="7" t="s">
        <v>6</v>
      </c>
      <c r="D1091" t="s">
        <v>92</v>
      </c>
      <c r="E1091" t="s">
        <v>1823</v>
      </c>
      <c r="F1091" t="s">
        <v>1760</v>
      </c>
      <c r="I1091">
        <f t="shared" ref="I1091:I1154" si="102">IF($F1091=$F$1,1,0)</f>
        <v>0</v>
      </c>
      <c r="J1091">
        <f t="shared" ref="J1091:J1154" si="103">IF($F1091=$J$1,1,0)</f>
        <v>0</v>
      </c>
      <c r="K1091">
        <f t="shared" ref="K1091:K1154" si="104">IF($F1091=$K$1,1,0)</f>
        <v>1</v>
      </c>
      <c r="L1091">
        <f t="shared" ref="L1091:L1154" si="105">IF($F1091=$L$1,1,0)</f>
        <v>0</v>
      </c>
      <c r="M1091">
        <f t="shared" ref="M1091:M1154" si="106">IF($F1091=$M$1,1,0)</f>
        <v>0</v>
      </c>
      <c r="N1091">
        <f t="shared" ref="N1091:N1154" si="107">IF($G1091&lt;&gt;"",1,0)</f>
        <v>0</v>
      </c>
    </row>
    <row r="1092" spans="1:14" x14ac:dyDescent="0.35">
      <c r="A1092" t="s">
        <v>973</v>
      </c>
      <c r="B1092" t="s">
        <v>2367</v>
      </c>
      <c r="C1092" s="7" t="s">
        <v>6</v>
      </c>
      <c r="D1092" t="s">
        <v>92</v>
      </c>
      <c r="E1092" t="s">
        <v>1822</v>
      </c>
      <c r="F1092" t="s">
        <v>1760</v>
      </c>
      <c r="I1092">
        <f t="shared" si="102"/>
        <v>0</v>
      </c>
      <c r="J1092">
        <f t="shared" si="103"/>
        <v>0</v>
      </c>
      <c r="K1092">
        <f t="shared" si="104"/>
        <v>1</v>
      </c>
      <c r="L1092">
        <f t="shared" si="105"/>
        <v>0</v>
      </c>
      <c r="M1092">
        <f t="shared" si="106"/>
        <v>0</v>
      </c>
      <c r="N1092">
        <f t="shared" si="107"/>
        <v>0</v>
      </c>
    </row>
    <row r="1093" spans="1:14" x14ac:dyDescent="0.35">
      <c r="A1093" t="s">
        <v>334</v>
      </c>
      <c r="B1093" t="s">
        <v>2368</v>
      </c>
      <c r="C1093" s="7" t="s">
        <v>6</v>
      </c>
      <c r="D1093" t="s">
        <v>276</v>
      </c>
      <c r="E1093" t="s">
        <v>2078</v>
      </c>
      <c r="F1093" t="s">
        <v>1754</v>
      </c>
      <c r="I1093">
        <f t="shared" si="102"/>
        <v>0</v>
      </c>
      <c r="J1093">
        <f t="shared" si="103"/>
        <v>0</v>
      </c>
      <c r="K1093">
        <f t="shared" si="104"/>
        <v>0</v>
      </c>
      <c r="L1093">
        <f t="shared" si="105"/>
        <v>1</v>
      </c>
      <c r="M1093">
        <f t="shared" si="106"/>
        <v>0</v>
      </c>
      <c r="N1093">
        <f t="shared" si="107"/>
        <v>0</v>
      </c>
    </row>
    <row r="1094" spans="1:14" x14ac:dyDescent="0.35">
      <c r="A1094" t="s">
        <v>348</v>
      </c>
      <c r="B1094" t="s">
        <v>2369</v>
      </c>
      <c r="C1094" s="7" t="s">
        <v>6</v>
      </c>
      <c r="D1094" t="s">
        <v>55</v>
      </c>
      <c r="E1094" t="s">
        <v>1929</v>
      </c>
      <c r="F1094" t="s">
        <v>1754</v>
      </c>
      <c r="I1094">
        <f t="shared" si="102"/>
        <v>0</v>
      </c>
      <c r="J1094">
        <f t="shared" si="103"/>
        <v>0</v>
      </c>
      <c r="K1094">
        <f t="shared" si="104"/>
        <v>0</v>
      </c>
      <c r="L1094">
        <f t="shared" si="105"/>
        <v>1</v>
      </c>
      <c r="M1094">
        <f t="shared" si="106"/>
        <v>0</v>
      </c>
      <c r="N1094">
        <f t="shared" si="107"/>
        <v>0</v>
      </c>
    </row>
    <row r="1095" spans="1:14" x14ac:dyDescent="0.35">
      <c r="A1095" t="s">
        <v>348</v>
      </c>
      <c r="B1095" t="s">
        <v>2369</v>
      </c>
      <c r="C1095" s="7" t="s">
        <v>6</v>
      </c>
      <c r="D1095" t="s">
        <v>55</v>
      </c>
      <c r="E1095" t="s">
        <v>2064</v>
      </c>
      <c r="F1095" t="s">
        <v>1727</v>
      </c>
      <c r="I1095">
        <f t="shared" si="102"/>
        <v>0</v>
      </c>
      <c r="J1095">
        <f t="shared" si="103"/>
        <v>0</v>
      </c>
      <c r="K1095">
        <f t="shared" si="104"/>
        <v>0</v>
      </c>
      <c r="L1095">
        <f t="shared" si="105"/>
        <v>0</v>
      </c>
      <c r="M1095">
        <f t="shared" si="106"/>
        <v>1</v>
      </c>
      <c r="N1095">
        <f t="shared" si="107"/>
        <v>0</v>
      </c>
    </row>
    <row r="1096" spans="1:14" x14ac:dyDescent="0.35">
      <c r="A1096" t="s">
        <v>348</v>
      </c>
      <c r="B1096" t="s">
        <v>2369</v>
      </c>
      <c r="C1096" s="7" t="s">
        <v>6</v>
      </c>
      <c r="D1096" t="s">
        <v>55</v>
      </c>
      <c r="E1096" t="s">
        <v>1946</v>
      </c>
      <c r="F1096" t="s">
        <v>1754</v>
      </c>
      <c r="I1096">
        <f t="shared" si="102"/>
        <v>0</v>
      </c>
      <c r="J1096">
        <f t="shared" si="103"/>
        <v>0</v>
      </c>
      <c r="K1096">
        <f t="shared" si="104"/>
        <v>0</v>
      </c>
      <c r="L1096">
        <f t="shared" si="105"/>
        <v>1</v>
      </c>
      <c r="M1096">
        <f t="shared" si="106"/>
        <v>0</v>
      </c>
      <c r="N1096">
        <f t="shared" si="107"/>
        <v>0</v>
      </c>
    </row>
    <row r="1097" spans="1:14" x14ac:dyDescent="0.35">
      <c r="A1097" t="s">
        <v>348</v>
      </c>
      <c r="B1097" t="s">
        <v>2369</v>
      </c>
      <c r="C1097" s="7" t="s">
        <v>6</v>
      </c>
      <c r="D1097" t="s">
        <v>55</v>
      </c>
      <c r="E1097" t="s">
        <v>1930</v>
      </c>
      <c r="F1097" t="s">
        <v>1754</v>
      </c>
      <c r="I1097">
        <f t="shared" si="102"/>
        <v>0</v>
      </c>
      <c r="J1097">
        <f t="shared" si="103"/>
        <v>0</v>
      </c>
      <c r="K1097">
        <f t="shared" si="104"/>
        <v>0</v>
      </c>
      <c r="L1097">
        <f t="shared" si="105"/>
        <v>1</v>
      </c>
      <c r="M1097">
        <f t="shared" si="106"/>
        <v>0</v>
      </c>
      <c r="N1097">
        <f t="shared" si="107"/>
        <v>0</v>
      </c>
    </row>
    <row r="1098" spans="1:14" x14ac:dyDescent="0.35">
      <c r="A1098" t="s">
        <v>642</v>
      </c>
      <c r="B1098" t="s">
        <v>2370</v>
      </c>
      <c r="C1098" s="7" t="s">
        <v>6</v>
      </c>
      <c r="D1098" t="s">
        <v>55</v>
      </c>
      <c r="E1098" t="s">
        <v>1905</v>
      </c>
      <c r="F1098" t="s">
        <v>1760</v>
      </c>
      <c r="I1098">
        <f t="shared" si="102"/>
        <v>0</v>
      </c>
      <c r="J1098">
        <f t="shared" si="103"/>
        <v>0</v>
      </c>
      <c r="K1098">
        <f t="shared" si="104"/>
        <v>1</v>
      </c>
      <c r="L1098">
        <f t="shared" si="105"/>
        <v>0</v>
      </c>
      <c r="M1098">
        <f t="shared" si="106"/>
        <v>0</v>
      </c>
      <c r="N1098">
        <f t="shared" si="107"/>
        <v>0</v>
      </c>
    </row>
    <row r="1099" spans="1:14" x14ac:dyDescent="0.35">
      <c r="A1099" t="s">
        <v>642</v>
      </c>
      <c r="B1099" t="s">
        <v>2370</v>
      </c>
      <c r="C1099" s="7" t="s">
        <v>6</v>
      </c>
      <c r="D1099" t="s">
        <v>55</v>
      </c>
      <c r="E1099" t="s">
        <v>1904</v>
      </c>
      <c r="F1099" t="s">
        <v>1760</v>
      </c>
      <c r="I1099">
        <f t="shared" si="102"/>
        <v>0</v>
      </c>
      <c r="J1099">
        <f t="shared" si="103"/>
        <v>0</v>
      </c>
      <c r="K1099">
        <f t="shared" si="104"/>
        <v>1</v>
      </c>
      <c r="L1099">
        <f t="shared" si="105"/>
        <v>0</v>
      </c>
      <c r="M1099">
        <f t="shared" si="106"/>
        <v>0</v>
      </c>
      <c r="N1099">
        <f t="shared" si="107"/>
        <v>0</v>
      </c>
    </row>
    <row r="1100" spans="1:14" x14ac:dyDescent="0.35">
      <c r="A1100" t="s">
        <v>1277</v>
      </c>
      <c r="B1100" t="s">
        <v>2371</v>
      </c>
      <c r="C1100" s="7" t="s">
        <v>6</v>
      </c>
      <c r="D1100" t="s">
        <v>180</v>
      </c>
      <c r="E1100" t="s">
        <v>1807</v>
      </c>
      <c r="F1100" t="s">
        <v>1754</v>
      </c>
      <c r="I1100">
        <f t="shared" si="102"/>
        <v>0</v>
      </c>
      <c r="J1100">
        <f t="shared" si="103"/>
        <v>0</v>
      </c>
      <c r="K1100">
        <f t="shared" si="104"/>
        <v>0</v>
      </c>
      <c r="L1100">
        <f t="shared" si="105"/>
        <v>1</v>
      </c>
      <c r="M1100">
        <f t="shared" si="106"/>
        <v>0</v>
      </c>
      <c r="N1100">
        <f t="shared" si="107"/>
        <v>0</v>
      </c>
    </row>
    <row r="1101" spans="1:14" x14ac:dyDescent="0.35">
      <c r="A1101" t="s">
        <v>1277</v>
      </c>
      <c r="B1101" t="s">
        <v>2371</v>
      </c>
      <c r="C1101" s="7" t="s">
        <v>6</v>
      </c>
      <c r="D1101" t="s">
        <v>180</v>
      </c>
      <c r="E1101" t="s">
        <v>1896</v>
      </c>
      <c r="F1101" t="s">
        <v>1754</v>
      </c>
      <c r="I1101">
        <f t="shared" si="102"/>
        <v>0</v>
      </c>
      <c r="J1101">
        <f t="shared" si="103"/>
        <v>0</v>
      </c>
      <c r="K1101">
        <f t="shared" si="104"/>
        <v>0</v>
      </c>
      <c r="L1101">
        <f t="shared" si="105"/>
        <v>1</v>
      </c>
      <c r="M1101">
        <f t="shared" si="106"/>
        <v>0</v>
      </c>
      <c r="N1101">
        <f t="shared" si="107"/>
        <v>0</v>
      </c>
    </row>
    <row r="1102" spans="1:14" x14ac:dyDescent="0.35">
      <c r="A1102" t="s">
        <v>1277</v>
      </c>
      <c r="B1102" t="s">
        <v>2371</v>
      </c>
      <c r="C1102" s="7" t="s">
        <v>6</v>
      </c>
      <c r="D1102" t="s">
        <v>180</v>
      </c>
      <c r="E1102" t="s">
        <v>1806</v>
      </c>
      <c r="F1102" t="s">
        <v>1754</v>
      </c>
      <c r="I1102">
        <f t="shared" si="102"/>
        <v>0</v>
      </c>
      <c r="J1102">
        <f t="shared" si="103"/>
        <v>0</v>
      </c>
      <c r="K1102">
        <f t="shared" si="104"/>
        <v>0</v>
      </c>
      <c r="L1102">
        <f t="shared" si="105"/>
        <v>1</v>
      </c>
      <c r="M1102">
        <f t="shared" si="106"/>
        <v>0</v>
      </c>
      <c r="N1102">
        <f t="shared" si="107"/>
        <v>0</v>
      </c>
    </row>
    <row r="1103" spans="1:14" x14ac:dyDescent="0.35">
      <c r="A1103" t="s">
        <v>1277</v>
      </c>
      <c r="B1103" t="s">
        <v>2371</v>
      </c>
      <c r="C1103" s="7" t="s">
        <v>6</v>
      </c>
      <c r="D1103" t="s">
        <v>180</v>
      </c>
      <c r="E1103" t="s">
        <v>1894</v>
      </c>
      <c r="F1103" t="s">
        <v>1754</v>
      </c>
      <c r="I1103">
        <f t="shared" si="102"/>
        <v>0</v>
      </c>
      <c r="J1103">
        <f t="shared" si="103"/>
        <v>0</v>
      </c>
      <c r="K1103">
        <f t="shared" si="104"/>
        <v>0</v>
      </c>
      <c r="L1103">
        <f t="shared" si="105"/>
        <v>1</v>
      </c>
      <c r="M1103">
        <f t="shared" si="106"/>
        <v>0</v>
      </c>
      <c r="N1103">
        <f t="shared" si="107"/>
        <v>0</v>
      </c>
    </row>
    <row r="1104" spans="1:14" x14ac:dyDescent="0.35">
      <c r="A1104" t="s">
        <v>1277</v>
      </c>
      <c r="B1104" t="s">
        <v>2371</v>
      </c>
      <c r="C1104" s="7" t="s">
        <v>6</v>
      </c>
      <c r="D1104" t="s">
        <v>180</v>
      </c>
      <c r="E1104" t="s">
        <v>2064</v>
      </c>
      <c r="F1104" t="s">
        <v>1727</v>
      </c>
      <c r="I1104">
        <f t="shared" si="102"/>
        <v>0</v>
      </c>
      <c r="J1104">
        <f t="shared" si="103"/>
        <v>0</v>
      </c>
      <c r="K1104">
        <f t="shared" si="104"/>
        <v>0</v>
      </c>
      <c r="L1104">
        <f t="shared" si="105"/>
        <v>0</v>
      </c>
      <c r="M1104">
        <f t="shared" si="106"/>
        <v>1</v>
      </c>
      <c r="N1104">
        <f t="shared" si="107"/>
        <v>0</v>
      </c>
    </row>
    <row r="1105" spans="1:14" x14ac:dyDescent="0.35">
      <c r="A1105" t="s">
        <v>1654</v>
      </c>
      <c r="B1105" t="s">
        <v>2372</v>
      </c>
      <c r="C1105" s="7" t="s">
        <v>6</v>
      </c>
      <c r="D1105" t="s">
        <v>51</v>
      </c>
      <c r="E1105" t="s">
        <v>1840</v>
      </c>
      <c r="F1105" t="s">
        <v>1760</v>
      </c>
      <c r="I1105">
        <f t="shared" si="102"/>
        <v>0</v>
      </c>
      <c r="J1105">
        <f t="shared" si="103"/>
        <v>0</v>
      </c>
      <c r="K1105">
        <f t="shared" si="104"/>
        <v>1</v>
      </c>
      <c r="L1105">
        <f t="shared" si="105"/>
        <v>0</v>
      </c>
      <c r="M1105">
        <f t="shared" si="106"/>
        <v>0</v>
      </c>
      <c r="N1105">
        <f t="shared" si="107"/>
        <v>0</v>
      </c>
    </row>
    <row r="1106" spans="1:14" x14ac:dyDescent="0.35">
      <c r="A1106" t="s">
        <v>515</v>
      </c>
      <c r="B1106" t="s">
        <v>2373</v>
      </c>
      <c r="C1106" s="7" t="s">
        <v>6</v>
      </c>
      <c r="D1106" t="s">
        <v>55</v>
      </c>
      <c r="E1106" t="s">
        <v>1804</v>
      </c>
      <c r="F1106" t="s">
        <v>1805</v>
      </c>
      <c r="I1106">
        <f t="shared" si="102"/>
        <v>0</v>
      </c>
      <c r="J1106">
        <f t="shared" si="103"/>
        <v>1</v>
      </c>
      <c r="K1106">
        <f t="shared" si="104"/>
        <v>0</v>
      </c>
      <c r="L1106">
        <f t="shared" si="105"/>
        <v>0</v>
      </c>
      <c r="M1106">
        <f t="shared" si="106"/>
        <v>0</v>
      </c>
      <c r="N1106">
        <f t="shared" si="107"/>
        <v>0</v>
      </c>
    </row>
    <row r="1107" spans="1:14" x14ac:dyDescent="0.35">
      <c r="A1107" t="s">
        <v>1258</v>
      </c>
      <c r="B1107" t="s">
        <v>2374</v>
      </c>
      <c r="C1107" s="7" t="s">
        <v>6</v>
      </c>
      <c r="D1107" t="s">
        <v>92</v>
      </c>
      <c r="E1107" t="s">
        <v>1849</v>
      </c>
      <c r="F1107" t="s">
        <v>1754</v>
      </c>
      <c r="I1107">
        <f t="shared" si="102"/>
        <v>0</v>
      </c>
      <c r="J1107">
        <f t="shared" si="103"/>
        <v>0</v>
      </c>
      <c r="K1107">
        <f t="shared" si="104"/>
        <v>0</v>
      </c>
      <c r="L1107">
        <f t="shared" si="105"/>
        <v>1</v>
      </c>
      <c r="M1107">
        <f t="shared" si="106"/>
        <v>0</v>
      </c>
      <c r="N1107">
        <f t="shared" si="107"/>
        <v>0</v>
      </c>
    </row>
    <row r="1108" spans="1:14" x14ac:dyDescent="0.35">
      <c r="A1108" t="s">
        <v>541</v>
      </c>
      <c r="B1108" t="s">
        <v>2375</v>
      </c>
      <c r="C1108" s="7" t="s">
        <v>6</v>
      </c>
      <c r="D1108" t="s">
        <v>544</v>
      </c>
      <c r="E1108" t="s">
        <v>2366</v>
      </c>
      <c r="F1108" t="s">
        <v>1727</v>
      </c>
      <c r="I1108">
        <f t="shared" si="102"/>
        <v>0</v>
      </c>
      <c r="J1108">
        <f t="shared" si="103"/>
        <v>0</v>
      </c>
      <c r="K1108">
        <f t="shared" si="104"/>
        <v>0</v>
      </c>
      <c r="L1108">
        <f t="shared" si="105"/>
        <v>0</v>
      </c>
      <c r="M1108">
        <f t="shared" si="106"/>
        <v>1</v>
      </c>
      <c r="N1108">
        <f t="shared" si="107"/>
        <v>0</v>
      </c>
    </row>
    <row r="1109" spans="1:14" x14ac:dyDescent="0.35">
      <c r="A1109" t="s">
        <v>541</v>
      </c>
      <c r="B1109" t="s">
        <v>2375</v>
      </c>
      <c r="C1109" s="7" t="s">
        <v>6</v>
      </c>
      <c r="D1109" t="s">
        <v>544</v>
      </c>
      <c r="E1109" t="s">
        <v>2376</v>
      </c>
      <c r="F1109" t="s">
        <v>1727</v>
      </c>
      <c r="I1109">
        <f t="shared" si="102"/>
        <v>0</v>
      </c>
      <c r="J1109">
        <f t="shared" si="103"/>
        <v>0</v>
      </c>
      <c r="K1109">
        <f t="shared" si="104"/>
        <v>0</v>
      </c>
      <c r="L1109">
        <f t="shared" si="105"/>
        <v>0</v>
      </c>
      <c r="M1109">
        <f t="shared" si="106"/>
        <v>1</v>
      </c>
      <c r="N1109">
        <f t="shared" si="107"/>
        <v>0</v>
      </c>
    </row>
    <row r="1110" spans="1:14" x14ac:dyDescent="0.35">
      <c r="A1110" t="s">
        <v>999</v>
      </c>
      <c r="B1110" t="s">
        <v>2377</v>
      </c>
      <c r="C1110" s="7" t="s">
        <v>6</v>
      </c>
      <c r="D1110" t="s">
        <v>1001</v>
      </c>
      <c r="E1110" t="s">
        <v>1840</v>
      </c>
      <c r="F1110" t="s">
        <v>1760</v>
      </c>
      <c r="I1110">
        <f t="shared" si="102"/>
        <v>0</v>
      </c>
      <c r="J1110">
        <f t="shared" si="103"/>
        <v>0</v>
      </c>
      <c r="K1110">
        <f t="shared" si="104"/>
        <v>1</v>
      </c>
      <c r="L1110">
        <f t="shared" si="105"/>
        <v>0</v>
      </c>
      <c r="M1110">
        <f t="shared" si="106"/>
        <v>0</v>
      </c>
      <c r="N1110">
        <f t="shared" si="107"/>
        <v>0</v>
      </c>
    </row>
    <row r="1111" spans="1:14" x14ac:dyDescent="0.35">
      <c r="A1111" t="s">
        <v>999</v>
      </c>
      <c r="B1111" t="s">
        <v>2377</v>
      </c>
      <c r="C1111" s="7" t="s">
        <v>6</v>
      </c>
      <c r="D1111" t="s">
        <v>1001</v>
      </c>
      <c r="E1111" t="s">
        <v>1814</v>
      </c>
      <c r="F1111" t="s">
        <v>1760</v>
      </c>
      <c r="I1111">
        <f t="shared" si="102"/>
        <v>0</v>
      </c>
      <c r="J1111">
        <f t="shared" si="103"/>
        <v>0</v>
      </c>
      <c r="K1111">
        <f t="shared" si="104"/>
        <v>1</v>
      </c>
      <c r="L1111">
        <f t="shared" si="105"/>
        <v>0</v>
      </c>
      <c r="M1111">
        <f t="shared" si="106"/>
        <v>0</v>
      </c>
      <c r="N1111">
        <f t="shared" si="107"/>
        <v>0</v>
      </c>
    </row>
    <row r="1112" spans="1:14" x14ac:dyDescent="0.35">
      <c r="A1112" t="s">
        <v>999</v>
      </c>
      <c r="B1112" t="s">
        <v>2377</v>
      </c>
      <c r="C1112" s="7" t="s">
        <v>6</v>
      </c>
      <c r="D1112" t="s">
        <v>1001</v>
      </c>
      <c r="E1112" t="s">
        <v>1813</v>
      </c>
      <c r="F1112" t="s">
        <v>1760</v>
      </c>
      <c r="I1112">
        <f t="shared" si="102"/>
        <v>0</v>
      </c>
      <c r="J1112">
        <f t="shared" si="103"/>
        <v>0</v>
      </c>
      <c r="K1112">
        <f t="shared" si="104"/>
        <v>1</v>
      </c>
      <c r="L1112">
        <f t="shared" si="105"/>
        <v>0</v>
      </c>
      <c r="M1112">
        <f t="shared" si="106"/>
        <v>0</v>
      </c>
      <c r="N1112">
        <f t="shared" si="107"/>
        <v>0</v>
      </c>
    </row>
    <row r="1113" spans="1:14" x14ac:dyDescent="0.35">
      <c r="A1113" t="s">
        <v>999</v>
      </c>
      <c r="B1113" t="s">
        <v>2377</v>
      </c>
      <c r="C1113" s="7" t="s">
        <v>6</v>
      </c>
      <c r="D1113" t="s">
        <v>1001</v>
      </c>
      <c r="E1113" t="s">
        <v>1905</v>
      </c>
      <c r="F1113" t="s">
        <v>1760</v>
      </c>
      <c r="I1113">
        <f t="shared" si="102"/>
        <v>0</v>
      </c>
      <c r="J1113">
        <f t="shared" si="103"/>
        <v>0</v>
      </c>
      <c r="K1113">
        <f t="shared" si="104"/>
        <v>1</v>
      </c>
      <c r="L1113">
        <f t="shared" si="105"/>
        <v>0</v>
      </c>
      <c r="M1113">
        <f t="shared" si="106"/>
        <v>0</v>
      </c>
      <c r="N1113">
        <f t="shared" si="107"/>
        <v>0</v>
      </c>
    </row>
    <row r="1114" spans="1:14" x14ac:dyDescent="0.35">
      <c r="A1114" t="s">
        <v>999</v>
      </c>
      <c r="B1114" t="s">
        <v>2377</v>
      </c>
      <c r="C1114" s="7" t="s">
        <v>6</v>
      </c>
      <c r="D1114" t="s">
        <v>1001</v>
      </c>
      <c r="E1114" t="s">
        <v>1904</v>
      </c>
      <c r="F1114" t="s">
        <v>1760</v>
      </c>
      <c r="I1114">
        <f t="shared" si="102"/>
        <v>0</v>
      </c>
      <c r="J1114">
        <f t="shared" si="103"/>
        <v>0</v>
      </c>
      <c r="K1114">
        <f t="shared" si="104"/>
        <v>1</v>
      </c>
      <c r="L1114">
        <f t="shared" si="105"/>
        <v>0</v>
      </c>
      <c r="M1114">
        <f t="shared" si="106"/>
        <v>0</v>
      </c>
      <c r="N1114">
        <f t="shared" si="107"/>
        <v>0</v>
      </c>
    </row>
    <row r="1115" spans="1:14" x14ac:dyDescent="0.35">
      <c r="A1115" t="s">
        <v>676</v>
      </c>
      <c r="B1115" t="s">
        <v>2378</v>
      </c>
      <c r="C1115" s="7" t="s">
        <v>6</v>
      </c>
      <c r="D1115" t="s">
        <v>51</v>
      </c>
      <c r="E1115" t="s">
        <v>1849</v>
      </c>
      <c r="F1115" t="s">
        <v>1754</v>
      </c>
      <c r="I1115">
        <f t="shared" si="102"/>
        <v>0</v>
      </c>
      <c r="J1115">
        <f t="shared" si="103"/>
        <v>0</v>
      </c>
      <c r="K1115">
        <f t="shared" si="104"/>
        <v>0</v>
      </c>
      <c r="L1115">
        <f t="shared" si="105"/>
        <v>1</v>
      </c>
      <c r="M1115">
        <f t="shared" si="106"/>
        <v>0</v>
      </c>
      <c r="N1115">
        <f t="shared" si="107"/>
        <v>0</v>
      </c>
    </row>
    <row r="1116" spans="1:14" x14ac:dyDescent="0.35">
      <c r="A1116" t="s">
        <v>1273</v>
      </c>
      <c r="B1116" t="s">
        <v>2379</v>
      </c>
      <c r="C1116" s="7" t="s">
        <v>6</v>
      </c>
      <c r="D1116" t="s">
        <v>838</v>
      </c>
      <c r="E1116" t="s">
        <v>2106</v>
      </c>
      <c r="F1116" t="s">
        <v>1805</v>
      </c>
      <c r="I1116">
        <f t="shared" si="102"/>
        <v>0</v>
      </c>
      <c r="J1116">
        <f t="shared" si="103"/>
        <v>1</v>
      </c>
      <c r="K1116">
        <f t="shared" si="104"/>
        <v>0</v>
      </c>
      <c r="L1116">
        <f t="shared" si="105"/>
        <v>0</v>
      </c>
      <c r="M1116">
        <f t="shared" si="106"/>
        <v>0</v>
      </c>
      <c r="N1116">
        <f t="shared" si="107"/>
        <v>0</v>
      </c>
    </row>
    <row r="1117" spans="1:14" x14ac:dyDescent="0.35">
      <c r="A1117" t="s">
        <v>1273</v>
      </c>
      <c r="B1117" t="s">
        <v>2379</v>
      </c>
      <c r="C1117" s="7" t="s">
        <v>6</v>
      </c>
      <c r="D1117" t="s">
        <v>838</v>
      </c>
      <c r="E1117" t="s">
        <v>1810</v>
      </c>
      <c r="F1117" t="s">
        <v>1754</v>
      </c>
      <c r="I1117">
        <f t="shared" si="102"/>
        <v>0</v>
      </c>
      <c r="J1117">
        <f t="shared" si="103"/>
        <v>0</v>
      </c>
      <c r="K1117">
        <f t="shared" si="104"/>
        <v>0</v>
      </c>
      <c r="L1117">
        <f t="shared" si="105"/>
        <v>1</v>
      </c>
      <c r="M1117">
        <f t="shared" si="106"/>
        <v>0</v>
      </c>
      <c r="N1117">
        <f t="shared" si="107"/>
        <v>0</v>
      </c>
    </row>
    <row r="1118" spans="1:14" x14ac:dyDescent="0.35">
      <c r="A1118" t="s">
        <v>1183</v>
      </c>
      <c r="B1118" t="s">
        <v>2380</v>
      </c>
      <c r="C1118" s="7" t="s">
        <v>6</v>
      </c>
      <c r="D1118" t="s">
        <v>314</v>
      </c>
      <c r="E1118" t="s">
        <v>1815</v>
      </c>
      <c r="F1118" t="s">
        <v>1754</v>
      </c>
      <c r="I1118">
        <f t="shared" si="102"/>
        <v>0</v>
      </c>
      <c r="J1118">
        <f t="shared" si="103"/>
        <v>0</v>
      </c>
      <c r="K1118">
        <f t="shared" si="104"/>
        <v>0</v>
      </c>
      <c r="L1118">
        <f t="shared" si="105"/>
        <v>1</v>
      </c>
      <c r="M1118">
        <f t="shared" si="106"/>
        <v>0</v>
      </c>
      <c r="N1118">
        <f t="shared" si="107"/>
        <v>0</v>
      </c>
    </row>
    <row r="1119" spans="1:14" x14ac:dyDescent="0.35">
      <c r="A1119" t="s">
        <v>1183</v>
      </c>
      <c r="B1119" t="s">
        <v>2380</v>
      </c>
      <c r="C1119" s="7" t="s">
        <v>6</v>
      </c>
      <c r="D1119" t="s">
        <v>314</v>
      </c>
      <c r="E1119" t="s">
        <v>1845</v>
      </c>
      <c r="F1119" t="s">
        <v>1754</v>
      </c>
      <c r="I1119">
        <f t="shared" si="102"/>
        <v>0</v>
      </c>
      <c r="J1119">
        <f t="shared" si="103"/>
        <v>0</v>
      </c>
      <c r="K1119">
        <f t="shared" si="104"/>
        <v>0</v>
      </c>
      <c r="L1119">
        <f t="shared" si="105"/>
        <v>1</v>
      </c>
      <c r="M1119">
        <f t="shared" si="106"/>
        <v>0</v>
      </c>
      <c r="N1119">
        <f t="shared" si="107"/>
        <v>0</v>
      </c>
    </row>
    <row r="1120" spans="1:14" x14ac:dyDescent="0.35">
      <c r="A1120" t="s">
        <v>1183</v>
      </c>
      <c r="B1120" t="s">
        <v>2380</v>
      </c>
      <c r="C1120" s="7" t="s">
        <v>6</v>
      </c>
      <c r="D1120" t="s">
        <v>314</v>
      </c>
      <c r="E1120" t="s">
        <v>1817</v>
      </c>
      <c r="F1120" t="s">
        <v>1754</v>
      </c>
      <c r="I1120">
        <f t="shared" si="102"/>
        <v>0</v>
      </c>
      <c r="J1120">
        <f t="shared" si="103"/>
        <v>0</v>
      </c>
      <c r="K1120">
        <f t="shared" si="104"/>
        <v>0</v>
      </c>
      <c r="L1120">
        <f t="shared" si="105"/>
        <v>1</v>
      </c>
      <c r="M1120">
        <f t="shared" si="106"/>
        <v>0</v>
      </c>
      <c r="N1120">
        <f t="shared" si="107"/>
        <v>0</v>
      </c>
    </row>
    <row r="1121" spans="1:14" x14ac:dyDescent="0.35">
      <c r="A1121" t="s">
        <v>1183</v>
      </c>
      <c r="B1121" t="s">
        <v>2380</v>
      </c>
      <c r="C1121" s="7" t="s">
        <v>6</v>
      </c>
      <c r="D1121" t="s">
        <v>314</v>
      </c>
      <c r="E1121" t="s">
        <v>1847</v>
      </c>
      <c r="F1121" t="s">
        <v>1754</v>
      </c>
      <c r="I1121">
        <f t="shared" si="102"/>
        <v>0</v>
      </c>
      <c r="J1121">
        <f t="shared" si="103"/>
        <v>0</v>
      </c>
      <c r="K1121">
        <f t="shared" si="104"/>
        <v>0</v>
      </c>
      <c r="L1121">
        <f t="shared" si="105"/>
        <v>1</v>
      </c>
      <c r="M1121">
        <f t="shared" si="106"/>
        <v>0</v>
      </c>
      <c r="N1121">
        <f t="shared" si="107"/>
        <v>0</v>
      </c>
    </row>
    <row r="1122" spans="1:14" x14ac:dyDescent="0.35">
      <c r="A1122" t="s">
        <v>1643</v>
      </c>
      <c r="B1122" t="s">
        <v>2381</v>
      </c>
      <c r="C1122" s="7" t="s">
        <v>6</v>
      </c>
      <c r="D1122" t="s">
        <v>1644</v>
      </c>
      <c r="E1122" t="s">
        <v>1996</v>
      </c>
      <c r="F1122" t="s">
        <v>1886</v>
      </c>
      <c r="I1122">
        <f t="shared" si="102"/>
        <v>0</v>
      </c>
      <c r="J1122">
        <f t="shared" si="103"/>
        <v>0</v>
      </c>
      <c r="K1122">
        <f t="shared" si="104"/>
        <v>0</v>
      </c>
      <c r="L1122">
        <f t="shared" si="105"/>
        <v>0</v>
      </c>
      <c r="M1122">
        <f t="shared" si="106"/>
        <v>0</v>
      </c>
      <c r="N1122">
        <f t="shared" si="107"/>
        <v>0</v>
      </c>
    </row>
    <row r="1123" spans="1:14" x14ac:dyDescent="0.35">
      <c r="A1123" t="s">
        <v>1594</v>
      </c>
      <c r="B1123" t="s">
        <v>2382</v>
      </c>
      <c r="C1123" s="7" t="s">
        <v>6</v>
      </c>
      <c r="D1123" t="s">
        <v>55</v>
      </c>
      <c r="E1123" t="s">
        <v>1956</v>
      </c>
      <c r="F1123" t="s">
        <v>1760</v>
      </c>
      <c r="I1123">
        <f t="shared" si="102"/>
        <v>0</v>
      </c>
      <c r="J1123">
        <f t="shared" si="103"/>
        <v>0</v>
      </c>
      <c r="K1123">
        <f t="shared" si="104"/>
        <v>1</v>
      </c>
      <c r="L1123">
        <f t="shared" si="105"/>
        <v>0</v>
      </c>
      <c r="M1123">
        <f t="shared" si="106"/>
        <v>0</v>
      </c>
      <c r="N1123">
        <f t="shared" si="107"/>
        <v>0</v>
      </c>
    </row>
    <row r="1124" spans="1:14" x14ac:dyDescent="0.35">
      <c r="A1124" t="s">
        <v>673</v>
      </c>
      <c r="B1124" t="s">
        <v>2383</v>
      </c>
      <c r="C1124" s="7" t="s">
        <v>6</v>
      </c>
      <c r="D1124" t="s">
        <v>51</v>
      </c>
      <c r="E1124" t="s">
        <v>1821</v>
      </c>
      <c r="F1124" t="s">
        <v>1760</v>
      </c>
      <c r="I1124">
        <f t="shared" si="102"/>
        <v>0</v>
      </c>
      <c r="J1124">
        <f t="shared" si="103"/>
        <v>0</v>
      </c>
      <c r="K1124">
        <f t="shared" si="104"/>
        <v>1</v>
      </c>
      <c r="L1124">
        <f t="shared" si="105"/>
        <v>0</v>
      </c>
      <c r="M1124">
        <f t="shared" si="106"/>
        <v>0</v>
      </c>
      <c r="N1124">
        <f t="shared" si="107"/>
        <v>0</v>
      </c>
    </row>
    <row r="1125" spans="1:14" x14ac:dyDescent="0.35">
      <c r="A1125" t="s">
        <v>1339</v>
      </c>
      <c r="B1125" t="s">
        <v>2384</v>
      </c>
      <c r="C1125" s="7" t="s">
        <v>6</v>
      </c>
      <c r="D1125" t="s">
        <v>324</v>
      </c>
      <c r="E1125" t="s">
        <v>1825</v>
      </c>
      <c r="F1125" t="s">
        <v>1754</v>
      </c>
      <c r="I1125">
        <f t="shared" si="102"/>
        <v>0</v>
      </c>
      <c r="J1125">
        <f t="shared" si="103"/>
        <v>0</v>
      </c>
      <c r="K1125">
        <f t="shared" si="104"/>
        <v>0</v>
      </c>
      <c r="L1125">
        <f t="shared" si="105"/>
        <v>1</v>
      </c>
      <c r="M1125">
        <f t="shared" si="106"/>
        <v>0</v>
      </c>
      <c r="N1125">
        <f t="shared" si="107"/>
        <v>0</v>
      </c>
    </row>
    <row r="1126" spans="1:14" x14ac:dyDescent="0.35">
      <c r="A1126" t="s">
        <v>1339</v>
      </c>
      <c r="B1126" t="s">
        <v>2384</v>
      </c>
      <c r="C1126" s="7" t="s">
        <v>6</v>
      </c>
      <c r="D1126" t="s">
        <v>324</v>
      </c>
      <c r="E1126" t="s">
        <v>1826</v>
      </c>
      <c r="F1126" t="s">
        <v>1754</v>
      </c>
      <c r="I1126">
        <f t="shared" si="102"/>
        <v>0</v>
      </c>
      <c r="J1126">
        <f t="shared" si="103"/>
        <v>0</v>
      </c>
      <c r="K1126">
        <f t="shared" si="104"/>
        <v>0</v>
      </c>
      <c r="L1126">
        <f t="shared" si="105"/>
        <v>1</v>
      </c>
      <c r="M1126">
        <f t="shared" si="106"/>
        <v>0</v>
      </c>
      <c r="N1126">
        <f t="shared" si="107"/>
        <v>0</v>
      </c>
    </row>
    <row r="1127" spans="1:14" x14ac:dyDescent="0.35">
      <c r="A1127" t="s">
        <v>1486</v>
      </c>
      <c r="B1127" t="s">
        <v>2385</v>
      </c>
      <c r="C1127" s="7" t="s">
        <v>6</v>
      </c>
      <c r="D1127" t="s">
        <v>1488</v>
      </c>
      <c r="E1127" t="s">
        <v>1885</v>
      </c>
      <c r="F1127" t="s">
        <v>1886</v>
      </c>
      <c r="I1127">
        <f t="shared" si="102"/>
        <v>0</v>
      </c>
      <c r="J1127">
        <f t="shared" si="103"/>
        <v>0</v>
      </c>
      <c r="K1127">
        <f t="shared" si="104"/>
        <v>0</v>
      </c>
      <c r="L1127">
        <f t="shared" si="105"/>
        <v>0</v>
      </c>
      <c r="M1127">
        <f t="shared" si="106"/>
        <v>0</v>
      </c>
      <c r="N1127">
        <f t="shared" si="107"/>
        <v>0</v>
      </c>
    </row>
    <row r="1128" spans="1:14" x14ac:dyDescent="0.35">
      <c r="A1128" t="s">
        <v>958</v>
      </c>
      <c r="B1128" t="s">
        <v>2386</v>
      </c>
      <c r="C1128" s="7" t="s">
        <v>6</v>
      </c>
      <c r="D1128" t="s">
        <v>55</v>
      </c>
      <c r="E1128" t="s">
        <v>1956</v>
      </c>
      <c r="F1128" t="s">
        <v>1760</v>
      </c>
      <c r="I1128">
        <f t="shared" si="102"/>
        <v>0</v>
      </c>
      <c r="J1128">
        <f t="shared" si="103"/>
        <v>0</v>
      </c>
      <c r="K1128">
        <f t="shared" si="104"/>
        <v>1</v>
      </c>
      <c r="L1128">
        <f t="shared" si="105"/>
        <v>0</v>
      </c>
      <c r="M1128">
        <f t="shared" si="106"/>
        <v>0</v>
      </c>
      <c r="N1128">
        <f t="shared" si="107"/>
        <v>0</v>
      </c>
    </row>
    <row r="1129" spans="1:14" x14ac:dyDescent="0.35">
      <c r="A1129" t="s">
        <v>958</v>
      </c>
      <c r="B1129" t="s">
        <v>2386</v>
      </c>
      <c r="C1129" s="7" t="s">
        <v>6</v>
      </c>
      <c r="D1129" t="s">
        <v>55</v>
      </c>
      <c r="E1129" t="s">
        <v>1856</v>
      </c>
      <c r="F1129" t="s">
        <v>1760</v>
      </c>
      <c r="I1129">
        <f t="shared" si="102"/>
        <v>0</v>
      </c>
      <c r="J1129">
        <f t="shared" si="103"/>
        <v>0</v>
      </c>
      <c r="K1129">
        <f t="shared" si="104"/>
        <v>1</v>
      </c>
      <c r="L1129">
        <f t="shared" si="105"/>
        <v>0</v>
      </c>
      <c r="M1129">
        <f t="shared" si="106"/>
        <v>0</v>
      </c>
      <c r="N1129">
        <f t="shared" si="107"/>
        <v>0</v>
      </c>
    </row>
    <row r="1130" spans="1:14" x14ac:dyDescent="0.35">
      <c r="A1130" t="s">
        <v>505</v>
      </c>
      <c r="B1130" t="s">
        <v>2387</v>
      </c>
      <c r="C1130" s="7" t="s">
        <v>6</v>
      </c>
      <c r="D1130" t="s">
        <v>507</v>
      </c>
      <c r="E1130" t="s">
        <v>2000</v>
      </c>
      <c r="F1130" t="s">
        <v>1886</v>
      </c>
      <c r="I1130">
        <f t="shared" si="102"/>
        <v>0</v>
      </c>
      <c r="J1130">
        <f t="shared" si="103"/>
        <v>0</v>
      </c>
      <c r="K1130">
        <f t="shared" si="104"/>
        <v>0</v>
      </c>
      <c r="L1130">
        <f t="shared" si="105"/>
        <v>0</v>
      </c>
      <c r="M1130">
        <f t="shared" si="106"/>
        <v>0</v>
      </c>
      <c r="N1130">
        <f t="shared" si="107"/>
        <v>0</v>
      </c>
    </row>
    <row r="1131" spans="1:14" x14ac:dyDescent="0.35">
      <c r="A1131" t="s">
        <v>505</v>
      </c>
      <c r="B1131" t="s">
        <v>2387</v>
      </c>
      <c r="C1131" s="7" t="s">
        <v>6</v>
      </c>
      <c r="D1131" t="s">
        <v>507</v>
      </c>
      <c r="E1131" t="s">
        <v>1998</v>
      </c>
      <c r="F1131" t="s">
        <v>1886</v>
      </c>
      <c r="I1131">
        <f t="shared" si="102"/>
        <v>0</v>
      </c>
      <c r="J1131">
        <f t="shared" si="103"/>
        <v>0</v>
      </c>
      <c r="K1131">
        <f t="shared" si="104"/>
        <v>0</v>
      </c>
      <c r="L1131">
        <f t="shared" si="105"/>
        <v>0</v>
      </c>
      <c r="M1131">
        <f t="shared" si="106"/>
        <v>0</v>
      </c>
      <c r="N1131">
        <f t="shared" si="107"/>
        <v>0</v>
      </c>
    </row>
    <row r="1132" spans="1:14" x14ac:dyDescent="0.35">
      <c r="A1132" t="s">
        <v>505</v>
      </c>
      <c r="B1132" t="s">
        <v>2387</v>
      </c>
      <c r="C1132" s="7" t="s">
        <v>6</v>
      </c>
      <c r="D1132" t="s">
        <v>507</v>
      </c>
      <c r="E1132" t="s">
        <v>1997</v>
      </c>
      <c r="F1132" t="s">
        <v>1886</v>
      </c>
      <c r="I1132">
        <f t="shared" si="102"/>
        <v>0</v>
      </c>
      <c r="J1132">
        <f t="shared" si="103"/>
        <v>0</v>
      </c>
      <c r="K1132">
        <f t="shared" si="104"/>
        <v>0</v>
      </c>
      <c r="L1132">
        <f t="shared" si="105"/>
        <v>0</v>
      </c>
      <c r="M1132">
        <f t="shared" si="106"/>
        <v>0</v>
      </c>
      <c r="N1132">
        <f t="shared" si="107"/>
        <v>0</v>
      </c>
    </row>
    <row r="1133" spans="1:14" x14ac:dyDescent="0.35">
      <c r="A1133" t="s">
        <v>505</v>
      </c>
      <c r="B1133" t="s">
        <v>2387</v>
      </c>
      <c r="C1133" s="7" t="s">
        <v>6</v>
      </c>
      <c r="D1133" t="s">
        <v>507</v>
      </c>
      <c r="E1133" t="s">
        <v>1999</v>
      </c>
      <c r="F1133" t="s">
        <v>1886</v>
      </c>
      <c r="I1133">
        <f t="shared" si="102"/>
        <v>0</v>
      </c>
      <c r="J1133">
        <f t="shared" si="103"/>
        <v>0</v>
      </c>
      <c r="K1133">
        <f t="shared" si="104"/>
        <v>0</v>
      </c>
      <c r="L1133">
        <f t="shared" si="105"/>
        <v>0</v>
      </c>
      <c r="M1133">
        <f t="shared" si="106"/>
        <v>0</v>
      </c>
      <c r="N1133">
        <f t="shared" si="107"/>
        <v>0</v>
      </c>
    </row>
    <row r="1134" spans="1:14" x14ac:dyDescent="0.35">
      <c r="A1134" t="s">
        <v>505</v>
      </c>
      <c r="B1134" t="s">
        <v>2387</v>
      </c>
      <c r="C1134" s="7" t="s">
        <v>6</v>
      </c>
      <c r="D1134" t="s">
        <v>507</v>
      </c>
      <c r="E1134" t="s">
        <v>1996</v>
      </c>
      <c r="F1134" t="s">
        <v>1886</v>
      </c>
      <c r="I1134">
        <f t="shared" si="102"/>
        <v>0</v>
      </c>
      <c r="J1134">
        <f t="shared" si="103"/>
        <v>0</v>
      </c>
      <c r="K1134">
        <f t="shared" si="104"/>
        <v>0</v>
      </c>
      <c r="L1134">
        <f t="shared" si="105"/>
        <v>0</v>
      </c>
      <c r="M1134">
        <f t="shared" si="106"/>
        <v>0</v>
      </c>
      <c r="N1134">
        <f t="shared" si="107"/>
        <v>0</v>
      </c>
    </row>
    <row r="1135" spans="1:14" x14ac:dyDescent="0.35">
      <c r="A1135" t="s">
        <v>1545</v>
      </c>
      <c r="B1135" t="s">
        <v>2388</v>
      </c>
      <c r="C1135" s="7" t="s">
        <v>6</v>
      </c>
      <c r="D1135" t="s">
        <v>55</v>
      </c>
      <c r="E1135" t="s">
        <v>1996</v>
      </c>
      <c r="F1135" t="s">
        <v>1886</v>
      </c>
      <c r="I1135">
        <f t="shared" si="102"/>
        <v>0</v>
      </c>
      <c r="J1135">
        <f t="shared" si="103"/>
        <v>0</v>
      </c>
      <c r="K1135">
        <f t="shared" si="104"/>
        <v>0</v>
      </c>
      <c r="L1135">
        <f t="shared" si="105"/>
        <v>0</v>
      </c>
      <c r="M1135">
        <f t="shared" si="106"/>
        <v>0</v>
      </c>
      <c r="N1135">
        <f t="shared" si="107"/>
        <v>0</v>
      </c>
    </row>
    <row r="1136" spans="1:14" x14ac:dyDescent="0.35">
      <c r="A1136" t="s">
        <v>1341</v>
      </c>
      <c r="B1136" t="s">
        <v>2389</v>
      </c>
      <c r="C1136" s="7" t="s">
        <v>6</v>
      </c>
      <c r="D1136" t="s">
        <v>55</v>
      </c>
      <c r="E1136" t="s">
        <v>1997</v>
      </c>
      <c r="F1136" t="s">
        <v>1886</v>
      </c>
      <c r="I1136">
        <f t="shared" si="102"/>
        <v>0</v>
      </c>
      <c r="J1136">
        <f t="shared" si="103"/>
        <v>0</v>
      </c>
      <c r="K1136">
        <f t="shared" si="104"/>
        <v>0</v>
      </c>
      <c r="L1136">
        <f t="shared" si="105"/>
        <v>0</v>
      </c>
      <c r="M1136">
        <f t="shared" si="106"/>
        <v>0</v>
      </c>
      <c r="N1136">
        <f t="shared" si="107"/>
        <v>0</v>
      </c>
    </row>
    <row r="1137" spans="1:14" x14ac:dyDescent="0.35">
      <c r="A1137" t="s">
        <v>804</v>
      </c>
      <c r="B1137" t="s">
        <v>2390</v>
      </c>
      <c r="C1137" s="7" t="s">
        <v>6</v>
      </c>
      <c r="D1137" t="s">
        <v>55</v>
      </c>
      <c r="E1137" t="s">
        <v>1997</v>
      </c>
      <c r="F1137" t="s">
        <v>1886</v>
      </c>
      <c r="I1137">
        <f t="shared" si="102"/>
        <v>0</v>
      </c>
      <c r="J1137">
        <f t="shared" si="103"/>
        <v>0</v>
      </c>
      <c r="K1137">
        <f t="shared" si="104"/>
        <v>0</v>
      </c>
      <c r="L1137">
        <f t="shared" si="105"/>
        <v>0</v>
      </c>
      <c r="M1137">
        <f t="shared" si="106"/>
        <v>0</v>
      </c>
      <c r="N1137">
        <f t="shared" si="107"/>
        <v>0</v>
      </c>
    </row>
    <row r="1138" spans="1:14" x14ac:dyDescent="0.35">
      <c r="A1138" t="s">
        <v>1157</v>
      </c>
      <c r="B1138" t="s">
        <v>2391</v>
      </c>
      <c r="C1138" s="7" t="s">
        <v>6</v>
      </c>
      <c r="D1138" t="s">
        <v>100</v>
      </c>
      <c r="E1138" t="s">
        <v>2042</v>
      </c>
      <c r="F1138" t="s">
        <v>1754</v>
      </c>
      <c r="I1138">
        <f t="shared" si="102"/>
        <v>0</v>
      </c>
      <c r="J1138">
        <f t="shared" si="103"/>
        <v>0</v>
      </c>
      <c r="K1138">
        <f t="shared" si="104"/>
        <v>0</v>
      </c>
      <c r="L1138">
        <f t="shared" si="105"/>
        <v>1</v>
      </c>
      <c r="M1138">
        <f t="shared" si="106"/>
        <v>0</v>
      </c>
      <c r="N1138">
        <f t="shared" si="107"/>
        <v>0</v>
      </c>
    </row>
    <row r="1139" spans="1:14" x14ac:dyDescent="0.35">
      <c r="A1139" t="s">
        <v>1157</v>
      </c>
      <c r="B1139" t="s">
        <v>2391</v>
      </c>
      <c r="C1139" s="7" t="s">
        <v>6</v>
      </c>
      <c r="D1139" t="s">
        <v>100</v>
      </c>
      <c r="E1139" t="s">
        <v>2326</v>
      </c>
      <c r="F1139" t="s">
        <v>1886</v>
      </c>
      <c r="I1139">
        <f t="shared" si="102"/>
        <v>0</v>
      </c>
      <c r="J1139">
        <f t="shared" si="103"/>
        <v>0</v>
      </c>
      <c r="K1139">
        <f t="shared" si="104"/>
        <v>0</v>
      </c>
      <c r="L1139">
        <f t="shared" si="105"/>
        <v>0</v>
      </c>
      <c r="M1139">
        <f t="shared" si="106"/>
        <v>0</v>
      </c>
      <c r="N1139">
        <f t="shared" si="107"/>
        <v>0</v>
      </c>
    </row>
    <row r="1140" spans="1:14" x14ac:dyDescent="0.35">
      <c r="A1140" t="s">
        <v>1157</v>
      </c>
      <c r="B1140" t="s">
        <v>2391</v>
      </c>
      <c r="C1140" s="7" t="s">
        <v>6</v>
      </c>
      <c r="D1140" t="s">
        <v>100</v>
      </c>
      <c r="E1140" t="s">
        <v>1911</v>
      </c>
      <c r="F1140" t="s">
        <v>1754</v>
      </c>
      <c r="I1140">
        <f t="shared" si="102"/>
        <v>0</v>
      </c>
      <c r="J1140">
        <f t="shared" si="103"/>
        <v>0</v>
      </c>
      <c r="K1140">
        <f t="shared" si="104"/>
        <v>0</v>
      </c>
      <c r="L1140">
        <f t="shared" si="105"/>
        <v>1</v>
      </c>
      <c r="M1140">
        <f t="shared" si="106"/>
        <v>0</v>
      </c>
      <c r="N1140">
        <f t="shared" si="107"/>
        <v>0</v>
      </c>
    </row>
    <row r="1141" spans="1:14" x14ac:dyDescent="0.35">
      <c r="A1141" t="s">
        <v>1157</v>
      </c>
      <c r="B1141" t="s">
        <v>2391</v>
      </c>
      <c r="C1141" s="7" t="s">
        <v>6</v>
      </c>
      <c r="D1141" t="s">
        <v>100</v>
      </c>
      <c r="E1141" t="s">
        <v>2328</v>
      </c>
      <c r="F1141" t="s">
        <v>1886</v>
      </c>
      <c r="I1141">
        <f t="shared" si="102"/>
        <v>0</v>
      </c>
      <c r="J1141">
        <f t="shared" si="103"/>
        <v>0</v>
      </c>
      <c r="K1141">
        <f t="shared" si="104"/>
        <v>0</v>
      </c>
      <c r="L1141">
        <f t="shared" si="105"/>
        <v>0</v>
      </c>
      <c r="M1141">
        <f t="shared" si="106"/>
        <v>0</v>
      </c>
      <c r="N1141">
        <f t="shared" si="107"/>
        <v>0</v>
      </c>
    </row>
    <row r="1142" spans="1:14" x14ac:dyDescent="0.35">
      <c r="A1142" t="s">
        <v>1157</v>
      </c>
      <c r="B1142" t="s">
        <v>2391</v>
      </c>
      <c r="C1142" s="7" t="s">
        <v>6</v>
      </c>
      <c r="D1142" t="s">
        <v>100</v>
      </c>
      <c r="E1142" t="s">
        <v>2182</v>
      </c>
      <c r="F1142" t="s">
        <v>1754</v>
      </c>
      <c r="I1142">
        <f t="shared" si="102"/>
        <v>0</v>
      </c>
      <c r="J1142">
        <f t="shared" si="103"/>
        <v>0</v>
      </c>
      <c r="K1142">
        <f t="shared" si="104"/>
        <v>0</v>
      </c>
      <c r="L1142">
        <f t="shared" si="105"/>
        <v>1</v>
      </c>
      <c r="M1142">
        <f t="shared" si="106"/>
        <v>0</v>
      </c>
      <c r="N1142">
        <f t="shared" si="107"/>
        <v>0</v>
      </c>
    </row>
    <row r="1143" spans="1:14" x14ac:dyDescent="0.35">
      <c r="A1143" t="s">
        <v>1157</v>
      </c>
      <c r="B1143" t="s">
        <v>2391</v>
      </c>
      <c r="C1143" s="7" t="s">
        <v>6</v>
      </c>
      <c r="D1143" t="s">
        <v>100</v>
      </c>
      <c r="E1143" t="s">
        <v>1854</v>
      </c>
      <c r="F1143" t="s">
        <v>1754</v>
      </c>
      <c r="I1143">
        <f t="shared" si="102"/>
        <v>0</v>
      </c>
      <c r="J1143">
        <f t="shared" si="103"/>
        <v>0</v>
      </c>
      <c r="K1143">
        <f t="shared" si="104"/>
        <v>0</v>
      </c>
      <c r="L1143">
        <f t="shared" si="105"/>
        <v>1</v>
      </c>
      <c r="M1143">
        <f t="shared" si="106"/>
        <v>0</v>
      </c>
      <c r="N1143">
        <f t="shared" si="107"/>
        <v>0</v>
      </c>
    </row>
    <row r="1144" spans="1:14" x14ac:dyDescent="0.35">
      <c r="A1144" t="s">
        <v>1157</v>
      </c>
      <c r="B1144" t="s">
        <v>2391</v>
      </c>
      <c r="C1144" s="7" t="s">
        <v>6</v>
      </c>
      <c r="D1144" t="s">
        <v>100</v>
      </c>
      <c r="E1144" t="s">
        <v>2174</v>
      </c>
      <c r="F1144" t="s">
        <v>1805</v>
      </c>
      <c r="I1144">
        <f t="shared" si="102"/>
        <v>0</v>
      </c>
      <c r="J1144">
        <f t="shared" si="103"/>
        <v>1</v>
      </c>
      <c r="K1144">
        <f t="shared" si="104"/>
        <v>0</v>
      </c>
      <c r="L1144">
        <f t="shared" si="105"/>
        <v>0</v>
      </c>
      <c r="M1144">
        <f t="shared" si="106"/>
        <v>0</v>
      </c>
      <c r="N1144">
        <f t="shared" si="107"/>
        <v>0</v>
      </c>
    </row>
    <row r="1145" spans="1:14" x14ac:dyDescent="0.35">
      <c r="A1145" t="s">
        <v>1157</v>
      </c>
      <c r="B1145" t="s">
        <v>2391</v>
      </c>
      <c r="C1145" s="7" t="s">
        <v>6</v>
      </c>
      <c r="D1145" t="s">
        <v>100</v>
      </c>
      <c r="E1145" t="s">
        <v>1910</v>
      </c>
      <c r="F1145" t="s">
        <v>1754</v>
      </c>
      <c r="I1145">
        <f t="shared" si="102"/>
        <v>0</v>
      </c>
      <c r="J1145">
        <f t="shared" si="103"/>
        <v>0</v>
      </c>
      <c r="K1145">
        <f t="shared" si="104"/>
        <v>0</v>
      </c>
      <c r="L1145">
        <f t="shared" si="105"/>
        <v>1</v>
      </c>
      <c r="M1145">
        <f t="shared" si="106"/>
        <v>0</v>
      </c>
      <c r="N1145">
        <f t="shared" si="107"/>
        <v>0</v>
      </c>
    </row>
    <row r="1146" spans="1:14" x14ac:dyDescent="0.35">
      <c r="A1146" t="s">
        <v>1157</v>
      </c>
      <c r="B1146" t="s">
        <v>2391</v>
      </c>
      <c r="C1146" s="7" t="s">
        <v>6</v>
      </c>
      <c r="D1146" t="s">
        <v>100</v>
      </c>
      <c r="E1146" t="s">
        <v>2325</v>
      </c>
      <c r="F1146" t="s">
        <v>1886</v>
      </c>
      <c r="I1146">
        <f t="shared" si="102"/>
        <v>0</v>
      </c>
      <c r="J1146">
        <f t="shared" si="103"/>
        <v>0</v>
      </c>
      <c r="K1146">
        <f t="shared" si="104"/>
        <v>0</v>
      </c>
      <c r="L1146">
        <f t="shared" si="105"/>
        <v>0</v>
      </c>
      <c r="M1146">
        <f t="shared" si="106"/>
        <v>0</v>
      </c>
      <c r="N1146">
        <f t="shared" si="107"/>
        <v>0</v>
      </c>
    </row>
    <row r="1147" spans="1:14" x14ac:dyDescent="0.35">
      <c r="A1147" t="s">
        <v>939</v>
      </c>
      <c r="B1147" t="s">
        <v>2392</v>
      </c>
      <c r="C1147" s="7" t="s">
        <v>6</v>
      </c>
      <c r="D1147" t="s">
        <v>51</v>
      </c>
      <c r="E1147" t="s">
        <v>1854</v>
      </c>
      <c r="F1147" t="s">
        <v>1754</v>
      </c>
      <c r="G1147" t="s">
        <v>2393</v>
      </c>
      <c r="H1147" t="s">
        <v>2394</v>
      </c>
      <c r="I1147">
        <f t="shared" si="102"/>
        <v>0</v>
      </c>
      <c r="J1147">
        <f t="shared" si="103"/>
        <v>0</v>
      </c>
      <c r="K1147">
        <f t="shared" si="104"/>
        <v>0</v>
      </c>
      <c r="L1147">
        <f t="shared" si="105"/>
        <v>1</v>
      </c>
      <c r="M1147">
        <f t="shared" si="106"/>
        <v>0</v>
      </c>
      <c r="N1147">
        <f t="shared" si="107"/>
        <v>1</v>
      </c>
    </row>
    <row r="1148" spans="1:14" x14ac:dyDescent="0.35">
      <c r="A1148" t="s">
        <v>939</v>
      </c>
      <c r="B1148" t="s">
        <v>2392</v>
      </c>
      <c r="C1148" s="7" t="s">
        <v>6</v>
      </c>
      <c r="D1148" t="s">
        <v>51</v>
      </c>
      <c r="E1148" t="s">
        <v>2217</v>
      </c>
      <c r="F1148" t="s">
        <v>1727</v>
      </c>
      <c r="G1148" t="s">
        <v>2393</v>
      </c>
      <c r="H1148" t="s">
        <v>2394</v>
      </c>
      <c r="I1148">
        <f t="shared" si="102"/>
        <v>0</v>
      </c>
      <c r="J1148">
        <f t="shared" si="103"/>
        <v>0</v>
      </c>
      <c r="K1148">
        <f t="shared" si="104"/>
        <v>0</v>
      </c>
      <c r="L1148">
        <f t="shared" si="105"/>
        <v>0</v>
      </c>
      <c r="M1148">
        <f t="shared" si="106"/>
        <v>1</v>
      </c>
      <c r="N1148">
        <f t="shared" si="107"/>
        <v>1</v>
      </c>
    </row>
    <row r="1149" spans="1:14" x14ac:dyDescent="0.35">
      <c r="A1149" t="s">
        <v>939</v>
      </c>
      <c r="B1149" t="s">
        <v>2392</v>
      </c>
      <c r="C1149" s="7" t="s">
        <v>6</v>
      </c>
      <c r="D1149" t="s">
        <v>51</v>
      </c>
      <c r="E1149" t="s">
        <v>2042</v>
      </c>
      <c r="F1149" t="s">
        <v>1754</v>
      </c>
      <c r="G1149" t="s">
        <v>2393</v>
      </c>
      <c r="H1149" t="s">
        <v>2394</v>
      </c>
      <c r="I1149">
        <f t="shared" si="102"/>
        <v>0</v>
      </c>
      <c r="J1149">
        <f t="shared" si="103"/>
        <v>0</v>
      </c>
      <c r="K1149">
        <f t="shared" si="104"/>
        <v>0</v>
      </c>
      <c r="L1149">
        <f t="shared" si="105"/>
        <v>1</v>
      </c>
      <c r="M1149">
        <f t="shared" si="106"/>
        <v>0</v>
      </c>
      <c r="N1149">
        <f t="shared" si="107"/>
        <v>1</v>
      </c>
    </row>
    <row r="1150" spans="1:14" x14ac:dyDescent="0.35">
      <c r="A1150" t="s">
        <v>939</v>
      </c>
      <c r="B1150" t="s">
        <v>2392</v>
      </c>
      <c r="C1150" s="7" t="s">
        <v>9</v>
      </c>
      <c r="D1150" t="s">
        <v>51</v>
      </c>
      <c r="E1150" t="s">
        <v>1945</v>
      </c>
      <c r="F1150" t="s">
        <v>1754</v>
      </c>
      <c r="G1150" t="s">
        <v>2393</v>
      </c>
      <c r="H1150" t="s">
        <v>2394</v>
      </c>
      <c r="I1150">
        <f t="shared" si="102"/>
        <v>0</v>
      </c>
      <c r="J1150">
        <f t="shared" si="103"/>
        <v>0</v>
      </c>
      <c r="K1150">
        <f t="shared" si="104"/>
        <v>0</v>
      </c>
      <c r="L1150">
        <f t="shared" si="105"/>
        <v>1</v>
      </c>
      <c r="M1150">
        <f t="shared" si="106"/>
        <v>0</v>
      </c>
      <c r="N1150">
        <f t="shared" si="107"/>
        <v>1</v>
      </c>
    </row>
    <row r="1151" spans="1:14" x14ac:dyDescent="0.35">
      <c r="A1151" t="s">
        <v>1665</v>
      </c>
      <c r="B1151" t="s">
        <v>2395</v>
      </c>
      <c r="C1151" s="7" t="s">
        <v>9</v>
      </c>
      <c r="D1151" t="s">
        <v>180</v>
      </c>
      <c r="E1151" t="s">
        <v>1940</v>
      </c>
      <c r="F1151" t="s">
        <v>1754</v>
      </c>
      <c r="I1151">
        <f t="shared" si="102"/>
        <v>0</v>
      </c>
      <c r="J1151">
        <f t="shared" si="103"/>
        <v>0</v>
      </c>
      <c r="K1151">
        <f t="shared" si="104"/>
        <v>0</v>
      </c>
      <c r="L1151">
        <f t="shared" si="105"/>
        <v>1</v>
      </c>
      <c r="M1151">
        <f t="shared" si="106"/>
        <v>0</v>
      </c>
      <c r="N1151">
        <f t="shared" si="107"/>
        <v>0</v>
      </c>
    </row>
    <row r="1152" spans="1:14" x14ac:dyDescent="0.35">
      <c r="A1152" t="s">
        <v>1665</v>
      </c>
      <c r="B1152" t="s">
        <v>2395</v>
      </c>
      <c r="C1152" s="7" t="s">
        <v>9</v>
      </c>
      <c r="D1152" t="s">
        <v>180</v>
      </c>
      <c r="E1152" t="s">
        <v>1941</v>
      </c>
      <c r="F1152" t="s">
        <v>1754</v>
      </c>
      <c r="I1152">
        <f t="shared" si="102"/>
        <v>0</v>
      </c>
      <c r="J1152">
        <f t="shared" si="103"/>
        <v>0</v>
      </c>
      <c r="K1152">
        <f t="shared" si="104"/>
        <v>0</v>
      </c>
      <c r="L1152">
        <f t="shared" si="105"/>
        <v>1</v>
      </c>
      <c r="M1152">
        <f t="shared" si="106"/>
        <v>0</v>
      </c>
      <c r="N1152">
        <f t="shared" si="107"/>
        <v>0</v>
      </c>
    </row>
    <row r="1153" spans="1:14" x14ac:dyDescent="0.35">
      <c r="A1153" t="s">
        <v>890</v>
      </c>
      <c r="B1153" t="s">
        <v>2396</v>
      </c>
      <c r="C1153" s="7" t="s">
        <v>9</v>
      </c>
      <c r="D1153" t="s">
        <v>528</v>
      </c>
      <c r="E1153" t="s">
        <v>1917</v>
      </c>
      <c r="F1153" t="s">
        <v>1754</v>
      </c>
      <c r="I1153">
        <f t="shared" si="102"/>
        <v>0</v>
      </c>
      <c r="J1153">
        <f t="shared" si="103"/>
        <v>0</v>
      </c>
      <c r="K1153">
        <f t="shared" si="104"/>
        <v>0</v>
      </c>
      <c r="L1153">
        <f t="shared" si="105"/>
        <v>1</v>
      </c>
      <c r="M1153">
        <f t="shared" si="106"/>
        <v>0</v>
      </c>
      <c r="N1153">
        <f t="shared" si="107"/>
        <v>0</v>
      </c>
    </row>
    <row r="1154" spans="1:14" x14ac:dyDescent="0.35">
      <c r="A1154" t="s">
        <v>545</v>
      </c>
      <c r="B1154" t="s">
        <v>2397</v>
      </c>
      <c r="C1154" s="7" t="s">
        <v>9</v>
      </c>
      <c r="D1154" t="s">
        <v>92</v>
      </c>
      <c r="E1154" t="s">
        <v>1839</v>
      </c>
      <c r="F1154" t="s">
        <v>1760</v>
      </c>
      <c r="I1154">
        <f t="shared" si="102"/>
        <v>0</v>
      </c>
      <c r="J1154">
        <f t="shared" si="103"/>
        <v>0</v>
      </c>
      <c r="K1154">
        <f t="shared" si="104"/>
        <v>1</v>
      </c>
      <c r="L1154">
        <f t="shared" si="105"/>
        <v>0</v>
      </c>
      <c r="M1154">
        <f t="shared" si="106"/>
        <v>0</v>
      </c>
      <c r="N1154">
        <f t="shared" si="107"/>
        <v>0</v>
      </c>
    </row>
    <row r="1155" spans="1:14" x14ac:dyDescent="0.35">
      <c r="A1155" t="s">
        <v>545</v>
      </c>
      <c r="B1155" t="s">
        <v>2397</v>
      </c>
      <c r="C1155" s="7" t="s">
        <v>9</v>
      </c>
      <c r="D1155" t="s">
        <v>92</v>
      </c>
      <c r="E1155" t="s">
        <v>1821</v>
      </c>
      <c r="F1155" t="s">
        <v>1760</v>
      </c>
      <c r="I1155">
        <f t="shared" ref="I1155:I1218" si="108">IF($F1155=$F$1,1,0)</f>
        <v>0</v>
      </c>
      <c r="J1155">
        <f t="shared" ref="J1155:J1218" si="109">IF($F1155=$J$1,1,0)</f>
        <v>0</v>
      </c>
      <c r="K1155">
        <f t="shared" ref="K1155:K1218" si="110">IF($F1155=$K$1,1,0)</f>
        <v>1</v>
      </c>
      <c r="L1155">
        <f t="shared" ref="L1155:L1218" si="111">IF($F1155=$L$1,1,0)</f>
        <v>0</v>
      </c>
      <c r="M1155">
        <f t="shared" ref="M1155:M1218" si="112">IF($F1155=$M$1,1,0)</f>
        <v>0</v>
      </c>
      <c r="N1155">
        <f t="shared" ref="N1155:N1218" si="113">IF($G1155&lt;&gt;"",1,0)</f>
        <v>0</v>
      </c>
    </row>
    <row r="1156" spans="1:14" x14ac:dyDescent="0.35">
      <c r="A1156" t="s">
        <v>545</v>
      </c>
      <c r="B1156" t="s">
        <v>2397</v>
      </c>
      <c r="C1156" s="7" t="s">
        <v>6</v>
      </c>
      <c r="D1156" t="s">
        <v>92</v>
      </c>
      <c r="E1156" t="s">
        <v>1822</v>
      </c>
      <c r="F1156" t="s">
        <v>1760</v>
      </c>
      <c r="I1156">
        <f t="shared" si="108"/>
        <v>0</v>
      </c>
      <c r="J1156">
        <f t="shared" si="109"/>
        <v>0</v>
      </c>
      <c r="K1156">
        <f t="shared" si="110"/>
        <v>1</v>
      </c>
      <c r="L1156">
        <f t="shared" si="111"/>
        <v>0</v>
      </c>
      <c r="M1156">
        <f t="shared" si="112"/>
        <v>0</v>
      </c>
      <c r="N1156">
        <f t="shared" si="113"/>
        <v>0</v>
      </c>
    </row>
    <row r="1157" spans="1:14" x14ac:dyDescent="0.35">
      <c r="A1157" t="s">
        <v>545</v>
      </c>
      <c r="B1157" t="s">
        <v>2397</v>
      </c>
      <c r="C1157" s="7" t="s">
        <v>6</v>
      </c>
      <c r="D1157" t="s">
        <v>92</v>
      </c>
      <c r="E1157" t="s">
        <v>2003</v>
      </c>
      <c r="F1157" t="s">
        <v>1754</v>
      </c>
      <c r="I1157">
        <f t="shared" si="108"/>
        <v>0</v>
      </c>
      <c r="J1157">
        <f t="shared" si="109"/>
        <v>0</v>
      </c>
      <c r="K1157">
        <f t="shared" si="110"/>
        <v>0</v>
      </c>
      <c r="L1157">
        <f t="shared" si="111"/>
        <v>1</v>
      </c>
      <c r="M1157">
        <f t="shared" si="112"/>
        <v>0</v>
      </c>
      <c r="N1157">
        <f t="shared" si="113"/>
        <v>0</v>
      </c>
    </row>
    <row r="1158" spans="1:14" x14ac:dyDescent="0.35">
      <c r="A1158" t="s">
        <v>545</v>
      </c>
      <c r="B1158" t="s">
        <v>2397</v>
      </c>
      <c r="C1158" s="7" t="s">
        <v>6</v>
      </c>
      <c r="D1158" t="s">
        <v>92</v>
      </c>
      <c r="E1158" t="s">
        <v>1841</v>
      </c>
      <c r="F1158" t="s">
        <v>1760</v>
      </c>
      <c r="I1158">
        <f t="shared" si="108"/>
        <v>0</v>
      </c>
      <c r="J1158">
        <f t="shared" si="109"/>
        <v>0</v>
      </c>
      <c r="K1158">
        <f t="shared" si="110"/>
        <v>1</v>
      </c>
      <c r="L1158">
        <f t="shared" si="111"/>
        <v>0</v>
      </c>
      <c r="M1158">
        <f t="shared" si="112"/>
        <v>0</v>
      </c>
      <c r="N1158">
        <f t="shared" si="113"/>
        <v>0</v>
      </c>
    </row>
    <row r="1159" spans="1:14" x14ac:dyDescent="0.35">
      <c r="A1159" t="s">
        <v>545</v>
      </c>
      <c r="B1159" t="s">
        <v>2397</v>
      </c>
      <c r="C1159" s="7" t="s">
        <v>6</v>
      </c>
      <c r="D1159" t="s">
        <v>92</v>
      </c>
      <c r="E1159" t="s">
        <v>1938</v>
      </c>
      <c r="F1159" t="s">
        <v>1760</v>
      </c>
      <c r="I1159">
        <f t="shared" si="108"/>
        <v>0</v>
      </c>
      <c r="J1159">
        <f t="shared" si="109"/>
        <v>0</v>
      </c>
      <c r="K1159">
        <f t="shared" si="110"/>
        <v>1</v>
      </c>
      <c r="L1159">
        <f t="shared" si="111"/>
        <v>0</v>
      </c>
      <c r="M1159">
        <f t="shared" si="112"/>
        <v>0</v>
      </c>
      <c r="N1159">
        <f t="shared" si="113"/>
        <v>0</v>
      </c>
    </row>
    <row r="1160" spans="1:14" x14ac:dyDescent="0.35">
      <c r="A1160" t="s">
        <v>545</v>
      </c>
      <c r="B1160" t="s">
        <v>2397</v>
      </c>
      <c r="C1160" s="7" t="s">
        <v>6</v>
      </c>
      <c r="D1160" t="s">
        <v>92</v>
      </c>
      <c r="E1160" t="s">
        <v>1843</v>
      </c>
      <c r="F1160" t="s">
        <v>1760</v>
      </c>
      <c r="I1160">
        <f t="shared" si="108"/>
        <v>0</v>
      </c>
      <c r="J1160">
        <f t="shared" si="109"/>
        <v>0</v>
      </c>
      <c r="K1160">
        <f t="shared" si="110"/>
        <v>1</v>
      </c>
      <c r="L1160">
        <f t="shared" si="111"/>
        <v>0</v>
      </c>
      <c r="M1160">
        <f t="shared" si="112"/>
        <v>0</v>
      </c>
      <c r="N1160">
        <f t="shared" si="113"/>
        <v>0</v>
      </c>
    </row>
    <row r="1161" spans="1:14" x14ac:dyDescent="0.35">
      <c r="A1161" t="s">
        <v>545</v>
      </c>
      <c r="B1161" t="s">
        <v>2397</v>
      </c>
      <c r="C1161" s="7" t="s">
        <v>6</v>
      </c>
      <c r="D1161" t="s">
        <v>92</v>
      </c>
      <c r="E1161" t="s">
        <v>1823</v>
      </c>
      <c r="F1161" t="s">
        <v>1760</v>
      </c>
      <c r="I1161">
        <f t="shared" si="108"/>
        <v>0</v>
      </c>
      <c r="J1161">
        <f t="shared" si="109"/>
        <v>0</v>
      </c>
      <c r="K1161">
        <f t="shared" si="110"/>
        <v>1</v>
      </c>
      <c r="L1161">
        <f t="shared" si="111"/>
        <v>0</v>
      </c>
      <c r="M1161">
        <f t="shared" si="112"/>
        <v>0</v>
      </c>
      <c r="N1161">
        <f t="shared" si="113"/>
        <v>0</v>
      </c>
    </row>
    <row r="1162" spans="1:14" x14ac:dyDescent="0.35">
      <c r="A1162" t="s">
        <v>545</v>
      </c>
      <c r="B1162" t="s">
        <v>2397</v>
      </c>
      <c r="C1162" s="7" t="s">
        <v>6</v>
      </c>
      <c r="D1162" t="s">
        <v>92</v>
      </c>
      <c r="E1162" t="s">
        <v>1838</v>
      </c>
      <c r="F1162" t="s">
        <v>1760</v>
      </c>
      <c r="I1162">
        <f t="shared" si="108"/>
        <v>0</v>
      </c>
      <c r="J1162">
        <f t="shared" si="109"/>
        <v>0</v>
      </c>
      <c r="K1162">
        <f t="shared" si="110"/>
        <v>1</v>
      </c>
      <c r="L1162">
        <f t="shared" si="111"/>
        <v>0</v>
      </c>
      <c r="M1162">
        <f t="shared" si="112"/>
        <v>0</v>
      </c>
      <c r="N1162">
        <f t="shared" si="113"/>
        <v>0</v>
      </c>
    </row>
    <row r="1163" spans="1:14" x14ac:dyDescent="0.35">
      <c r="A1163" t="s">
        <v>545</v>
      </c>
      <c r="B1163" t="s">
        <v>2397</v>
      </c>
      <c r="C1163" s="7" t="s">
        <v>6</v>
      </c>
      <c r="D1163" t="s">
        <v>92</v>
      </c>
      <c r="E1163" t="s">
        <v>1931</v>
      </c>
      <c r="F1163" t="s">
        <v>1754</v>
      </c>
      <c r="I1163">
        <f t="shared" si="108"/>
        <v>0</v>
      </c>
      <c r="J1163">
        <f t="shared" si="109"/>
        <v>0</v>
      </c>
      <c r="K1163">
        <f t="shared" si="110"/>
        <v>0</v>
      </c>
      <c r="L1163">
        <f t="shared" si="111"/>
        <v>1</v>
      </c>
      <c r="M1163">
        <f t="shared" si="112"/>
        <v>0</v>
      </c>
      <c r="N1163">
        <f t="shared" si="113"/>
        <v>0</v>
      </c>
    </row>
    <row r="1164" spans="1:14" x14ac:dyDescent="0.35">
      <c r="A1164" t="s">
        <v>545</v>
      </c>
      <c r="B1164" t="s">
        <v>2397</v>
      </c>
      <c r="C1164" s="7" t="s">
        <v>6</v>
      </c>
      <c r="D1164" t="s">
        <v>92</v>
      </c>
      <c r="E1164" t="s">
        <v>1842</v>
      </c>
      <c r="F1164" t="s">
        <v>1760</v>
      </c>
      <c r="I1164">
        <f t="shared" si="108"/>
        <v>0</v>
      </c>
      <c r="J1164">
        <f t="shared" si="109"/>
        <v>0</v>
      </c>
      <c r="K1164">
        <f t="shared" si="110"/>
        <v>1</v>
      </c>
      <c r="L1164">
        <f t="shared" si="111"/>
        <v>0</v>
      </c>
      <c r="M1164">
        <f t="shared" si="112"/>
        <v>0</v>
      </c>
      <c r="N1164">
        <f t="shared" si="113"/>
        <v>0</v>
      </c>
    </row>
    <row r="1165" spans="1:14" x14ac:dyDescent="0.35">
      <c r="A1165" t="s">
        <v>545</v>
      </c>
      <c r="B1165" t="s">
        <v>2397</v>
      </c>
      <c r="C1165" s="7" t="s">
        <v>6</v>
      </c>
      <c r="D1165" t="s">
        <v>92</v>
      </c>
      <c r="E1165" t="s">
        <v>1928</v>
      </c>
      <c r="F1165" t="s">
        <v>1754</v>
      </c>
      <c r="I1165">
        <f t="shared" si="108"/>
        <v>0</v>
      </c>
      <c r="J1165">
        <f t="shared" si="109"/>
        <v>0</v>
      </c>
      <c r="K1165">
        <f t="shared" si="110"/>
        <v>0</v>
      </c>
      <c r="L1165">
        <f t="shared" si="111"/>
        <v>1</v>
      </c>
      <c r="M1165">
        <f t="shared" si="112"/>
        <v>0</v>
      </c>
      <c r="N1165">
        <f t="shared" si="113"/>
        <v>0</v>
      </c>
    </row>
    <row r="1166" spans="1:14" x14ac:dyDescent="0.35">
      <c r="A1166" t="s">
        <v>545</v>
      </c>
      <c r="B1166" t="s">
        <v>2397</v>
      </c>
      <c r="C1166" s="7" t="s">
        <v>6</v>
      </c>
      <c r="D1166" t="s">
        <v>92</v>
      </c>
      <c r="E1166" t="s">
        <v>2002</v>
      </c>
      <c r="F1166" t="s">
        <v>1754</v>
      </c>
      <c r="I1166">
        <f t="shared" si="108"/>
        <v>0</v>
      </c>
      <c r="J1166">
        <f t="shared" si="109"/>
        <v>0</v>
      </c>
      <c r="K1166">
        <f t="shared" si="110"/>
        <v>0</v>
      </c>
      <c r="L1166">
        <f t="shared" si="111"/>
        <v>1</v>
      </c>
      <c r="M1166">
        <f t="shared" si="112"/>
        <v>0</v>
      </c>
      <c r="N1166">
        <f t="shared" si="113"/>
        <v>0</v>
      </c>
    </row>
    <row r="1167" spans="1:14" x14ac:dyDescent="0.35">
      <c r="A1167" t="s">
        <v>545</v>
      </c>
      <c r="B1167" t="s">
        <v>2397</v>
      </c>
      <c r="C1167" s="7" t="s">
        <v>6</v>
      </c>
      <c r="D1167" t="s">
        <v>92</v>
      </c>
      <c r="E1167" t="s">
        <v>1816</v>
      </c>
      <c r="F1167" t="s">
        <v>1760</v>
      </c>
      <c r="I1167">
        <f t="shared" si="108"/>
        <v>0</v>
      </c>
      <c r="J1167">
        <f t="shared" si="109"/>
        <v>0</v>
      </c>
      <c r="K1167">
        <f t="shared" si="110"/>
        <v>1</v>
      </c>
      <c r="L1167">
        <f t="shared" si="111"/>
        <v>0</v>
      </c>
      <c r="M1167">
        <f t="shared" si="112"/>
        <v>0</v>
      </c>
      <c r="N1167">
        <f t="shared" si="113"/>
        <v>0</v>
      </c>
    </row>
    <row r="1168" spans="1:14" x14ac:dyDescent="0.35">
      <c r="A1168" t="s">
        <v>580</v>
      </c>
      <c r="B1168" t="s">
        <v>1850</v>
      </c>
      <c r="C1168" s="7" t="s">
        <v>6</v>
      </c>
      <c r="D1168" t="s">
        <v>582</v>
      </c>
      <c r="E1168" t="s">
        <v>1851</v>
      </c>
      <c r="F1168" t="s">
        <v>1805</v>
      </c>
      <c r="I1168">
        <f t="shared" si="108"/>
        <v>0</v>
      </c>
      <c r="J1168">
        <f t="shared" si="109"/>
        <v>1</v>
      </c>
      <c r="K1168">
        <f t="shared" si="110"/>
        <v>0</v>
      </c>
      <c r="L1168">
        <f t="shared" si="111"/>
        <v>0</v>
      </c>
      <c r="M1168">
        <f t="shared" si="112"/>
        <v>0</v>
      </c>
      <c r="N1168">
        <f t="shared" si="113"/>
        <v>0</v>
      </c>
    </row>
    <row r="1169" spans="1:14" x14ac:dyDescent="0.35">
      <c r="A1169" t="s">
        <v>580</v>
      </c>
      <c r="B1169" t="s">
        <v>1850</v>
      </c>
      <c r="C1169" s="7" t="s">
        <v>6</v>
      </c>
      <c r="D1169" t="s">
        <v>582</v>
      </c>
      <c r="E1169" t="s">
        <v>1849</v>
      </c>
      <c r="F1169" t="s">
        <v>1754</v>
      </c>
      <c r="I1169">
        <f t="shared" si="108"/>
        <v>0</v>
      </c>
      <c r="J1169">
        <f t="shared" si="109"/>
        <v>0</v>
      </c>
      <c r="K1169">
        <f t="shared" si="110"/>
        <v>0</v>
      </c>
      <c r="L1169">
        <f t="shared" si="111"/>
        <v>1</v>
      </c>
      <c r="M1169">
        <f t="shared" si="112"/>
        <v>0</v>
      </c>
      <c r="N1169">
        <f t="shared" si="113"/>
        <v>0</v>
      </c>
    </row>
    <row r="1170" spans="1:14" x14ac:dyDescent="0.35">
      <c r="A1170" t="s">
        <v>835</v>
      </c>
      <c r="B1170" t="s">
        <v>2398</v>
      </c>
      <c r="C1170" s="7" t="s">
        <v>6</v>
      </c>
      <c r="D1170" t="s">
        <v>836</v>
      </c>
      <c r="E1170" t="s">
        <v>1944</v>
      </c>
      <c r="F1170" t="s">
        <v>1754</v>
      </c>
      <c r="I1170">
        <f t="shared" si="108"/>
        <v>0</v>
      </c>
      <c r="J1170">
        <f t="shared" si="109"/>
        <v>0</v>
      </c>
      <c r="K1170">
        <f t="shared" si="110"/>
        <v>0</v>
      </c>
      <c r="L1170">
        <f t="shared" si="111"/>
        <v>1</v>
      </c>
      <c r="M1170">
        <f t="shared" si="112"/>
        <v>0</v>
      </c>
      <c r="N1170">
        <f t="shared" si="113"/>
        <v>0</v>
      </c>
    </row>
    <row r="1171" spans="1:14" x14ac:dyDescent="0.35">
      <c r="A1171" t="s">
        <v>835</v>
      </c>
      <c r="B1171" t="s">
        <v>2398</v>
      </c>
      <c r="C1171" s="7" t="s">
        <v>6</v>
      </c>
      <c r="D1171" t="s">
        <v>836</v>
      </c>
      <c r="E1171" t="s">
        <v>1946</v>
      </c>
      <c r="F1171" t="s">
        <v>1754</v>
      </c>
      <c r="I1171">
        <f t="shared" si="108"/>
        <v>0</v>
      </c>
      <c r="J1171">
        <f t="shared" si="109"/>
        <v>0</v>
      </c>
      <c r="K1171">
        <f t="shared" si="110"/>
        <v>0</v>
      </c>
      <c r="L1171">
        <f t="shared" si="111"/>
        <v>1</v>
      </c>
      <c r="M1171">
        <f t="shared" si="112"/>
        <v>0</v>
      </c>
      <c r="N1171">
        <f t="shared" si="113"/>
        <v>0</v>
      </c>
    </row>
    <row r="1172" spans="1:14" x14ac:dyDescent="0.35">
      <c r="A1172" t="s">
        <v>835</v>
      </c>
      <c r="B1172" t="s">
        <v>2398</v>
      </c>
      <c r="C1172" s="7" t="s">
        <v>6</v>
      </c>
      <c r="D1172" t="s">
        <v>836</v>
      </c>
      <c r="E1172" t="s">
        <v>1945</v>
      </c>
      <c r="F1172" t="s">
        <v>1754</v>
      </c>
      <c r="I1172">
        <f t="shared" si="108"/>
        <v>0</v>
      </c>
      <c r="J1172">
        <f t="shared" si="109"/>
        <v>0</v>
      </c>
      <c r="K1172">
        <f t="shared" si="110"/>
        <v>0</v>
      </c>
      <c r="L1172">
        <f t="shared" si="111"/>
        <v>1</v>
      </c>
      <c r="M1172">
        <f t="shared" si="112"/>
        <v>0</v>
      </c>
      <c r="N1172">
        <f t="shared" si="113"/>
        <v>0</v>
      </c>
    </row>
    <row r="1173" spans="1:14" x14ac:dyDescent="0.35">
      <c r="A1173" t="s">
        <v>835</v>
      </c>
      <c r="B1173" t="s">
        <v>2398</v>
      </c>
      <c r="C1173" s="7" t="s">
        <v>6</v>
      </c>
      <c r="D1173" t="s">
        <v>836</v>
      </c>
      <c r="E1173" t="s">
        <v>1911</v>
      </c>
      <c r="F1173" t="s">
        <v>1754</v>
      </c>
      <c r="I1173">
        <f t="shared" si="108"/>
        <v>0</v>
      </c>
      <c r="J1173">
        <f t="shared" si="109"/>
        <v>0</v>
      </c>
      <c r="K1173">
        <f t="shared" si="110"/>
        <v>0</v>
      </c>
      <c r="L1173">
        <f t="shared" si="111"/>
        <v>1</v>
      </c>
      <c r="M1173">
        <f t="shared" si="112"/>
        <v>0</v>
      </c>
      <c r="N1173">
        <f t="shared" si="113"/>
        <v>0</v>
      </c>
    </row>
    <row r="1174" spans="1:14" x14ac:dyDescent="0.35">
      <c r="A1174" t="s">
        <v>835</v>
      </c>
      <c r="B1174" t="s">
        <v>2398</v>
      </c>
      <c r="C1174" s="7" t="s">
        <v>10</v>
      </c>
      <c r="D1174" t="s">
        <v>836</v>
      </c>
      <c r="E1174" t="s">
        <v>1910</v>
      </c>
      <c r="F1174" t="s">
        <v>1754</v>
      </c>
      <c r="I1174">
        <f t="shared" si="108"/>
        <v>0</v>
      </c>
      <c r="J1174">
        <f t="shared" si="109"/>
        <v>0</v>
      </c>
      <c r="K1174">
        <f t="shared" si="110"/>
        <v>0</v>
      </c>
      <c r="L1174">
        <f t="shared" si="111"/>
        <v>1</v>
      </c>
      <c r="M1174">
        <f t="shared" si="112"/>
        <v>0</v>
      </c>
      <c r="N1174">
        <f t="shared" si="113"/>
        <v>0</v>
      </c>
    </row>
    <row r="1175" spans="1:14" x14ac:dyDescent="0.35">
      <c r="A1175" t="s">
        <v>631</v>
      </c>
      <c r="B1175" t="s">
        <v>2399</v>
      </c>
      <c r="C1175" s="7" t="s">
        <v>10</v>
      </c>
      <c r="D1175" t="s">
        <v>55</v>
      </c>
      <c r="E1175" t="s">
        <v>1806</v>
      </c>
      <c r="F1175" t="s">
        <v>1754</v>
      </c>
      <c r="I1175">
        <f t="shared" si="108"/>
        <v>0</v>
      </c>
      <c r="J1175">
        <f t="shared" si="109"/>
        <v>0</v>
      </c>
      <c r="K1175">
        <f t="shared" si="110"/>
        <v>0</v>
      </c>
      <c r="L1175">
        <f t="shared" si="111"/>
        <v>1</v>
      </c>
      <c r="M1175">
        <f t="shared" si="112"/>
        <v>0</v>
      </c>
      <c r="N1175">
        <f t="shared" si="113"/>
        <v>0</v>
      </c>
    </row>
    <row r="1176" spans="1:14" x14ac:dyDescent="0.35">
      <c r="A1176" t="s">
        <v>631</v>
      </c>
      <c r="B1176" t="s">
        <v>2399</v>
      </c>
      <c r="C1176" s="7" t="s">
        <v>10</v>
      </c>
      <c r="D1176" t="s">
        <v>55</v>
      </c>
      <c r="E1176" t="s">
        <v>1807</v>
      </c>
      <c r="F1176" t="s">
        <v>1754</v>
      </c>
      <c r="I1176">
        <f t="shared" si="108"/>
        <v>0</v>
      </c>
      <c r="J1176">
        <f t="shared" si="109"/>
        <v>0</v>
      </c>
      <c r="K1176">
        <f t="shared" si="110"/>
        <v>0</v>
      </c>
      <c r="L1176">
        <f t="shared" si="111"/>
        <v>1</v>
      </c>
      <c r="M1176">
        <f t="shared" si="112"/>
        <v>0</v>
      </c>
      <c r="N1176">
        <f t="shared" si="113"/>
        <v>0</v>
      </c>
    </row>
    <row r="1177" spans="1:14" x14ac:dyDescent="0.35">
      <c r="A1177" t="s">
        <v>631</v>
      </c>
      <c r="B1177" t="s">
        <v>2399</v>
      </c>
      <c r="C1177" s="7" t="s">
        <v>10</v>
      </c>
      <c r="D1177" t="s">
        <v>55</v>
      </c>
      <c r="E1177" t="s">
        <v>1932</v>
      </c>
      <c r="F1177" t="s">
        <v>1727</v>
      </c>
      <c r="I1177">
        <f t="shared" si="108"/>
        <v>0</v>
      </c>
      <c r="J1177">
        <f t="shared" si="109"/>
        <v>0</v>
      </c>
      <c r="K1177">
        <f t="shared" si="110"/>
        <v>0</v>
      </c>
      <c r="L1177">
        <f t="shared" si="111"/>
        <v>0</v>
      </c>
      <c r="M1177">
        <f t="shared" si="112"/>
        <v>1</v>
      </c>
      <c r="N1177">
        <f t="shared" si="113"/>
        <v>0</v>
      </c>
    </row>
    <row r="1178" spans="1:14" x14ac:dyDescent="0.35">
      <c r="A1178" t="s">
        <v>631</v>
      </c>
      <c r="B1178" t="s">
        <v>2399</v>
      </c>
      <c r="C1178" s="7" t="s">
        <v>10</v>
      </c>
      <c r="D1178" t="s">
        <v>55</v>
      </c>
      <c r="E1178" t="s">
        <v>2062</v>
      </c>
      <c r="F1178" t="s">
        <v>1727</v>
      </c>
      <c r="I1178">
        <f t="shared" si="108"/>
        <v>0</v>
      </c>
      <c r="J1178">
        <f t="shared" si="109"/>
        <v>0</v>
      </c>
      <c r="K1178">
        <f t="shared" si="110"/>
        <v>0</v>
      </c>
      <c r="L1178">
        <f t="shared" si="111"/>
        <v>0</v>
      </c>
      <c r="M1178">
        <f t="shared" si="112"/>
        <v>1</v>
      </c>
      <c r="N1178">
        <f t="shared" si="113"/>
        <v>0</v>
      </c>
    </row>
    <row r="1179" spans="1:14" x14ac:dyDescent="0.35">
      <c r="A1179" t="s">
        <v>1137</v>
      </c>
      <c r="B1179" t="s">
        <v>2400</v>
      </c>
      <c r="C1179" s="7" t="s">
        <v>10</v>
      </c>
      <c r="D1179" t="s">
        <v>155</v>
      </c>
      <c r="E1179" t="s">
        <v>1911</v>
      </c>
      <c r="F1179" t="s">
        <v>1754</v>
      </c>
      <c r="I1179">
        <f t="shared" si="108"/>
        <v>0</v>
      </c>
      <c r="J1179">
        <f t="shared" si="109"/>
        <v>0</v>
      </c>
      <c r="K1179">
        <f t="shared" si="110"/>
        <v>0</v>
      </c>
      <c r="L1179">
        <f t="shared" si="111"/>
        <v>1</v>
      </c>
      <c r="M1179">
        <f t="shared" si="112"/>
        <v>0</v>
      </c>
      <c r="N1179">
        <f t="shared" si="113"/>
        <v>0</v>
      </c>
    </row>
    <row r="1180" spans="1:14" x14ac:dyDescent="0.35">
      <c r="A1180" t="s">
        <v>1137</v>
      </c>
      <c r="B1180" t="s">
        <v>2400</v>
      </c>
      <c r="C1180" s="7" t="s">
        <v>10</v>
      </c>
      <c r="D1180" t="s">
        <v>155</v>
      </c>
      <c r="E1180" t="s">
        <v>2130</v>
      </c>
      <c r="F1180" t="s">
        <v>1754</v>
      </c>
      <c r="I1180">
        <f t="shared" si="108"/>
        <v>0</v>
      </c>
      <c r="J1180">
        <f t="shared" si="109"/>
        <v>0</v>
      </c>
      <c r="K1180">
        <f t="shared" si="110"/>
        <v>0</v>
      </c>
      <c r="L1180">
        <f t="shared" si="111"/>
        <v>1</v>
      </c>
      <c r="M1180">
        <f t="shared" si="112"/>
        <v>0</v>
      </c>
      <c r="N1180">
        <f t="shared" si="113"/>
        <v>0</v>
      </c>
    </row>
    <row r="1181" spans="1:14" x14ac:dyDescent="0.35">
      <c r="A1181" t="s">
        <v>1137</v>
      </c>
      <c r="B1181" t="s">
        <v>2400</v>
      </c>
      <c r="C1181" s="7" t="s">
        <v>10</v>
      </c>
      <c r="D1181" t="s">
        <v>155</v>
      </c>
      <c r="E1181" t="s">
        <v>1910</v>
      </c>
      <c r="F1181" t="s">
        <v>1754</v>
      </c>
      <c r="I1181">
        <f t="shared" si="108"/>
        <v>0</v>
      </c>
      <c r="J1181">
        <f t="shared" si="109"/>
        <v>0</v>
      </c>
      <c r="K1181">
        <f t="shared" si="110"/>
        <v>0</v>
      </c>
      <c r="L1181">
        <f t="shared" si="111"/>
        <v>1</v>
      </c>
      <c r="M1181">
        <f t="shared" si="112"/>
        <v>0</v>
      </c>
      <c r="N1181">
        <f t="shared" si="113"/>
        <v>0</v>
      </c>
    </row>
    <row r="1182" spans="1:14" x14ac:dyDescent="0.35">
      <c r="A1182" t="s">
        <v>1108</v>
      </c>
      <c r="B1182" t="s">
        <v>2401</v>
      </c>
      <c r="C1182" s="7" t="s">
        <v>10</v>
      </c>
      <c r="D1182" t="s">
        <v>152</v>
      </c>
      <c r="E1182" t="s">
        <v>1806</v>
      </c>
      <c r="F1182" t="s">
        <v>1754</v>
      </c>
      <c r="I1182">
        <f t="shared" si="108"/>
        <v>0</v>
      </c>
      <c r="J1182">
        <f t="shared" si="109"/>
        <v>0</v>
      </c>
      <c r="K1182">
        <f t="shared" si="110"/>
        <v>0</v>
      </c>
      <c r="L1182">
        <f t="shared" si="111"/>
        <v>1</v>
      </c>
      <c r="M1182">
        <f t="shared" si="112"/>
        <v>0</v>
      </c>
      <c r="N1182">
        <f t="shared" si="113"/>
        <v>0</v>
      </c>
    </row>
    <row r="1183" spans="1:14" x14ac:dyDescent="0.35">
      <c r="A1183" t="s">
        <v>1108</v>
      </c>
      <c r="B1183" t="s">
        <v>2401</v>
      </c>
      <c r="C1183" s="7" t="s">
        <v>10</v>
      </c>
      <c r="D1183" t="s">
        <v>152</v>
      </c>
      <c r="E1183" t="s">
        <v>1807</v>
      </c>
      <c r="F1183" t="s">
        <v>1754</v>
      </c>
      <c r="I1183">
        <f t="shared" si="108"/>
        <v>0</v>
      </c>
      <c r="J1183">
        <f t="shared" si="109"/>
        <v>0</v>
      </c>
      <c r="K1183">
        <f t="shared" si="110"/>
        <v>0</v>
      </c>
      <c r="L1183">
        <f t="shared" si="111"/>
        <v>1</v>
      </c>
      <c r="M1183">
        <f t="shared" si="112"/>
        <v>0</v>
      </c>
      <c r="N1183">
        <f t="shared" si="113"/>
        <v>0</v>
      </c>
    </row>
    <row r="1184" spans="1:14" x14ac:dyDescent="0.35">
      <c r="A1184" t="s">
        <v>1222</v>
      </c>
      <c r="B1184" t="s">
        <v>2402</v>
      </c>
      <c r="C1184" s="7" t="s">
        <v>10</v>
      </c>
      <c r="D1184" t="s">
        <v>55</v>
      </c>
      <c r="E1184" t="s">
        <v>1944</v>
      </c>
      <c r="F1184" t="s">
        <v>1754</v>
      </c>
      <c r="I1184">
        <f t="shared" si="108"/>
        <v>0</v>
      </c>
      <c r="J1184">
        <f t="shared" si="109"/>
        <v>0</v>
      </c>
      <c r="K1184">
        <f t="shared" si="110"/>
        <v>0</v>
      </c>
      <c r="L1184">
        <f t="shared" si="111"/>
        <v>1</v>
      </c>
      <c r="M1184">
        <f t="shared" si="112"/>
        <v>0</v>
      </c>
      <c r="N1184">
        <f t="shared" si="113"/>
        <v>0</v>
      </c>
    </row>
    <row r="1185" spans="1:14" x14ac:dyDescent="0.35">
      <c r="A1185" t="s">
        <v>1222</v>
      </c>
      <c r="B1185" t="s">
        <v>2402</v>
      </c>
      <c r="C1185" s="7" t="s">
        <v>10</v>
      </c>
      <c r="D1185" t="s">
        <v>55</v>
      </c>
      <c r="E1185" t="s">
        <v>1946</v>
      </c>
      <c r="F1185" t="s">
        <v>1754</v>
      </c>
      <c r="I1185">
        <f t="shared" si="108"/>
        <v>0</v>
      </c>
      <c r="J1185">
        <f t="shared" si="109"/>
        <v>0</v>
      </c>
      <c r="K1185">
        <f t="shared" si="110"/>
        <v>0</v>
      </c>
      <c r="L1185">
        <f t="shared" si="111"/>
        <v>1</v>
      </c>
      <c r="M1185">
        <f t="shared" si="112"/>
        <v>0</v>
      </c>
      <c r="N1185">
        <f t="shared" si="113"/>
        <v>0</v>
      </c>
    </row>
    <row r="1186" spans="1:14" x14ac:dyDescent="0.35">
      <c r="A1186" t="s">
        <v>1222</v>
      </c>
      <c r="B1186" t="s">
        <v>2402</v>
      </c>
      <c r="C1186" s="7" t="s">
        <v>10</v>
      </c>
      <c r="D1186" t="s">
        <v>55</v>
      </c>
      <c r="E1186" t="s">
        <v>1945</v>
      </c>
      <c r="F1186" t="s">
        <v>1754</v>
      </c>
      <c r="I1186">
        <f t="shared" si="108"/>
        <v>0</v>
      </c>
      <c r="J1186">
        <f t="shared" si="109"/>
        <v>0</v>
      </c>
      <c r="K1186">
        <f t="shared" si="110"/>
        <v>0</v>
      </c>
      <c r="L1186">
        <f t="shared" si="111"/>
        <v>1</v>
      </c>
      <c r="M1186">
        <f t="shared" si="112"/>
        <v>0</v>
      </c>
      <c r="N1186">
        <f t="shared" si="113"/>
        <v>0</v>
      </c>
    </row>
    <row r="1187" spans="1:14" x14ac:dyDescent="0.35">
      <c r="A1187" t="s">
        <v>719</v>
      </c>
      <c r="B1187" t="s">
        <v>2403</v>
      </c>
      <c r="C1187" s="7" t="s">
        <v>10</v>
      </c>
      <c r="D1187" t="s">
        <v>721</v>
      </c>
      <c r="E1187" t="s">
        <v>2404</v>
      </c>
      <c r="F1187" t="s">
        <v>1727</v>
      </c>
      <c r="I1187">
        <f t="shared" si="108"/>
        <v>0</v>
      </c>
      <c r="J1187">
        <f t="shared" si="109"/>
        <v>0</v>
      </c>
      <c r="K1187">
        <f t="shared" si="110"/>
        <v>0</v>
      </c>
      <c r="L1187">
        <f t="shared" si="111"/>
        <v>0</v>
      </c>
      <c r="M1187">
        <f t="shared" si="112"/>
        <v>1</v>
      </c>
      <c r="N1187">
        <f t="shared" si="113"/>
        <v>0</v>
      </c>
    </row>
    <row r="1188" spans="1:14" x14ac:dyDescent="0.35">
      <c r="A1188" t="s">
        <v>719</v>
      </c>
      <c r="B1188" t="s">
        <v>2403</v>
      </c>
      <c r="C1188" s="7" t="s">
        <v>10</v>
      </c>
      <c r="D1188" t="s">
        <v>721</v>
      </c>
      <c r="E1188" t="s">
        <v>2405</v>
      </c>
      <c r="F1188" t="s">
        <v>1727</v>
      </c>
      <c r="I1188">
        <f t="shared" si="108"/>
        <v>0</v>
      </c>
      <c r="J1188">
        <f t="shared" si="109"/>
        <v>0</v>
      </c>
      <c r="K1188">
        <f t="shared" si="110"/>
        <v>0</v>
      </c>
      <c r="L1188">
        <f t="shared" si="111"/>
        <v>0</v>
      </c>
      <c r="M1188">
        <f t="shared" si="112"/>
        <v>1</v>
      </c>
      <c r="N1188">
        <f t="shared" si="113"/>
        <v>0</v>
      </c>
    </row>
    <row r="1189" spans="1:14" x14ac:dyDescent="0.35">
      <c r="A1189" t="s">
        <v>1332</v>
      </c>
      <c r="B1189" t="s">
        <v>2406</v>
      </c>
      <c r="C1189" s="7" t="s">
        <v>10</v>
      </c>
      <c r="D1189" t="s">
        <v>55</v>
      </c>
      <c r="E1189" t="s">
        <v>1841</v>
      </c>
      <c r="F1189" t="s">
        <v>1760</v>
      </c>
      <c r="I1189">
        <f t="shared" si="108"/>
        <v>0</v>
      </c>
      <c r="J1189">
        <f t="shared" si="109"/>
        <v>0</v>
      </c>
      <c r="K1189">
        <f t="shared" si="110"/>
        <v>1</v>
      </c>
      <c r="L1189">
        <f t="shared" si="111"/>
        <v>0</v>
      </c>
      <c r="M1189">
        <f t="shared" si="112"/>
        <v>0</v>
      </c>
      <c r="N1189">
        <f t="shared" si="113"/>
        <v>0</v>
      </c>
    </row>
    <row r="1190" spans="1:14" x14ac:dyDescent="0.35">
      <c r="A1190" t="s">
        <v>1332</v>
      </c>
      <c r="B1190" t="s">
        <v>2406</v>
      </c>
      <c r="C1190" s="7" t="s">
        <v>10</v>
      </c>
      <c r="D1190" t="s">
        <v>55</v>
      </c>
      <c r="E1190" t="s">
        <v>1894</v>
      </c>
      <c r="F1190" t="s">
        <v>1754</v>
      </c>
      <c r="I1190">
        <f t="shared" si="108"/>
        <v>0</v>
      </c>
      <c r="J1190">
        <f t="shared" si="109"/>
        <v>0</v>
      </c>
      <c r="K1190">
        <f t="shared" si="110"/>
        <v>0</v>
      </c>
      <c r="L1190">
        <f t="shared" si="111"/>
        <v>1</v>
      </c>
      <c r="M1190">
        <f t="shared" si="112"/>
        <v>0</v>
      </c>
      <c r="N1190">
        <f t="shared" si="113"/>
        <v>0</v>
      </c>
    </row>
    <row r="1191" spans="1:14" x14ac:dyDescent="0.35">
      <c r="A1191" t="s">
        <v>1332</v>
      </c>
      <c r="B1191" t="s">
        <v>2406</v>
      </c>
      <c r="C1191" s="7" t="s">
        <v>10</v>
      </c>
      <c r="D1191" t="s">
        <v>55</v>
      </c>
      <c r="E1191" t="s">
        <v>1816</v>
      </c>
      <c r="F1191" t="s">
        <v>1760</v>
      </c>
      <c r="I1191">
        <f t="shared" si="108"/>
        <v>0</v>
      </c>
      <c r="J1191">
        <f t="shared" si="109"/>
        <v>0</v>
      </c>
      <c r="K1191">
        <f t="shared" si="110"/>
        <v>1</v>
      </c>
      <c r="L1191">
        <f t="shared" si="111"/>
        <v>0</v>
      </c>
      <c r="M1191">
        <f t="shared" si="112"/>
        <v>0</v>
      </c>
      <c r="N1191">
        <f t="shared" si="113"/>
        <v>0</v>
      </c>
    </row>
    <row r="1192" spans="1:14" x14ac:dyDescent="0.35">
      <c r="A1192" t="s">
        <v>113</v>
      </c>
      <c r="B1192" t="s">
        <v>2407</v>
      </c>
      <c r="C1192" s="7" t="s">
        <v>10</v>
      </c>
      <c r="D1192" t="s">
        <v>116</v>
      </c>
      <c r="E1192" t="s">
        <v>1806</v>
      </c>
      <c r="F1192" t="s">
        <v>1754</v>
      </c>
      <c r="I1192">
        <f t="shared" si="108"/>
        <v>0</v>
      </c>
      <c r="J1192">
        <f t="shared" si="109"/>
        <v>0</v>
      </c>
      <c r="K1192">
        <f t="shared" si="110"/>
        <v>0</v>
      </c>
      <c r="L1192">
        <f t="shared" si="111"/>
        <v>1</v>
      </c>
      <c r="M1192">
        <f t="shared" si="112"/>
        <v>0</v>
      </c>
      <c r="N1192">
        <f t="shared" si="113"/>
        <v>0</v>
      </c>
    </row>
    <row r="1193" spans="1:14" x14ac:dyDescent="0.35">
      <c r="A1193" t="s">
        <v>113</v>
      </c>
      <c r="B1193" t="s">
        <v>2407</v>
      </c>
      <c r="C1193" s="7" t="s">
        <v>10</v>
      </c>
      <c r="D1193" t="s">
        <v>116</v>
      </c>
      <c r="E1193" t="s">
        <v>1822</v>
      </c>
      <c r="F1193" t="s">
        <v>1760</v>
      </c>
      <c r="I1193">
        <f t="shared" si="108"/>
        <v>0</v>
      </c>
      <c r="J1193">
        <f t="shared" si="109"/>
        <v>0</v>
      </c>
      <c r="K1193">
        <f t="shared" si="110"/>
        <v>1</v>
      </c>
      <c r="L1193">
        <f t="shared" si="111"/>
        <v>0</v>
      </c>
      <c r="M1193">
        <f t="shared" si="112"/>
        <v>0</v>
      </c>
      <c r="N1193">
        <f t="shared" si="113"/>
        <v>0</v>
      </c>
    </row>
    <row r="1194" spans="1:14" x14ac:dyDescent="0.35">
      <c r="A1194" t="s">
        <v>113</v>
      </c>
      <c r="B1194" t="s">
        <v>2407</v>
      </c>
      <c r="C1194" s="7" t="s">
        <v>10</v>
      </c>
      <c r="D1194" t="s">
        <v>116</v>
      </c>
      <c r="E1194" t="s">
        <v>1823</v>
      </c>
      <c r="F1194" t="s">
        <v>1760</v>
      </c>
      <c r="I1194">
        <f t="shared" si="108"/>
        <v>0</v>
      </c>
      <c r="J1194">
        <f t="shared" si="109"/>
        <v>0</v>
      </c>
      <c r="K1194">
        <f t="shared" si="110"/>
        <v>1</v>
      </c>
      <c r="L1194">
        <f t="shared" si="111"/>
        <v>0</v>
      </c>
      <c r="M1194">
        <f t="shared" si="112"/>
        <v>0</v>
      </c>
      <c r="N1194">
        <f t="shared" si="113"/>
        <v>0</v>
      </c>
    </row>
    <row r="1195" spans="1:14" x14ac:dyDescent="0.35">
      <c r="A1195" t="s">
        <v>113</v>
      </c>
      <c r="B1195" t="s">
        <v>2407</v>
      </c>
      <c r="C1195" s="7" t="s">
        <v>10</v>
      </c>
      <c r="D1195" t="s">
        <v>116</v>
      </c>
      <c r="E1195" t="s">
        <v>2178</v>
      </c>
      <c r="F1195" t="s">
        <v>1805</v>
      </c>
      <c r="I1195">
        <f t="shared" si="108"/>
        <v>0</v>
      </c>
      <c r="J1195">
        <f t="shared" si="109"/>
        <v>1</v>
      </c>
      <c r="K1195">
        <f t="shared" si="110"/>
        <v>0</v>
      </c>
      <c r="L1195">
        <f t="shared" si="111"/>
        <v>0</v>
      </c>
      <c r="M1195">
        <f t="shared" si="112"/>
        <v>0</v>
      </c>
      <c r="N1195">
        <f t="shared" si="113"/>
        <v>0</v>
      </c>
    </row>
    <row r="1196" spans="1:14" x14ac:dyDescent="0.35">
      <c r="A1196" t="s">
        <v>113</v>
      </c>
      <c r="B1196" t="s">
        <v>2407</v>
      </c>
      <c r="C1196" s="7" t="s">
        <v>10</v>
      </c>
      <c r="D1196" t="s">
        <v>116</v>
      </c>
      <c r="E1196" t="s">
        <v>1911</v>
      </c>
      <c r="F1196" t="s">
        <v>1754</v>
      </c>
      <c r="I1196">
        <f t="shared" si="108"/>
        <v>0</v>
      </c>
      <c r="J1196">
        <f t="shared" si="109"/>
        <v>0</v>
      </c>
      <c r="K1196">
        <f t="shared" si="110"/>
        <v>0</v>
      </c>
      <c r="L1196">
        <f t="shared" si="111"/>
        <v>1</v>
      </c>
      <c r="M1196">
        <f t="shared" si="112"/>
        <v>0</v>
      </c>
      <c r="N1196">
        <f t="shared" si="113"/>
        <v>0</v>
      </c>
    </row>
    <row r="1197" spans="1:14" x14ac:dyDescent="0.35">
      <c r="A1197" t="s">
        <v>113</v>
      </c>
      <c r="B1197" t="s">
        <v>2407</v>
      </c>
      <c r="C1197" s="7" t="s">
        <v>10</v>
      </c>
      <c r="D1197" t="s">
        <v>116</v>
      </c>
      <c r="E1197" t="s">
        <v>1821</v>
      </c>
      <c r="F1197" t="s">
        <v>1760</v>
      </c>
      <c r="I1197">
        <f t="shared" si="108"/>
        <v>0</v>
      </c>
      <c r="J1197">
        <f t="shared" si="109"/>
        <v>0</v>
      </c>
      <c r="K1197">
        <f t="shared" si="110"/>
        <v>1</v>
      </c>
      <c r="L1197">
        <f t="shared" si="111"/>
        <v>0</v>
      </c>
      <c r="M1197">
        <f t="shared" si="112"/>
        <v>0</v>
      </c>
      <c r="N1197">
        <f t="shared" si="113"/>
        <v>0</v>
      </c>
    </row>
    <row r="1198" spans="1:14" x14ac:dyDescent="0.35">
      <c r="A1198" t="s">
        <v>113</v>
      </c>
      <c r="B1198" t="s">
        <v>2407</v>
      </c>
      <c r="C1198" s="7" t="s">
        <v>10</v>
      </c>
      <c r="D1198" t="s">
        <v>116</v>
      </c>
      <c r="E1198" t="s">
        <v>1910</v>
      </c>
      <c r="F1198" t="s">
        <v>1754</v>
      </c>
      <c r="I1198">
        <f t="shared" si="108"/>
        <v>0</v>
      </c>
      <c r="J1198">
        <f t="shared" si="109"/>
        <v>0</v>
      </c>
      <c r="K1198">
        <f t="shared" si="110"/>
        <v>0</v>
      </c>
      <c r="L1198">
        <f t="shared" si="111"/>
        <v>1</v>
      </c>
      <c r="M1198">
        <f t="shared" si="112"/>
        <v>0</v>
      </c>
      <c r="N1198">
        <f t="shared" si="113"/>
        <v>0</v>
      </c>
    </row>
    <row r="1199" spans="1:14" x14ac:dyDescent="0.35">
      <c r="A1199" t="s">
        <v>931</v>
      </c>
      <c r="B1199" t="s">
        <v>2408</v>
      </c>
      <c r="C1199" s="7" t="s">
        <v>10</v>
      </c>
      <c r="D1199" t="s">
        <v>444</v>
      </c>
      <c r="E1199" t="s">
        <v>2159</v>
      </c>
      <c r="F1199" t="s">
        <v>1805</v>
      </c>
      <c r="I1199">
        <f t="shared" si="108"/>
        <v>0</v>
      </c>
      <c r="J1199">
        <f t="shared" si="109"/>
        <v>1</v>
      </c>
      <c r="K1199">
        <f t="shared" si="110"/>
        <v>0</v>
      </c>
      <c r="L1199">
        <f t="shared" si="111"/>
        <v>0</v>
      </c>
      <c r="M1199">
        <f t="shared" si="112"/>
        <v>0</v>
      </c>
      <c r="N1199">
        <f t="shared" si="113"/>
        <v>0</v>
      </c>
    </row>
    <row r="1200" spans="1:14" x14ac:dyDescent="0.35">
      <c r="A1200" t="s">
        <v>163</v>
      </c>
      <c r="B1200" t="s">
        <v>2409</v>
      </c>
      <c r="C1200" s="7" t="s">
        <v>10</v>
      </c>
      <c r="D1200" t="s">
        <v>165</v>
      </c>
      <c r="E1200" t="s">
        <v>1998</v>
      </c>
      <c r="F1200" t="s">
        <v>1886</v>
      </c>
      <c r="I1200">
        <f t="shared" si="108"/>
        <v>0</v>
      </c>
      <c r="J1200">
        <f t="shared" si="109"/>
        <v>0</v>
      </c>
      <c r="K1200">
        <f t="shared" si="110"/>
        <v>0</v>
      </c>
      <c r="L1200">
        <f t="shared" si="111"/>
        <v>0</v>
      </c>
      <c r="M1200">
        <f t="shared" si="112"/>
        <v>0</v>
      </c>
      <c r="N1200">
        <f t="shared" si="113"/>
        <v>0</v>
      </c>
    </row>
    <row r="1201" spans="1:14" x14ac:dyDescent="0.35">
      <c r="A1201" t="s">
        <v>163</v>
      </c>
      <c r="B1201" t="s">
        <v>2409</v>
      </c>
      <c r="C1201" s="7" t="s">
        <v>10</v>
      </c>
      <c r="D1201" t="s">
        <v>165</v>
      </c>
      <c r="E1201" t="s">
        <v>1997</v>
      </c>
      <c r="F1201" t="s">
        <v>1886</v>
      </c>
      <c r="I1201">
        <f t="shared" si="108"/>
        <v>0</v>
      </c>
      <c r="J1201">
        <f t="shared" si="109"/>
        <v>0</v>
      </c>
      <c r="K1201">
        <f t="shared" si="110"/>
        <v>0</v>
      </c>
      <c r="L1201">
        <f t="shared" si="111"/>
        <v>0</v>
      </c>
      <c r="M1201">
        <f t="shared" si="112"/>
        <v>0</v>
      </c>
      <c r="N1201">
        <f t="shared" si="113"/>
        <v>0</v>
      </c>
    </row>
    <row r="1202" spans="1:14" x14ac:dyDescent="0.35">
      <c r="A1202" t="s">
        <v>163</v>
      </c>
      <c r="B1202" t="s">
        <v>2409</v>
      </c>
      <c r="C1202" s="7" t="s">
        <v>10</v>
      </c>
      <c r="D1202" t="s">
        <v>165</v>
      </c>
      <c r="E1202" t="s">
        <v>2000</v>
      </c>
      <c r="F1202" t="s">
        <v>1886</v>
      </c>
      <c r="I1202">
        <f t="shared" si="108"/>
        <v>0</v>
      </c>
      <c r="J1202">
        <f t="shared" si="109"/>
        <v>0</v>
      </c>
      <c r="K1202">
        <f t="shared" si="110"/>
        <v>0</v>
      </c>
      <c r="L1202">
        <f t="shared" si="111"/>
        <v>0</v>
      </c>
      <c r="M1202">
        <f t="shared" si="112"/>
        <v>0</v>
      </c>
      <c r="N1202">
        <f t="shared" si="113"/>
        <v>0</v>
      </c>
    </row>
    <row r="1203" spans="1:14" x14ac:dyDescent="0.35">
      <c r="A1203" t="s">
        <v>163</v>
      </c>
      <c r="B1203" t="s">
        <v>2409</v>
      </c>
      <c r="C1203" s="7" t="s">
        <v>10</v>
      </c>
      <c r="D1203" t="s">
        <v>165</v>
      </c>
      <c r="E1203" t="s">
        <v>1996</v>
      </c>
      <c r="F1203" t="s">
        <v>1886</v>
      </c>
      <c r="I1203">
        <f t="shared" si="108"/>
        <v>0</v>
      </c>
      <c r="J1203">
        <f t="shared" si="109"/>
        <v>0</v>
      </c>
      <c r="K1203">
        <f t="shared" si="110"/>
        <v>0</v>
      </c>
      <c r="L1203">
        <f t="shared" si="111"/>
        <v>0</v>
      </c>
      <c r="M1203">
        <f t="shared" si="112"/>
        <v>0</v>
      </c>
      <c r="N1203">
        <f t="shared" si="113"/>
        <v>0</v>
      </c>
    </row>
    <row r="1204" spans="1:14" x14ac:dyDescent="0.35">
      <c r="A1204" t="s">
        <v>163</v>
      </c>
      <c r="B1204" t="s">
        <v>2409</v>
      </c>
      <c r="C1204" s="7" t="s">
        <v>10</v>
      </c>
      <c r="D1204" t="s">
        <v>165</v>
      </c>
      <c r="E1204" t="s">
        <v>1999</v>
      </c>
      <c r="F1204" t="s">
        <v>1886</v>
      </c>
      <c r="I1204">
        <f t="shared" si="108"/>
        <v>0</v>
      </c>
      <c r="J1204">
        <f t="shared" si="109"/>
        <v>0</v>
      </c>
      <c r="K1204">
        <f t="shared" si="110"/>
        <v>0</v>
      </c>
      <c r="L1204">
        <f t="shared" si="111"/>
        <v>0</v>
      </c>
      <c r="M1204">
        <f t="shared" si="112"/>
        <v>0</v>
      </c>
      <c r="N1204">
        <f t="shared" si="113"/>
        <v>0</v>
      </c>
    </row>
    <row r="1205" spans="1:14" x14ac:dyDescent="0.35">
      <c r="A1205" t="s">
        <v>1589</v>
      </c>
      <c r="B1205" t="s">
        <v>2410</v>
      </c>
      <c r="C1205" s="7" t="s">
        <v>10</v>
      </c>
      <c r="D1205" t="s">
        <v>1591</v>
      </c>
      <c r="E1205" t="s">
        <v>1821</v>
      </c>
      <c r="F1205" t="s">
        <v>1760</v>
      </c>
      <c r="I1205">
        <f t="shared" si="108"/>
        <v>0</v>
      </c>
      <c r="J1205">
        <f t="shared" si="109"/>
        <v>0</v>
      </c>
      <c r="K1205">
        <f t="shared" si="110"/>
        <v>1</v>
      </c>
      <c r="L1205">
        <f t="shared" si="111"/>
        <v>0</v>
      </c>
      <c r="M1205">
        <f t="shared" si="112"/>
        <v>0</v>
      </c>
      <c r="N1205">
        <f t="shared" si="113"/>
        <v>0</v>
      </c>
    </row>
    <row r="1206" spans="1:14" x14ac:dyDescent="0.35">
      <c r="A1206" t="s">
        <v>1589</v>
      </c>
      <c r="B1206" t="s">
        <v>2410</v>
      </c>
      <c r="C1206" s="7" t="s">
        <v>10</v>
      </c>
      <c r="D1206" t="s">
        <v>1591</v>
      </c>
      <c r="E1206" t="s">
        <v>1972</v>
      </c>
      <c r="F1206" t="s">
        <v>1760</v>
      </c>
      <c r="I1206">
        <f t="shared" si="108"/>
        <v>0</v>
      </c>
      <c r="J1206">
        <f t="shared" si="109"/>
        <v>0</v>
      </c>
      <c r="K1206">
        <f t="shared" si="110"/>
        <v>1</v>
      </c>
      <c r="L1206">
        <f t="shared" si="111"/>
        <v>0</v>
      </c>
      <c r="M1206">
        <f t="shared" si="112"/>
        <v>0</v>
      </c>
      <c r="N1206">
        <f t="shared" si="113"/>
        <v>0</v>
      </c>
    </row>
    <row r="1207" spans="1:14" x14ac:dyDescent="0.35">
      <c r="A1207" t="s">
        <v>1589</v>
      </c>
      <c r="B1207" t="s">
        <v>2410</v>
      </c>
      <c r="C1207" s="7" t="s">
        <v>10</v>
      </c>
      <c r="D1207" t="s">
        <v>1591</v>
      </c>
      <c r="E1207" t="s">
        <v>1841</v>
      </c>
      <c r="F1207" t="s">
        <v>1760</v>
      </c>
      <c r="I1207">
        <f t="shared" si="108"/>
        <v>0</v>
      </c>
      <c r="J1207">
        <f t="shared" si="109"/>
        <v>0</v>
      </c>
      <c r="K1207">
        <f t="shared" si="110"/>
        <v>1</v>
      </c>
      <c r="L1207">
        <f t="shared" si="111"/>
        <v>0</v>
      </c>
      <c r="M1207">
        <f t="shared" si="112"/>
        <v>0</v>
      </c>
      <c r="N1207">
        <f t="shared" si="113"/>
        <v>0</v>
      </c>
    </row>
    <row r="1208" spans="1:14" x14ac:dyDescent="0.35">
      <c r="A1208" t="s">
        <v>1589</v>
      </c>
      <c r="B1208" t="s">
        <v>2410</v>
      </c>
      <c r="C1208" s="7" t="s">
        <v>10</v>
      </c>
      <c r="D1208" t="s">
        <v>1591</v>
      </c>
      <c r="E1208" t="s">
        <v>1843</v>
      </c>
      <c r="F1208" t="s">
        <v>1760</v>
      </c>
      <c r="I1208">
        <f t="shared" si="108"/>
        <v>0</v>
      </c>
      <c r="J1208">
        <f t="shared" si="109"/>
        <v>0</v>
      </c>
      <c r="K1208">
        <f t="shared" si="110"/>
        <v>1</v>
      </c>
      <c r="L1208">
        <f t="shared" si="111"/>
        <v>0</v>
      </c>
      <c r="M1208">
        <f t="shared" si="112"/>
        <v>0</v>
      </c>
      <c r="N1208">
        <f t="shared" si="113"/>
        <v>0</v>
      </c>
    </row>
    <row r="1209" spans="1:14" x14ac:dyDescent="0.35">
      <c r="A1209" t="s">
        <v>1589</v>
      </c>
      <c r="B1209" t="s">
        <v>2410</v>
      </c>
      <c r="C1209" s="7" t="s">
        <v>10</v>
      </c>
      <c r="D1209" t="s">
        <v>1591</v>
      </c>
      <c r="E1209" t="s">
        <v>1842</v>
      </c>
      <c r="F1209" t="s">
        <v>1760</v>
      </c>
      <c r="I1209">
        <f t="shared" si="108"/>
        <v>0</v>
      </c>
      <c r="J1209">
        <f t="shared" si="109"/>
        <v>0</v>
      </c>
      <c r="K1209">
        <f t="shared" si="110"/>
        <v>1</v>
      </c>
      <c r="L1209">
        <f t="shared" si="111"/>
        <v>0</v>
      </c>
      <c r="M1209">
        <f t="shared" si="112"/>
        <v>0</v>
      </c>
      <c r="N1209">
        <f t="shared" si="113"/>
        <v>0</v>
      </c>
    </row>
    <row r="1210" spans="1:14" x14ac:dyDescent="0.35">
      <c r="A1210" t="s">
        <v>918</v>
      </c>
      <c r="B1210" t="s">
        <v>2411</v>
      </c>
      <c r="C1210" s="7" t="s">
        <v>10</v>
      </c>
      <c r="D1210" t="s">
        <v>152</v>
      </c>
      <c r="E1210" t="s">
        <v>1894</v>
      </c>
      <c r="F1210" t="s">
        <v>1754</v>
      </c>
      <c r="I1210">
        <f t="shared" si="108"/>
        <v>0</v>
      </c>
      <c r="J1210">
        <f t="shared" si="109"/>
        <v>0</v>
      </c>
      <c r="K1210">
        <f t="shared" si="110"/>
        <v>0</v>
      </c>
      <c r="L1210">
        <f t="shared" si="111"/>
        <v>1</v>
      </c>
      <c r="M1210">
        <f t="shared" si="112"/>
        <v>0</v>
      </c>
      <c r="N1210">
        <f t="shared" si="113"/>
        <v>0</v>
      </c>
    </row>
    <row r="1211" spans="1:14" x14ac:dyDescent="0.35">
      <c r="A1211" t="s">
        <v>918</v>
      </c>
      <c r="B1211" t="s">
        <v>2411</v>
      </c>
      <c r="C1211" s="7" t="s">
        <v>10</v>
      </c>
      <c r="D1211" t="s">
        <v>152</v>
      </c>
      <c r="E1211" t="s">
        <v>1828</v>
      </c>
      <c r="F1211" t="s">
        <v>1754</v>
      </c>
      <c r="I1211">
        <f t="shared" si="108"/>
        <v>0</v>
      </c>
      <c r="J1211">
        <f t="shared" si="109"/>
        <v>0</v>
      </c>
      <c r="K1211">
        <f t="shared" si="110"/>
        <v>0</v>
      </c>
      <c r="L1211">
        <f t="shared" si="111"/>
        <v>1</v>
      </c>
      <c r="M1211">
        <f t="shared" si="112"/>
        <v>0</v>
      </c>
      <c r="N1211">
        <f t="shared" si="113"/>
        <v>0</v>
      </c>
    </row>
    <row r="1212" spans="1:14" x14ac:dyDescent="0.35">
      <c r="A1212" t="s">
        <v>918</v>
      </c>
      <c r="B1212" t="s">
        <v>2411</v>
      </c>
      <c r="C1212" s="7" t="s">
        <v>10</v>
      </c>
      <c r="D1212" t="s">
        <v>152</v>
      </c>
      <c r="E1212" t="s">
        <v>1896</v>
      </c>
      <c r="F1212" t="s">
        <v>1754</v>
      </c>
      <c r="I1212">
        <f t="shared" si="108"/>
        <v>0</v>
      </c>
      <c r="J1212">
        <f t="shared" si="109"/>
        <v>0</v>
      </c>
      <c r="K1212">
        <f t="shared" si="110"/>
        <v>0</v>
      </c>
      <c r="L1212">
        <f t="shared" si="111"/>
        <v>1</v>
      </c>
      <c r="M1212">
        <f t="shared" si="112"/>
        <v>0</v>
      </c>
      <c r="N1212">
        <f t="shared" si="113"/>
        <v>0</v>
      </c>
    </row>
    <row r="1213" spans="1:14" x14ac:dyDescent="0.35">
      <c r="A1213" t="s">
        <v>606</v>
      </c>
      <c r="B1213" t="s">
        <v>2412</v>
      </c>
      <c r="C1213" s="7" t="s">
        <v>10</v>
      </c>
      <c r="D1213" t="s">
        <v>55</v>
      </c>
      <c r="E1213" t="s">
        <v>2106</v>
      </c>
      <c r="F1213" t="s">
        <v>1805</v>
      </c>
      <c r="I1213">
        <f t="shared" si="108"/>
        <v>0</v>
      </c>
      <c r="J1213">
        <f t="shared" si="109"/>
        <v>1</v>
      </c>
      <c r="K1213">
        <f t="shared" si="110"/>
        <v>0</v>
      </c>
      <c r="L1213">
        <f t="shared" si="111"/>
        <v>0</v>
      </c>
      <c r="M1213">
        <f t="shared" si="112"/>
        <v>0</v>
      </c>
      <c r="N1213">
        <f t="shared" si="113"/>
        <v>0</v>
      </c>
    </row>
    <row r="1214" spans="1:14" x14ac:dyDescent="0.35">
      <c r="A1214" t="s">
        <v>833</v>
      </c>
      <c r="B1214" t="s">
        <v>2413</v>
      </c>
      <c r="C1214" s="7" t="s">
        <v>10</v>
      </c>
      <c r="D1214" t="s">
        <v>55</v>
      </c>
      <c r="E1214" t="s">
        <v>2068</v>
      </c>
      <c r="F1214" t="s">
        <v>1754</v>
      </c>
      <c r="I1214">
        <f t="shared" si="108"/>
        <v>0</v>
      </c>
      <c r="J1214">
        <f t="shared" si="109"/>
        <v>0</v>
      </c>
      <c r="K1214">
        <f t="shared" si="110"/>
        <v>0</v>
      </c>
      <c r="L1214">
        <f t="shared" si="111"/>
        <v>1</v>
      </c>
      <c r="M1214">
        <f t="shared" si="112"/>
        <v>0</v>
      </c>
      <c r="N1214">
        <f t="shared" si="113"/>
        <v>0</v>
      </c>
    </row>
    <row r="1215" spans="1:14" x14ac:dyDescent="0.35">
      <c r="A1215" t="s">
        <v>833</v>
      </c>
      <c r="B1215" t="s">
        <v>2413</v>
      </c>
      <c r="C1215" s="7" t="s">
        <v>10</v>
      </c>
      <c r="D1215" t="s">
        <v>55</v>
      </c>
      <c r="E1215" t="s">
        <v>2069</v>
      </c>
      <c r="F1215" t="s">
        <v>1754</v>
      </c>
      <c r="I1215">
        <f t="shared" si="108"/>
        <v>0</v>
      </c>
      <c r="J1215">
        <f t="shared" si="109"/>
        <v>0</v>
      </c>
      <c r="K1215">
        <f t="shared" si="110"/>
        <v>0</v>
      </c>
      <c r="L1215">
        <f t="shared" si="111"/>
        <v>1</v>
      </c>
      <c r="M1215">
        <f t="shared" si="112"/>
        <v>0</v>
      </c>
      <c r="N1215">
        <f t="shared" si="113"/>
        <v>0</v>
      </c>
    </row>
    <row r="1216" spans="1:14" x14ac:dyDescent="0.35">
      <c r="A1216" t="s">
        <v>833</v>
      </c>
      <c r="B1216" t="s">
        <v>2413</v>
      </c>
      <c r="C1216" s="7" t="s">
        <v>10</v>
      </c>
      <c r="D1216" t="s">
        <v>55</v>
      </c>
      <c r="E1216" t="s">
        <v>1810</v>
      </c>
      <c r="F1216" t="s">
        <v>1754</v>
      </c>
      <c r="I1216">
        <f t="shared" si="108"/>
        <v>0</v>
      </c>
      <c r="J1216">
        <f t="shared" si="109"/>
        <v>0</v>
      </c>
      <c r="K1216">
        <f t="shared" si="110"/>
        <v>0</v>
      </c>
      <c r="L1216">
        <f t="shared" si="111"/>
        <v>1</v>
      </c>
      <c r="M1216">
        <f t="shared" si="112"/>
        <v>0</v>
      </c>
      <c r="N1216">
        <f t="shared" si="113"/>
        <v>0</v>
      </c>
    </row>
    <row r="1217" spans="1:14" x14ac:dyDescent="0.35">
      <c r="A1217" t="s">
        <v>833</v>
      </c>
      <c r="B1217" t="s">
        <v>2413</v>
      </c>
      <c r="C1217" s="7" t="s">
        <v>10</v>
      </c>
      <c r="D1217" t="s">
        <v>55</v>
      </c>
      <c r="E1217" t="s">
        <v>2070</v>
      </c>
      <c r="F1217" t="s">
        <v>1754</v>
      </c>
      <c r="I1217">
        <f t="shared" si="108"/>
        <v>0</v>
      </c>
      <c r="J1217">
        <f t="shared" si="109"/>
        <v>0</v>
      </c>
      <c r="K1217">
        <f t="shared" si="110"/>
        <v>0</v>
      </c>
      <c r="L1217">
        <f t="shared" si="111"/>
        <v>1</v>
      </c>
      <c r="M1217">
        <f t="shared" si="112"/>
        <v>0</v>
      </c>
      <c r="N1217">
        <f t="shared" si="113"/>
        <v>0</v>
      </c>
    </row>
    <row r="1218" spans="1:14" x14ac:dyDescent="0.35">
      <c r="A1218" t="s">
        <v>216</v>
      </c>
      <c r="B1218" t="s">
        <v>2414</v>
      </c>
      <c r="C1218" s="7" t="s">
        <v>10</v>
      </c>
      <c r="D1218" t="s">
        <v>55</v>
      </c>
      <c r="E1218" t="s">
        <v>2325</v>
      </c>
      <c r="F1218" t="s">
        <v>1886</v>
      </c>
      <c r="I1218">
        <f t="shared" si="108"/>
        <v>0</v>
      </c>
      <c r="J1218">
        <f t="shared" si="109"/>
        <v>0</v>
      </c>
      <c r="K1218">
        <f t="shared" si="110"/>
        <v>0</v>
      </c>
      <c r="L1218">
        <f t="shared" si="111"/>
        <v>0</v>
      </c>
      <c r="M1218">
        <f t="shared" si="112"/>
        <v>0</v>
      </c>
      <c r="N1218">
        <f t="shared" si="113"/>
        <v>0</v>
      </c>
    </row>
    <row r="1219" spans="1:14" x14ac:dyDescent="0.35">
      <c r="A1219" t="s">
        <v>216</v>
      </c>
      <c r="B1219" t="s">
        <v>2414</v>
      </c>
      <c r="C1219" s="7" t="s">
        <v>10</v>
      </c>
      <c r="D1219" t="s">
        <v>55</v>
      </c>
      <c r="E1219" t="s">
        <v>1885</v>
      </c>
      <c r="F1219" t="s">
        <v>1886</v>
      </c>
      <c r="I1219">
        <f t="shared" ref="I1219:I1282" si="114">IF($F1219=$F$1,1,0)</f>
        <v>0</v>
      </c>
      <c r="J1219">
        <f t="shared" ref="J1219:J1282" si="115">IF($F1219=$J$1,1,0)</f>
        <v>0</v>
      </c>
      <c r="K1219">
        <f t="shared" ref="K1219:K1282" si="116">IF($F1219=$K$1,1,0)</f>
        <v>0</v>
      </c>
      <c r="L1219">
        <f t="shared" ref="L1219:L1282" si="117">IF($F1219=$L$1,1,0)</f>
        <v>0</v>
      </c>
      <c r="M1219">
        <f t="shared" ref="M1219:M1282" si="118">IF($F1219=$M$1,1,0)</f>
        <v>0</v>
      </c>
      <c r="N1219">
        <f t="shared" ref="N1219:N1282" si="119">IF($G1219&lt;&gt;"",1,0)</f>
        <v>0</v>
      </c>
    </row>
    <row r="1220" spans="1:14" x14ac:dyDescent="0.35">
      <c r="A1220" t="s">
        <v>216</v>
      </c>
      <c r="B1220" t="s">
        <v>2414</v>
      </c>
      <c r="C1220" s="7" t="s">
        <v>10</v>
      </c>
      <c r="D1220" t="s">
        <v>55</v>
      </c>
      <c r="E1220" t="s">
        <v>1996</v>
      </c>
      <c r="F1220" t="s">
        <v>1886</v>
      </c>
      <c r="I1220">
        <f t="shared" si="114"/>
        <v>0</v>
      </c>
      <c r="J1220">
        <f t="shared" si="115"/>
        <v>0</v>
      </c>
      <c r="K1220">
        <f t="shared" si="116"/>
        <v>0</v>
      </c>
      <c r="L1220">
        <f t="shared" si="117"/>
        <v>0</v>
      </c>
      <c r="M1220">
        <f t="shared" si="118"/>
        <v>0</v>
      </c>
      <c r="N1220">
        <f t="shared" si="119"/>
        <v>0</v>
      </c>
    </row>
    <row r="1221" spans="1:14" x14ac:dyDescent="0.35">
      <c r="A1221" t="s">
        <v>216</v>
      </c>
      <c r="B1221" t="s">
        <v>2414</v>
      </c>
      <c r="C1221" s="7" t="s">
        <v>10</v>
      </c>
      <c r="D1221" t="s">
        <v>55</v>
      </c>
      <c r="E1221" t="s">
        <v>2235</v>
      </c>
      <c r="F1221" t="s">
        <v>1886</v>
      </c>
      <c r="I1221">
        <f t="shared" si="114"/>
        <v>0</v>
      </c>
      <c r="J1221">
        <f t="shared" si="115"/>
        <v>0</v>
      </c>
      <c r="K1221">
        <f t="shared" si="116"/>
        <v>0</v>
      </c>
      <c r="L1221">
        <f t="shared" si="117"/>
        <v>0</v>
      </c>
      <c r="M1221">
        <f t="shared" si="118"/>
        <v>0</v>
      </c>
      <c r="N1221">
        <f t="shared" si="119"/>
        <v>0</v>
      </c>
    </row>
    <row r="1222" spans="1:14" x14ac:dyDescent="0.35">
      <c r="A1222" t="s">
        <v>1506</v>
      </c>
      <c r="B1222" t="s">
        <v>2415</v>
      </c>
      <c r="C1222" s="7" t="s">
        <v>10</v>
      </c>
      <c r="D1222" t="s">
        <v>97</v>
      </c>
      <c r="E1222" t="s">
        <v>2416</v>
      </c>
      <c r="F1222" t="s">
        <v>1754</v>
      </c>
      <c r="I1222">
        <f t="shared" si="114"/>
        <v>0</v>
      </c>
      <c r="J1222">
        <f t="shared" si="115"/>
        <v>0</v>
      </c>
      <c r="K1222">
        <f t="shared" si="116"/>
        <v>0</v>
      </c>
      <c r="L1222">
        <f t="shared" si="117"/>
        <v>1</v>
      </c>
      <c r="M1222">
        <f t="shared" si="118"/>
        <v>0</v>
      </c>
      <c r="N1222">
        <f t="shared" si="119"/>
        <v>0</v>
      </c>
    </row>
    <row r="1223" spans="1:14" x14ac:dyDescent="0.35">
      <c r="A1223" t="s">
        <v>1617</v>
      </c>
      <c r="B1223" t="s">
        <v>2417</v>
      </c>
      <c r="C1223" s="7" t="s">
        <v>10</v>
      </c>
      <c r="D1223" t="s">
        <v>55</v>
      </c>
      <c r="E1223" t="s">
        <v>1806</v>
      </c>
      <c r="F1223" t="s">
        <v>1754</v>
      </c>
      <c r="I1223">
        <f t="shared" si="114"/>
        <v>0</v>
      </c>
      <c r="J1223">
        <f t="shared" si="115"/>
        <v>0</v>
      </c>
      <c r="K1223">
        <f t="shared" si="116"/>
        <v>0</v>
      </c>
      <c r="L1223">
        <f t="shared" si="117"/>
        <v>1</v>
      </c>
      <c r="M1223">
        <f t="shared" si="118"/>
        <v>0</v>
      </c>
      <c r="N1223">
        <f t="shared" si="119"/>
        <v>0</v>
      </c>
    </row>
    <row r="1224" spans="1:14" x14ac:dyDescent="0.35">
      <c r="A1224" t="s">
        <v>1617</v>
      </c>
      <c r="B1224" t="s">
        <v>2417</v>
      </c>
      <c r="C1224" s="7" t="s">
        <v>10</v>
      </c>
      <c r="D1224" t="s">
        <v>55</v>
      </c>
      <c r="E1224" t="s">
        <v>1807</v>
      </c>
      <c r="F1224" t="s">
        <v>1754</v>
      </c>
      <c r="I1224">
        <f t="shared" si="114"/>
        <v>0</v>
      </c>
      <c r="J1224">
        <f t="shared" si="115"/>
        <v>0</v>
      </c>
      <c r="K1224">
        <f t="shared" si="116"/>
        <v>0</v>
      </c>
      <c r="L1224">
        <f t="shared" si="117"/>
        <v>1</v>
      </c>
      <c r="M1224">
        <f t="shared" si="118"/>
        <v>0</v>
      </c>
      <c r="N1224">
        <f t="shared" si="119"/>
        <v>0</v>
      </c>
    </row>
    <row r="1225" spans="1:14" x14ac:dyDescent="0.35">
      <c r="A1225" t="s">
        <v>1617</v>
      </c>
      <c r="B1225" t="s">
        <v>2417</v>
      </c>
      <c r="C1225" s="7" t="s">
        <v>10</v>
      </c>
      <c r="D1225" t="s">
        <v>55</v>
      </c>
      <c r="E1225" t="s">
        <v>1883</v>
      </c>
      <c r="F1225" t="s">
        <v>1754</v>
      </c>
      <c r="I1225">
        <f t="shared" si="114"/>
        <v>0</v>
      </c>
      <c r="J1225">
        <f t="shared" si="115"/>
        <v>0</v>
      </c>
      <c r="K1225">
        <f t="shared" si="116"/>
        <v>0</v>
      </c>
      <c r="L1225">
        <f t="shared" si="117"/>
        <v>1</v>
      </c>
      <c r="M1225">
        <f t="shared" si="118"/>
        <v>0</v>
      </c>
      <c r="N1225">
        <f t="shared" si="119"/>
        <v>0</v>
      </c>
    </row>
    <row r="1226" spans="1:14" x14ac:dyDescent="0.35">
      <c r="A1226" t="s">
        <v>1617</v>
      </c>
      <c r="B1226" t="s">
        <v>2417</v>
      </c>
      <c r="C1226" s="7" t="s">
        <v>10</v>
      </c>
      <c r="D1226" t="s">
        <v>55</v>
      </c>
      <c r="E1226" t="s">
        <v>2418</v>
      </c>
      <c r="F1226" t="s">
        <v>1754</v>
      </c>
      <c r="I1226">
        <f t="shared" si="114"/>
        <v>0</v>
      </c>
      <c r="J1226">
        <f t="shared" si="115"/>
        <v>0</v>
      </c>
      <c r="K1226">
        <f t="shared" si="116"/>
        <v>0</v>
      </c>
      <c r="L1226">
        <f t="shared" si="117"/>
        <v>1</v>
      </c>
      <c r="M1226">
        <f t="shared" si="118"/>
        <v>0</v>
      </c>
      <c r="N1226">
        <f t="shared" si="119"/>
        <v>0</v>
      </c>
    </row>
    <row r="1227" spans="1:14" x14ac:dyDescent="0.35">
      <c r="A1227" t="s">
        <v>1286</v>
      </c>
      <c r="B1227" t="s">
        <v>2419</v>
      </c>
      <c r="C1227" s="7" t="s">
        <v>10</v>
      </c>
      <c r="D1227" t="s">
        <v>55</v>
      </c>
      <c r="E1227" t="s">
        <v>2420</v>
      </c>
      <c r="F1227" t="s">
        <v>1727</v>
      </c>
      <c r="I1227">
        <f t="shared" si="114"/>
        <v>0</v>
      </c>
      <c r="J1227">
        <f t="shared" si="115"/>
        <v>0</v>
      </c>
      <c r="K1227">
        <f t="shared" si="116"/>
        <v>0</v>
      </c>
      <c r="L1227">
        <f t="shared" si="117"/>
        <v>0</v>
      </c>
      <c r="M1227">
        <f t="shared" si="118"/>
        <v>1</v>
      </c>
      <c r="N1227">
        <f t="shared" si="119"/>
        <v>0</v>
      </c>
    </row>
    <row r="1228" spans="1:14" x14ac:dyDescent="0.35">
      <c r="A1228" t="s">
        <v>1143</v>
      </c>
      <c r="B1228" t="s">
        <v>2421</v>
      </c>
      <c r="C1228" s="7" t="s">
        <v>10</v>
      </c>
      <c r="D1228" t="s">
        <v>1145</v>
      </c>
      <c r="E1228" t="s">
        <v>1894</v>
      </c>
      <c r="F1228" t="s">
        <v>1754</v>
      </c>
      <c r="I1228">
        <f t="shared" si="114"/>
        <v>0</v>
      </c>
      <c r="J1228">
        <f t="shared" si="115"/>
        <v>0</v>
      </c>
      <c r="K1228">
        <f t="shared" si="116"/>
        <v>0</v>
      </c>
      <c r="L1228">
        <f t="shared" si="117"/>
        <v>1</v>
      </c>
      <c r="M1228">
        <f t="shared" si="118"/>
        <v>0</v>
      </c>
      <c r="N1228">
        <f t="shared" si="119"/>
        <v>0</v>
      </c>
    </row>
    <row r="1229" spans="1:14" x14ac:dyDescent="0.35">
      <c r="A1229" t="s">
        <v>1143</v>
      </c>
      <c r="B1229" t="s">
        <v>2421</v>
      </c>
      <c r="C1229" s="7" t="s">
        <v>10</v>
      </c>
      <c r="D1229" t="s">
        <v>1145</v>
      </c>
      <c r="E1229" t="s">
        <v>1896</v>
      </c>
      <c r="F1229" t="s">
        <v>1754</v>
      </c>
      <c r="I1229">
        <f t="shared" si="114"/>
        <v>0</v>
      </c>
      <c r="J1229">
        <f t="shared" si="115"/>
        <v>0</v>
      </c>
      <c r="K1229">
        <f t="shared" si="116"/>
        <v>0</v>
      </c>
      <c r="L1229">
        <f t="shared" si="117"/>
        <v>1</v>
      </c>
      <c r="M1229">
        <f t="shared" si="118"/>
        <v>0</v>
      </c>
      <c r="N1229">
        <f t="shared" si="119"/>
        <v>0</v>
      </c>
    </row>
    <row r="1230" spans="1:14" x14ac:dyDescent="0.35">
      <c r="A1230" t="s">
        <v>1143</v>
      </c>
      <c r="B1230" t="s">
        <v>2421</v>
      </c>
      <c r="C1230" s="7" t="s">
        <v>10</v>
      </c>
      <c r="D1230" t="s">
        <v>1145</v>
      </c>
      <c r="E1230" t="s">
        <v>1828</v>
      </c>
      <c r="F1230" t="s">
        <v>1754</v>
      </c>
      <c r="I1230">
        <f t="shared" si="114"/>
        <v>0</v>
      </c>
      <c r="J1230">
        <f t="shared" si="115"/>
        <v>0</v>
      </c>
      <c r="K1230">
        <f t="shared" si="116"/>
        <v>0</v>
      </c>
      <c r="L1230">
        <f t="shared" si="117"/>
        <v>1</v>
      </c>
      <c r="M1230">
        <f t="shared" si="118"/>
        <v>0</v>
      </c>
      <c r="N1230">
        <f t="shared" si="119"/>
        <v>0</v>
      </c>
    </row>
    <row r="1231" spans="1:14" x14ac:dyDescent="0.35">
      <c r="A1231" t="s">
        <v>1071</v>
      </c>
      <c r="B1231" t="s">
        <v>2422</v>
      </c>
      <c r="C1231" s="7" t="s">
        <v>10</v>
      </c>
      <c r="D1231" t="s">
        <v>1072</v>
      </c>
      <c r="E1231" t="s">
        <v>1894</v>
      </c>
      <c r="F1231" t="s">
        <v>1754</v>
      </c>
      <c r="I1231">
        <f t="shared" si="114"/>
        <v>0</v>
      </c>
      <c r="J1231">
        <f t="shared" si="115"/>
        <v>0</v>
      </c>
      <c r="K1231">
        <f t="shared" si="116"/>
        <v>0</v>
      </c>
      <c r="L1231">
        <f t="shared" si="117"/>
        <v>1</v>
      </c>
      <c r="M1231">
        <f t="shared" si="118"/>
        <v>0</v>
      </c>
      <c r="N1231">
        <f t="shared" si="119"/>
        <v>0</v>
      </c>
    </row>
    <row r="1232" spans="1:14" x14ac:dyDescent="0.35">
      <c r="A1232" t="s">
        <v>1071</v>
      </c>
      <c r="B1232" t="s">
        <v>2422</v>
      </c>
      <c r="C1232" s="7" t="s">
        <v>10</v>
      </c>
      <c r="D1232" t="s">
        <v>1072</v>
      </c>
      <c r="E1232" t="s">
        <v>1807</v>
      </c>
      <c r="F1232" t="s">
        <v>1754</v>
      </c>
      <c r="I1232">
        <f t="shared" si="114"/>
        <v>0</v>
      </c>
      <c r="J1232">
        <f t="shared" si="115"/>
        <v>0</v>
      </c>
      <c r="K1232">
        <f t="shared" si="116"/>
        <v>0</v>
      </c>
      <c r="L1232">
        <f t="shared" si="117"/>
        <v>1</v>
      </c>
      <c r="M1232">
        <f t="shared" si="118"/>
        <v>0</v>
      </c>
      <c r="N1232">
        <f t="shared" si="119"/>
        <v>0</v>
      </c>
    </row>
    <row r="1233" spans="1:14" x14ac:dyDescent="0.35">
      <c r="A1233" t="s">
        <v>1071</v>
      </c>
      <c r="B1233" t="s">
        <v>2422</v>
      </c>
      <c r="C1233" s="7" t="s">
        <v>10</v>
      </c>
      <c r="D1233" t="s">
        <v>1072</v>
      </c>
      <c r="E1233" t="s">
        <v>1896</v>
      </c>
      <c r="F1233" t="s">
        <v>1754</v>
      </c>
      <c r="I1233">
        <f t="shared" si="114"/>
        <v>0</v>
      </c>
      <c r="J1233">
        <f t="shared" si="115"/>
        <v>0</v>
      </c>
      <c r="K1233">
        <f t="shared" si="116"/>
        <v>0</v>
      </c>
      <c r="L1233">
        <f t="shared" si="117"/>
        <v>1</v>
      </c>
      <c r="M1233">
        <f t="shared" si="118"/>
        <v>0</v>
      </c>
      <c r="N1233">
        <f t="shared" si="119"/>
        <v>0</v>
      </c>
    </row>
    <row r="1234" spans="1:14" x14ac:dyDescent="0.35">
      <c r="A1234" t="s">
        <v>1071</v>
      </c>
      <c r="B1234" t="s">
        <v>2422</v>
      </c>
      <c r="C1234" s="7" t="s">
        <v>10</v>
      </c>
      <c r="D1234" t="s">
        <v>1072</v>
      </c>
      <c r="E1234" t="s">
        <v>1806</v>
      </c>
      <c r="F1234" t="s">
        <v>1754</v>
      </c>
      <c r="I1234">
        <f t="shared" si="114"/>
        <v>0</v>
      </c>
      <c r="J1234">
        <f t="shared" si="115"/>
        <v>0</v>
      </c>
      <c r="K1234">
        <f t="shared" si="116"/>
        <v>0</v>
      </c>
      <c r="L1234">
        <f t="shared" si="117"/>
        <v>1</v>
      </c>
      <c r="M1234">
        <f t="shared" si="118"/>
        <v>0</v>
      </c>
      <c r="N1234">
        <f t="shared" si="119"/>
        <v>0</v>
      </c>
    </row>
    <row r="1235" spans="1:14" x14ac:dyDescent="0.35">
      <c r="A1235" t="s">
        <v>841</v>
      </c>
      <c r="B1235" t="s">
        <v>2423</v>
      </c>
      <c r="C1235" s="7" t="s">
        <v>10</v>
      </c>
      <c r="D1235" t="s">
        <v>844</v>
      </c>
      <c r="E1235" t="s">
        <v>2424</v>
      </c>
      <c r="F1235" t="s">
        <v>1727</v>
      </c>
      <c r="G1235" t="s">
        <v>2425</v>
      </c>
      <c r="H1235" t="s">
        <v>2342</v>
      </c>
      <c r="I1235">
        <f t="shared" si="114"/>
        <v>0</v>
      </c>
      <c r="J1235">
        <f t="shared" si="115"/>
        <v>0</v>
      </c>
      <c r="K1235">
        <f t="shared" si="116"/>
        <v>0</v>
      </c>
      <c r="L1235">
        <f t="shared" si="117"/>
        <v>0</v>
      </c>
      <c r="M1235">
        <f t="shared" si="118"/>
        <v>1</v>
      </c>
      <c r="N1235">
        <f t="shared" si="119"/>
        <v>1</v>
      </c>
    </row>
    <row r="1236" spans="1:14" x14ac:dyDescent="0.35">
      <c r="A1236" t="s">
        <v>841</v>
      </c>
      <c r="B1236" t="s">
        <v>2423</v>
      </c>
      <c r="C1236" s="7" t="s">
        <v>10</v>
      </c>
      <c r="D1236" t="s">
        <v>844</v>
      </c>
      <c r="E1236" t="s">
        <v>2426</v>
      </c>
      <c r="F1236" t="s">
        <v>1727</v>
      </c>
      <c r="G1236" t="s">
        <v>2425</v>
      </c>
      <c r="H1236" t="s">
        <v>2342</v>
      </c>
      <c r="I1236">
        <f t="shared" si="114"/>
        <v>0</v>
      </c>
      <c r="J1236">
        <f t="shared" si="115"/>
        <v>0</v>
      </c>
      <c r="K1236">
        <f t="shared" si="116"/>
        <v>0</v>
      </c>
      <c r="L1236">
        <f t="shared" si="117"/>
        <v>0</v>
      </c>
      <c r="M1236">
        <f t="shared" si="118"/>
        <v>1</v>
      </c>
      <c r="N1236">
        <f t="shared" si="119"/>
        <v>1</v>
      </c>
    </row>
    <row r="1237" spans="1:14" x14ac:dyDescent="0.35">
      <c r="A1237" t="s">
        <v>841</v>
      </c>
      <c r="B1237" t="s">
        <v>2423</v>
      </c>
      <c r="C1237" s="7" t="s">
        <v>10</v>
      </c>
      <c r="D1237" t="s">
        <v>844</v>
      </c>
      <c r="E1237" t="s">
        <v>2278</v>
      </c>
      <c r="F1237" t="s">
        <v>1727</v>
      </c>
      <c r="G1237" t="s">
        <v>2425</v>
      </c>
      <c r="H1237" t="s">
        <v>2342</v>
      </c>
      <c r="I1237">
        <f t="shared" si="114"/>
        <v>0</v>
      </c>
      <c r="J1237">
        <f t="shared" si="115"/>
        <v>0</v>
      </c>
      <c r="K1237">
        <f t="shared" si="116"/>
        <v>0</v>
      </c>
      <c r="L1237">
        <f t="shared" si="117"/>
        <v>0</v>
      </c>
      <c r="M1237">
        <f t="shared" si="118"/>
        <v>1</v>
      </c>
      <c r="N1237">
        <f t="shared" si="119"/>
        <v>1</v>
      </c>
    </row>
    <row r="1238" spans="1:14" x14ac:dyDescent="0.35">
      <c r="A1238" t="s">
        <v>792</v>
      </c>
      <c r="B1238" t="s">
        <v>2427</v>
      </c>
      <c r="C1238" s="7" t="s">
        <v>10</v>
      </c>
      <c r="D1238" t="s">
        <v>55</v>
      </c>
      <c r="E1238" t="s">
        <v>1822</v>
      </c>
      <c r="F1238" t="s">
        <v>1760</v>
      </c>
      <c r="I1238">
        <f t="shared" si="114"/>
        <v>0</v>
      </c>
      <c r="J1238">
        <f t="shared" si="115"/>
        <v>0</v>
      </c>
      <c r="K1238">
        <f t="shared" si="116"/>
        <v>1</v>
      </c>
      <c r="L1238">
        <f t="shared" si="117"/>
        <v>0</v>
      </c>
      <c r="M1238">
        <f t="shared" si="118"/>
        <v>0</v>
      </c>
      <c r="N1238">
        <f t="shared" si="119"/>
        <v>0</v>
      </c>
    </row>
    <row r="1239" spans="1:14" x14ac:dyDescent="0.35">
      <c r="A1239" t="s">
        <v>792</v>
      </c>
      <c r="B1239" t="s">
        <v>2427</v>
      </c>
      <c r="C1239" s="7" t="s">
        <v>10</v>
      </c>
      <c r="D1239" t="s">
        <v>55</v>
      </c>
      <c r="E1239" t="s">
        <v>1821</v>
      </c>
      <c r="F1239" t="s">
        <v>1760</v>
      </c>
      <c r="I1239">
        <f t="shared" si="114"/>
        <v>0</v>
      </c>
      <c r="J1239">
        <f t="shared" si="115"/>
        <v>0</v>
      </c>
      <c r="K1239">
        <f t="shared" si="116"/>
        <v>1</v>
      </c>
      <c r="L1239">
        <f t="shared" si="117"/>
        <v>0</v>
      </c>
      <c r="M1239">
        <f t="shared" si="118"/>
        <v>0</v>
      </c>
      <c r="N1239">
        <f t="shared" si="119"/>
        <v>0</v>
      </c>
    </row>
    <row r="1240" spans="1:14" x14ac:dyDescent="0.35">
      <c r="A1240" t="s">
        <v>1701</v>
      </c>
      <c r="B1240" t="s">
        <v>2428</v>
      </c>
      <c r="C1240" s="7" t="s">
        <v>10</v>
      </c>
      <c r="D1240" t="s">
        <v>1703</v>
      </c>
      <c r="E1240" t="s">
        <v>2000</v>
      </c>
      <c r="F1240" t="s">
        <v>1886</v>
      </c>
      <c r="I1240">
        <f t="shared" si="114"/>
        <v>0</v>
      </c>
      <c r="J1240">
        <f t="shared" si="115"/>
        <v>0</v>
      </c>
      <c r="K1240">
        <f t="shared" si="116"/>
        <v>0</v>
      </c>
      <c r="L1240">
        <f t="shared" si="117"/>
        <v>0</v>
      </c>
      <c r="M1240">
        <f t="shared" si="118"/>
        <v>0</v>
      </c>
      <c r="N1240">
        <f t="shared" si="119"/>
        <v>0</v>
      </c>
    </row>
    <row r="1241" spans="1:14" x14ac:dyDescent="0.35">
      <c r="A1241" t="s">
        <v>924</v>
      </c>
      <c r="B1241" t="s">
        <v>2429</v>
      </c>
      <c r="C1241" s="7" t="s">
        <v>10</v>
      </c>
      <c r="D1241" t="s">
        <v>92</v>
      </c>
      <c r="E1241" t="s">
        <v>2088</v>
      </c>
      <c r="F1241" t="s">
        <v>1727</v>
      </c>
      <c r="I1241">
        <f t="shared" si="114"/>
        <v>0</v>
      </c>
      <c r="J1241">
        <f t="shared" si="115"/>
        <v>0</v>
      </c>
      <c r="K1241">
        <f t="shared" si="116"/>
        <v>0</v>
      </c>
      <c r="L1241">
        <f t="shared" si="117"/>
        <v>0</v>
      </c>
      <c r="M1241">
        <f t="shared" si="118"/>
        <v>1</v>
      </c>
      <c r="N1241">
        <f t="shared" si="119"/>
        <v>0</v>
      </c>
    </row>
    <row r="1242" spans="1:14" x14ac:dyDescent="0.35">
      <c r="A1242" t="s">
        <v>1323</v>
      </c>
      <c r="B1242" t="s">
        <v>2430</v>
      </c>
      <c r="C1242" s="7" t="s">
        <v>10</v>
      </c>
      <c r="D1242" t="s">
        <v>51</v>
      </c>
      <c r="E1242" t="s">
        <v>1854</v>
      </c>
      <c r="F1242" t="s">
        <v>1754</v>
      </c>
      <c r="I1242">
        <f t="shared" si="114"/>
        <v>0</v>
      </c>
      <c r="J1242">
        <f t="shared" si="115"/>
        <v>0</v>
      </c>
      <c r="K1242">
        <f t="shared" si="116"/>
        <v>0</v>
      </c>
      <c r="L1242">
        <f t="shared" si="117"/>
        <v>1</v>
      </c>
      <c r="M1242">
        <f t="shared" si="118"/>
        <v>0</v>
      </c>
      <c r="N1242">
        <f t="shared" si="119"/>
        <v>0</v>
      </c>
    </row>
    <row r="1243" spans="1:14" x14ac:dyDescent="0.35">
      <c r="A1243" t="s">
        <v>1323</v>
      </c>
      <c r="B1243" t="s">
        <v>2430</v>
      </c>
      <c r="C1243" s="7" t="s">
        <v>10</v>
      </c>
      <c r="D1243" t="s">
        <v>51</v>
      </c>
      <c r="E1243" t="s">
        <v>2042</v>
      </c>
      <c r="F1243" t="s">
        <v>1754</v>
      </c>
      <c r="I1243">
        <f t="shared" si="114"/>
        <v>0</v>
      </c>
      <c r="J1243">
        <f t="shared" si="115"/>
        <v>0</v>
      </c>
      <c r="K1243">
        <f t="shared" si="116"/>
        <v>0</v>
      </c>
      <c r="L1243">
        <f t="shared" si="117"/>
        <v>1</v>
      </c>
      <c r="M1243">
        <f t="shared" si="118"/>
        <v>0</v>
      </c>
      <c r="N1243">
        <f t="shared" si="119"/>
        <v>0</v>
      </c>
    </row>
    <row r="1244" spans="1:14" x14ac:dyDescent="0.35">
      <c r="A1244" t="s">
        <v>1323</v>
      </c>
      <c r="B1244" t="s">
        <v>2430</v>
      </c>
      <c r="C1244" s="7" t="s">
        <v>10</v>
      </c>
      <c r="D1244" t="s">
        <v>51</v>
      </c>
      <c r="E1244" t="s">
        <v>1945</v>
      </c>
      <c r="F1244" t="s">
        <v>1754</v>
      </c>
      <c r="I1244">
        <f t="shared" si="114"/>
        <v>0</v>
      </c>
      <c r="J1244">
        <f t="shared" si="115"/>
        <v>0</v>
      </c>
      <c r="K1244">
        <f t="shared" si="116"/>
        <v>0</v>
      </c>
      <c r="L1244">
        <f t="shared" si="117"/>
        <v>1</v>
      </c>
      <c r="M1244">
        <f t="shared" si="118"/>
        <v>0</v>
      </c>
      <c r="N1244">
        <f t="shared" si="119"/>
        <v>0</v>
      </c>
    </row>
    <row r="1245" spans="1:14" x14ac:dyDescent="0.35">
      <c r="A1245" t="s">
        <v>1323</v>
      </c>
      <c r="B1245" t="s">
        <v>2430</v>
      </c>
      <c r="C1245" s="7" t="s">
        <v>10</v>
      </c>
      <c r="D1245" t="s">
        <v>51</v>
      </c>
      <c r="E1245" t="s">
        <v>1809</v>
      </c>
      <c r="F1245" t="s">
        <v>1754</v>
      </c>
      <c r="I1245">
        <f t="shared" si="114"/>
        <v>0</v>
      </c>
      <c r="J1245">
        <f t="shared" si="115"/>
        <v>0</v>
      </c>
      <c r="K1245">
        <f t="shared" si="116"/>
        <v>0</v>
      </c>
      <c r="L1245">
        <f t="shared" si="117"/>
        <v>1</v>
      </c>
      <c r="M1245">
        <f t="shared" si="118"/>
        <v>0</v>
      </c>
      <c r="N1245">
        <f t="shared" si="119"/>
        <v>0</v>
      </c>
    </row>
    <row r="1246" spans="1:14" x14ac:dyDescent="0.35">
      <c r="A1246" t="s">
        <v>1323</v>
      </c>
      <c r="B1246" t="s">
        <v>2430</v>
      </c>
      <c r="C1246" s="7" t="s">
        <v>10</v>
      </c>
      <c r="D1246" t="s">
        <v>51</v>
      </c>
      <c r="E1246" t="s">
        <v>1944</v>
      </c>
      <c r="F1246" t="s">
        <v>1754</v>
      </c>
      <c r="I1246">
        <f t="shared" si="114"/>
        <v>0</v>
      </c>
      <c r="J1246">
        <f t="shared" si="115"/>
        <v>0</v>
      </c>
      <c r="K1246">
        <f t="shared" si="116"/>
        <v>0</v>
      </c>
      <c r="L1246">
        <f t="shared" si="117"/>
        <v>1</v>
      </c>
      <c r="M1246">
        <f t="shared" si="118"/>
        <v>0</v>
      </c>
      <c r="N1246">
        <f t="shared" si="119"/>
        <v>0</v>
      </c>
    </row>
    <row r="1247" spans="1:14" x14ac:dyDescent="0.35">
      <c r="A1247" t="s">
        <v>1323</v>
      </c>
      <c r="B1247" t="s">
        <v>2430</v>
      </c>
      <c r="C1247" s="7" t="s">
        <v>10</v>
      </c>
      <c r="D1247" t="s">
        <v>51</v>
      </c>
      <c r="E1247" t="s">
        <v>1911</v>
      </c>
      <c r="F1247" t="s">
        <v>1754</v>
      </c>
      <c r="I1247">
        <f t="shared" si="114"/>
        <v>0</v>
      </c>
      <c r="J1247">
        <f t="shared" si="115"/>
        <v>0</v>
      </c>
      <c r="K1247">
        <f t="shared" si="116"/>
        <v>0</v>
      </c>
      <c r="L1247">
        <f t="shared" si="117"/>
        <v>1</v>
      </c>
      <c r="M1247">
        <f t="shared" si="118"/>
        <v>0</v>
      </c>
      <c r="N1247">
        <f t="shared" si="119"/>
        <v>0</v>
      </c>
    </row>
    <row r="1248" spans="1:14" x14ac:dyDescent="0.35">
      <c r="A1248" t="s">
        <v>1323</v>
      </c>
      <c r="B1248" t="s">
        <v>2430</v>
      </c>
      <c r="C1248" s="7" t="s">
        <v>10</v>
      </c>
      <c r="D1248" t="s">
        <v>51</v>
      </c>
      <c r="E1248" t="s">
        <v>1910</v>
      </c>
      <c r="F1248" t="s">
        <v>1754</v>
      </c>
      <c r="I1248">
        <f t="shared" si="114"/>
        <v>0</v>
      </c>
      <c r="J1248">
        <f t="shared" si="115"/>
        <v>0</v>
      </c>
      <c r="K1248">
        <f t="shared" si="116"/>
        <v>0</v>
      </c>
      <c r="L1248">
        <f t="shared" si="117"/>
        <v>1</v>
      </c>
      <c r="M1248">
        <f t="shared" si="118"/>
        <v>0</v>
      </c>
      <c r="N1248">
        <f t="shared" si="119"/>
        <v>0</v>
      </c>
    </row>
    <row r="1249" spans="1:14" x14ac:dyDescent="0.35">
      <c r="A1249" t="s">
        <v>412</v>
      </c>
      <c r="B1249" t="s">
        <v>2431</v>
      </c>
      <c r="C1249" s="7" t="s">
        <v>10</v>
      </c>
      <c r="D1249" t="s">
        <v>206</v>
      </c>
      <c r="E1249" t="s">
        <v>1992</v>
      </c>
      <c r="F1249" t="s">
        <v>1754</v>
      </c>
      <c r="G1249" t="s">
        <v>2432</v>
      </c>
      <c r="H1249" t="s">
        <v>1784</v>
      </c>
      <c r="I1249">
        <f t="shared" si="114"/>
        <v>0</v>
      </c>
      <c r="J1249">
        <f t="shared" si="115"/>
        <v>0</v>
      </c>
      <c r="K1249">
        <f t="shared" si="116"/>
        <v>0</v>
      </c>
      <c r="L1249">
        <f t="shared" si="117"/>
        <v>1</v>
      </c>
      <c r="M1249">
        <f t="shared" si="118"/>
        <v>0</v>
      </c>
      <c r="N1249">
        <f t="shared" si="119"/>
        <v>1</v>
      </c>
    </row>
    <row r="1250" spans="1:14" x14ac:dyDescent="0.35">
      <c r="A1250" t="s">
        <v>412</v>
      </c>
      <c r="B1250" t="s">
        <v>2431</v>
      </c>
      <c r="C1250" s="7" t="s">
        <v>10</v>
      </c>
      <c r="D1250" t="s">
        <v>206</v>
      </c>
      <c r="E1250" t="s">
        <v>1993</v>
      </c>
      <c r="F1250" t="s">
        <v>1754</v>
      </c>
      <c r="G1250" t="s">
        <v>2432</v>
      </c>
      <c r="H1250" t="s">
        <v>1784</v>
      </c>
      <c r="I1250">
        <f t="shared" si="114"/>
        <v>0</v>
      </c>
      <c r="J1250">
        <f t="shared" si="115"/>
        <v>0</v>
      </c>
      <c r="K1250">
        <f t="shared" si="116"/>
        <v>0</v>
      </c>
      <c r="L1250">
        <f t="shared" si="117"/>
        <v>1</v>
      </c>
      <c r="M1250">
        <f t="shared" si="118"/>
        <v>0</v>
      </c>
      <c r="N1250">
        <f t="shared" si="119"/>
        <v>1</v>
      </c>
    </row>
    <row r="1251" spans="1:14" x14ac:dyDescent="0.35">
      <c r="A1251" t="s">
        <v>412</v>
      </c>
      <c r="B1251" t="s">
        <v>2431</v>
      </c>
      <c r="C1251" s="7" t="s">
        <v>10</v>
      </c>
      <c r="D1251" t="s">
        <v>206</v>
      </c>
      <c r="E1251" t="s">
        <v>1836</v>
      </c>
      <c r="F1251" t="s">
        <v>1754</v>
      </c>
      <c r="G1251" t="s">
        <v>2432</v>
      </c>
      <c r="H1251" t="s">
        <v>1784</v>
      </c>
      <c r="I1251">
        <f t="shared" si="114"/>
        <v>0</v>
      </c>
      <c r="J1251">
        <f t="shared" si="115"/>
        <v>0</v>
      </c>
      <c r="K1251">
        <f t="shared" si="116"/>
        <v>0</v>
      </c>
      <c r="L1251">
        <f t="shared" si="117"/>
        <v>1</v>
      </c>
      <c r="M1251">
        <f t="shared" si="118"/>
        <v>0</v>
      </c>
      <c r="N1251">
        <f t="shared" si="119"/>
        <v>1</v>
      </c>
    </row>
    <row r="1252" spans="1:14" x14ac:dyDescent="0.35">
      <c r="A1252" t="s">
        <v>412</v>
      </c>
      <c r="B1252" t="s">
        <v>2431</v>
      </c>
      <c r="C1252" s="7" t="s">
        <v>10</v>
      </c>
      <c r="D1252" t="s">
        <v>206</v>
      </c>
      <c r="E1252" t="s">
        <v>1809</v>
      </c>
      <c r="F1252" t="s">
        <v>1754</v>
      </c>
      <c r="G1252" t="s">
        <v>2432</v>
      </c>
      <c r="H1252" t="s">
        <v>1784</v>
      </c>
      <c r="I1252">
        <f t="shared" si="114"/>
        <v>0</v>
      </c>
      <c r="J1252">
        <f t="shared" si="115"/>
        <v>0</v>
      </c>
      <c r="K1252">
        <f t="shared" si="116"/>
        <v>0</v>
      </c>
      <c r="L1252">
        <f t="shared" si="117"/>
        <v>1</v>
      </c>
      <c r="M1252">
        <f t="shared" si="118"/>
        <v>0</v>
      </c>
      <c r="N1252">
        <f t="shared" si="119"/>
        <v>1</v>
      </c>
    </row>
    <row r="1253" spans="1:14" x14ac:dyDescent="0.35">
      <c r="A1253" t="s">
        <v>412</v>
      </c>
      <c r="B1253" t="s">
        <v>2431</v>
      </c>
      <c r="C1253" s="7" t="s">
        <v>10</v>
      </c>
      <c r="D1253" t="s">
        <v>206</v>
      </c>
      <c r="E1253" t="s">
        <v>1832</v>
      </c>
      <c r="F1253" t="s">
        <v>1754</v>
      </c>
      <c r="G1253" t="s">
        <v>2432</v>
      </c>
      <c r="H1253" t="s">
        <v>1784</v>
      </c>
      <c r="I1253">
        <f t="shared" si="114"/>
        <v>0</v>
      </c>
      <c r="J1253">
        <f t="shared" si="115"/>
        <v>0</v>
      </c>
      <c r="K1253">
        <f t="shared" si="116"/>
        <v>0</v>
      </c>
      <c r="L1253">
        <f t="shared" si="117"/>
        <v>1</v>
      </c>
      <c r="M1253">
        <f t="shared" si="118"/>
        <v>0</v>
      </c>
      <c r="N1253">
        <f t="shared" si="119"/>
        <v>1</v>
      </c>
    </row>
    <row r="1254" spans="1:14" x14ac:dyDescent="0.35">
      <c r="A1254" t="s">
        <v>52</v>
      </c>
      <c r="B1254" t="s">
        <v>2433</v>
      </c>
      <c r="C1254" s="7" t="s">
        <v>10</v>
      </c>
      <c r="D1254" t="s">
        <v>55</v>
      </c>
      <c r="E1254" t="s">
        <v>1967</v>
      </c>
      <c r="F1254" t="s">
        <v>1760</v>
      </c>
      <c r="I1254">
        <f t="shared" si="114"/>
        <v>0</v>
      </c>
      <c r="J1254">
        <f t="shared" si="115"/>
        <v>0</v>
      </c>
      <c r="K1254">
        <f t="shared" si="116"/>
        <v>1</v>
      </c>
      <c r="L1254">
        <f t="shared" si="117"/>
        <v>0</v>
      </c>
      <c r="M1254">
        <f t="shared" si="118"/>
        <v>0</v>
      </c>
      <c r="N1254">
        <f t="shared" si="119"/>
        <v>0</v>
      </c>
    </row>
    <row r="1255" spans="1:14" x14ac:dyDescent="0.35">
      <c r="A1255" t="s">
        <v>52</v>
      </c>
      <c r="B1255" t="s">
        <v>2433</v>
      </c>
      <c r="C1255" s="7" t="s">
        <v>10</v>
      </c>
      <c r="D1255" t="s">
        <v>55</v>
      </c>
      <c r="E1255" t="s">
        <v>1963</v>
      </c>
      <c r="F1255" t="s">
        <v>1760</v>
      </c>
      <c r="I1255">
        <f t="shared" si="114"/>
        <v>0</v>
      </c>
      <c r="J1255">
        <f t="shared" si="115"/>
        <v>0</v>
      </c>
      <c r="K1255">
        <f t="shared" si="116"/>
        <v>1</v>
      </c>
      <c r="L1255">
        <f t="shared" si="117"/>
        <v>0</v>
      </c>
      <c r="M1255">
        <f t="shared" si="118"/>
        <v>0</v>
      </c>
      <c r="N1255">
        <f t="shared" si="119"/>
        <v>0</v>
      </c>
    </row>
    <row r="1256" spans="1:14" x14ac:dyDescent="0.35">
      <c r="A1256" t="s">
        <v>490</v>
      </c>
      <c r="B1256" t="s">
        <v>2434</v>
      </c>
      <c r="C1256" s="7" t="s">
        <v>10</v>
      </c>
      <c r="D1256" t="s">
        <v>55</v>
      </c>
      <c r="E1256" t="s">
        <v>2069</v>
      </c>
      <c r="F1256" t="s">
        <v>1754</v>
      </c>
      <c r="I1256">
        <f t="shared" si="114"/>
        <v>0</v>
      </c>
      <c r="J1256">
        <f t="shared" si="115"/>
        <v>0</v>
      </c>
      <c r="K1256">
        <f t="shared" si="116"/>
        <v>0</v>
      </c>
      <c r="L1256">
        <f t="shared" si="117"/>
        <v>1</v>
      </c>
      <c r="M1256">
        <f t="shared" si="118"/>
        <v>0</v>
      </c>
      <c r="N1256">
        <f t="shared" si="119"/>
        <v>0</v>
      </c>
    </row>
    <row r="1257" spans="1:14" x14ac:dyDescent="0.35">
      <c r="A1257" t="s">
        <v>166</v>
      </c>
      <c r="B1257" t="s">
        <v>2435</v>
      </c>
      <c r="C1257" s="7" t="s">
        <v>10</v>
      </c>
      <c r="D1257" t="s">
        <v>55</v>
      </c>
      <c r="E1257" t="s">
        <v>1807</v>
      </c>
      <c r="F1257" t="s">
        <v>1754</v>
      </c>
      <c r="I1257">
        <f t="shared" si="114"/>
        <v>0</v>
      </c>
      <c r="J1257">
        <f t="shared" si="115"/>
        <v>0</v>
      </c>
      <c r="K1257">
        <f t="shared" si="116"/>
        <v>0</v>
      </c>
      <c r="L1257">
        <f t="shared" si="117"/>
        <v>1</v>
      </c>
      <c r="M1257">
        <f t="shared" si="118"/>
        <v>0</v>
      </c>
      <c r="N1257">
        <f t="shared" si="119"/>
        <v>0</v>
      </c>
    </row>
    <row r="1258" spans="1:14" x14ac:dyDescent="0.35">
      <c r="A1258" t="s">
        <v>166</v>
      </c>
      <c r="B1258" t="s">
        <v>2435</v>
      </c>
      <c r="C1258" s="7" t="s">
        <v>10</v>
      </c>
      <c r="D1258" t="s">
        <v>55</v>
      </c>
      <c r="E1258" t="s">
        <v>1806</v>
      </c>
      <c r="F1258" t="s">
        <v>1754</v>
      </c>
      <c r="I1258">
        <f t="shared" si="114"/>
        <v>0</v>
      </c>
      <c r="J1258">
        <f t="shared" si="115"/>
        <v>0</v>
      </c>
      <c r="K1258">
        <f t="shared" si="116"/>
        <v>0</v>
      </c>
      <c r="L1258">
        <f t="shared" si="117"/>
        <v>1</v>
      </c>
      <c r="M1258">
        <f t="shared" si="118"/>
        <v>0</v>
      </c>
      <c r="N1258">
        <f t="shared" si="119"/>
        <v>0</v>
      </c>
    </row>
    <row r="1259" spans="1:14" x14ac:dyDescent="0.35">
      <c r="A1259" t="s">
        <v>791</v>
      </c>
      <c r="B1259" t="s">
        <v>2436</v>
      </c>
      <c r="C1259" s="7" t="s">
        <v>10</v>
      </c>
      <c r="D1259" t="s">
        <v>51</v>
      </c>
      <c r="E1259" t="s">
        <v>1806</v>
      </c>
      <c r="F1259" t="s">
        <v>1754</v>
      </c>
      <c r="I1259">
        <f t="shared" si="114"/>
        <v>0</v>
      </c>
      <c r="J1259">
        <f t="shared" si="115"/>
        <v>0</v>
      </c>
      <c r="K1259">
        <f t="shared" si="116"/>
        <v>0</v>
      </c>
      <c r="L1259">
        <f t="shared" si="117"/>
        <v>1</v>
      </c>
      <c r="M1259">
        <f t="shared" si="118"/>
        <v>0</v>
      </c>
      <c r="N1259">
        <f t="shared" si="119"/>
        <v>0</v>
      </c>
    </row>
    <row r="1260" spans="1:14" x14ac:dyDescent="0.35">
      <c r="A1260" t="s">
        <v>791</v>
      </c>
      <c r="B1260" t="s">
        <v>2436</v>
      </c>
      <c r="C1260" s="7" t="s">
        <v>10</v>
      </c>
      <c r="D1260" t="s">
        <v>51</v>
      </c>
      <c r="E1260" t="s">
        <v>1807</v>
      </c>
      <c r="F1260" t="s">
        <v>1754</v>
      </c>
      <c r="I1260">
        <f t="shared" si="114"/>
        <v>0</v>
      </c>
      <c r="J1260">
        <f t="shared" si="115"/>
        <v>0</v>
      </c>
      <c r="K1260">
        <f t="shared" si="116"/>
        <v>0</v>
      </c>
      <c r="L1260">
        <f t="shared" si="117"/>
        <v>1</v>
      </c>
      <c r="M1260">
        <f t="shared" si="118"/>
        <v>0</v>
      </c>
      <c r="N1260">
        <f t="shared" si="119"/>
        <v>0</v>
      </c>
    </row>
    <row r="1261" spans="1:14" x14ac:dyDescent="0.35">
      <c r="A1261" t="s">
        <v>979</v>
      </c>
      <c r="B1261" t="s">
        <v>2437</v>
      </c>
      <c r="C1261" s="7" t="s">
        <v>10</v>
      </c>
      <c r="D1261" t="s">
        <v>55</v>
      </c>
      <c r="E1261" t="s">
        <v>1860</v>
      </c>
      <c r="F1261" t="s">
        <v>1754</v>
      </c>
      <c r="I1261">
        <f t="shared" si="114"/>
        <v>0</v>
      </c>
      <c r="J1261">
        <f t="shared" si="115"/>
        <v>0</v>
      </c>
      <c r="K1261">
        <f t="shared" si="116"/>
        <v>0</v>
      </c>
      <c r="L1261">
        <f t="shared" si="117"/>
        <v>1</v>
      </c>
      <c r="M1261">
        <f t="shared" si="118"/>
        <v>0</v>
      </c>
      <c r="N1261">
        <f t="shared" si="119"/>
        <v>0</v>
      </c>
    </row>
    <row r="1262" spans="1:14" x14ac:dyDescent="0.35">
      <c r="A1262" t="s">
        <v>979</v>
      </c>
      <c r="B1262" t="s">
        <v>2437</v>
      </c>
      <c r="C1262" s="7" t="s">
        <v>10</v>
      </c>
      <c r="D1262" t="s">
        <v>55</v>
      </c>
      <c r="E1262" t="s">
        <v>1867</v>
      </c>
      <c r="F1262" t="s">
        <v>1727</v>
      </c>
      <c r="I1262">
        <f t="shared" si="114"/>
        <v>0</v>
      </c>
      <c r="J1262">
        <f t="shared" si="115"/>
        <v>0</v>
      </c>
      <c r="K1262">
        <f t="shared" si="116"/>
        <v>0</v>
      </c>
      <c r="L1262">
        <f t="shared" si="117"/>
        <v>0</v>
      </c>
      <c r="M1262">
        <f t="shared" si="118"/>
        <v>1</v>
      </c>
      <c r="N1262">
        <f t="shared" si="119"/>
        <v>0</v>
      </c>
    </row>
    <row r="1263" spans="1:14" x14ac:dyDescent="0.35">
      <c r="A1263" t="s">
        <v>1648</v>
      </c>
      <c r="B1263" t="s">
        <v>2438</v>
      </c>
      <c r="C1263" s="7" t="s">
        <v>10</v>
      </c>
      <c r="D1263" t="s">
        <v>55</v>
      </c>
      <c r="E1263" t="s">
        <v>1806</v>
      </c>
      <c r="F1263" t="s">
        <v>1754</v>
      </c>
      <c r="I1263">
        <f t="shared" si="114"/>
        <v>0</v>
      </c>
      <c r="J1263">
        <f t="shared" si="115"/>
        <v>0</v>
      </c>
      <c r="K1263">
        <f t="shared" si="116"/>
        <v>0</v>
      </c>
      <c r="L1263">
        <f t="shared" si="117"/>
        <v>1</v>
      </c>
      <c r="M1263">
        <f t="shared" si="118"/>
        <v>0</v>
      </c>
      <c r="N1263">
        <f t="shared" si="119"/>
        <v>0</v>
      </c>
    </row>
    <row r="1264" spans="1:14" x14ac:dyDescent="0.35">
      <c r="A1264" t="s">
        <v>1648</v>
      </c>
      <c r="B1264" t="s">
        <v>2438</v>
      </c>
      <c r="C1264" s="7" t="s">
        <v>10</v>
      </c>
      <c r="D1264" t="s">
        <v>55</v>
      </c>
      <c r="E1264" t="s">
        <v>1807</v>
      </c>
      <c r="F1264" t="s">
        <v>1754</v>
      </c>
      <c r="I1264">
        <f t="shared" si="114"/>
        <v>0</v>
      </c>
      <c r="J1264">
        <f t="shared" si="115"/>
        <v>0</v>
      </c>
      <c r="K1264">
        <f t="shared" si="116"/>
        <v>0</v>
      </c>
      <c r="L1264">
        <f t="shared" si="117"/>
        <v>1</v>
      </c>
      <c r="M1264">
        <f t="shared" si="118"/>
        <v>0</v>
      </c>
      <c r="N1264">
        <f t="shared" si="119"/>
        <v>0</v>
      </c>
    </row>
    <row r="1265" spans="1:14" x14ac:dyDescent="0.35">
      <c r="A1265" t="s">
        <v>644</v>
      </c>
      <c r="B1265" t="s">
        <v>2439</v>
      </c>
      <c r="C1265" s="7" t="s">
        <v>10</v>
      </c>
      <c r="D1265" t="s">
        <v>111</v>
      </c>
      <c r="E1265" t="s">
        <v>1807</v>
      </c>
      <c r="F1265" t="s">
        <v>1754</v>
      </c>
      <c r="I1265">
        <f t="shared" si="114"/>
        <v>0</v>
      </c>
      <c r="J1265">
        <f t="shared" si="115"/>
        <v>0</v>
      </c>
      <c r="K1265">
        <f t="shared" si="116"/>
        <v>0</v>
      </c>
      <c r="L1265">
        <f t="shared" si="117"/>
        <v>1</v>
      </c>
      <c r="M1265">
        <f t="shared" si="118"/>
        <v>0</v>
      </c>
      <c r="N1265">
        <f t="shared" si="119"/>
        <v>0</v>
      </c>
    </row>
    <row r="1266" spans="1:14" x14ac:dyDescent="0.35">
      <c r="A1266" t="s">
        <v>644</v>
      </c>
      <c r="B1266" t="s">
        <v>2439</v>
      </c>
      <c r="C1266" s="7" t="s">
        <v>10</v>
      </c>
      <c r="D1266" t="s">
        <v>111</v>
      </c>
      <c r="E1266" t="s">
        <v>1828</v>
      </c>
      <c r="F1266" t="s">
        <v>1754</v>
      </c>
      <c r="I1266">
        <f t="shared" si="114"/>
        <v>0</v>
      </c>
      <c r="J1266">
        <f t="shared" si="115"/>
        <v>0</v>
      </c>
      <c r="K1266">
        <f t="shared" si="116"/>
        <v>0</v>
      </c>
      <c r="L1266">
        <f t="shared" si="117"/>
        <v>1</v>
      </c>
      <c r="M1266">
        <f t="shared" si="118"/>
        <v>0</v>
      </c>
      <c r="N1266">
        <f t="shared" si="119"/>
        <v>0</v>
      </c>
    </row>
    <row r="1267" spans="1:14" x14ac:dyDescent="0.35">
      <c r="A1267" t="s">
        <v>644</v>
      </c>
      <c r="B1267" t="s">
        <v>2439</v>
      </c>
      <c r="C1267" s="7" t="s">
        <v>10</v>
      </c>
      <c r="D1267" t="s">
        <v>111</v>
      </c>
      <c r="E1267" t="s">
        <v>1806</v>
      </c>
      <c r="F1267" t="s">
        <v>1754</v>
      </c>
      <c r="I1267">
        <f t="shared" si="114"/>
        <v>0</v>
      </c>
      <c r="J1267">
        <f t="shared" si="115"/>
        <v>0</v>
      </c>
      <c r="K1267">
        <f t="shared" si="116"/>
        <v>0</v>
      </c>
      <c r="L1267">
        <f t="shared" si="117"/>
        <v>1</v>
      </c>
      <c r="M1267">
        <f t="shared" si="118"/>
        <v>0</v>
      </c>
      <c r="N1267">
        <f t="shared" si="119"/>
        <v>0</v>
      </c>
    </row>
    <row r="1268" spans="1:14" x14ac:dyDescent="0.35">
      <c r="A1268" t="s">
        <v>573</v>
      </c>
      <c r="B1268" t="s">
        <v>2440</v>
      </c>
      <c r="C1268" s="7" t="s">
        <v>10</v>
      </c>
      <c r="D1268" t="s">
        <v>575</v>
      </c>
      <c r="E1268" t="s">
        <v>2095</v>
      </c>
      <c r="F1268" t="s">
        <v>1754</v>
      </c>
      <c r="I1268">
        <f t="shared" si="114"/>
        <v>0</v>
      </c>
      <c r="J1268">
        <f t="shared" si="115"/>
        <v>0</v>
      </c>
      <c r="K1268">
        <f t="shared" si="116"/>
        <v>0</v>
      </c>
      <c r="L1268">
        <f t="shared" si="117"/>
        <v>1</v>
      </c>
      <c r="M1268">
        <f t="shared" si="118"/>
        <v>0</v>
      </c>
      <c r="N1268">
        <f t="shared" si="119"/>
        <v>0</v>
      </c>
    </row>
    <row r="1269" spans="1:14" x14ac:dyDescent="0.35">
      <c r="A1269" t="s">
        <v>573</v>
      </c>
      <c r="B1269" t="s">
        <v>2440</v>
      </c>
      <c r="C1269" s="7" t="s">
        <v>10</v>
      </c>
      <c r="D1269" t="s">
        <v>575</v>
      </c>
      <c r="E1269" t="s">
        <v>1836</v>
      </c>
      <c r="F1269" t="s">
        <v>1754</v>
      </c>
      <c r="I1269">
        <f t="shared" si="114"/>
        <v>0</v>
      </c>
      <c r="J1269">
        <f t="shared" si="115"/>
        <v>0</v>
      </c>
      <c r="K1269">
        <f t="shared" si="116"/>
        <v>0</v>
      </c>
      <c r="L1269">
        <f t="shared" si="117"/>
        <v>1</v>
      </c>
      <c r="M1269">
        <f t="shared" si="118"/>
        <v>0</v>
      </c>
      <c r="N1269">
        <f t="shared" si="119"/>
        <v>0</v>
      </c>
    </row>
    <row r="1270" spans="1:14" x14ac:dyDescent="0.35">
      <c r="A1270" t="s">
        <v>573</v>
      </c>
      <c r="B1270" t="s">
        <v>2440</v>
      </c>
      <c r="C1270" s="7" t="s">
        <v>10</v>
      </c>
      <c r="D1270" t="s">
        <v>575</v>
      </c>
      <c r="E1270" t="s">
        <v>1992</v>
      </c>
      <c r="F1270" t="s">
        <v>1754</v>
      </c>
      <c r="I1270">
        <f t="shared" si="114"/>
        <v>0</v>
      </c>
      <c r="J1270">
        <f t="shared" si="115"/>
        <v>0</v>
      </c>
      <c r="K1270">
        <f t="shared" si="116"/>
        <v>0</v>
      </c>
      <c r="L1270">
        <f t="shared" si="117"/>
        <v>1</v>
      </c>
      <c r="M1270">
        <f t="shared" si="118"/>
        <v>0</v>
      </c>
      <c r="N1270">
        <f t="shared" si="119"/>
        <v>0</v>
      </c>
    </row>
    <row r="1271" spans="1:14" x14ac:dyDescent="0.35">
      <c r="A1271" t="s">
        <v>573</v>
      </c>
      <c r="B1271" t="s">
        <v>2440</v>
      </c>
      <c r="C1271" s="7" t="s">
        <v>10</v>
      </c>
      <c r="D1271" t="s">
        <v>575</v>
      </c>
      <c r="E1271" t="s">
        <v>1809</v>
      </c>
      <c r="F1271" t="s">
        <v>1754</v>
      </c>
      <c r="I1271">
        <f t="shared" si="114"/>
        <v>0</v>
      </c>
      <c r="J1271">
        <f t="shared" si="115"/>
        <v>0</v>
      </c>
      <c r="K1271">
        <f t="shared" si="116"/>
        <v>0</v>
      </c>
      <c r="L1271">
        <f t="shared" si="117"/>
        <v>1</v>
      </c>
      <c r="M1271">
        <f t="shared" si="118"/>
        <v>0</v>
      </c>
      <c r="N1271">
        <f t="shared" si="119"/>
        <v>0</v>
      </c>
    </row>
    <row r="1272" spans="1:14" x14ac:dyDescent="0.35">
      <c r="A1272" t="s">
        <v>1372</v>
      </c>
      <c r="B1272" t="s">
        <v>2441</v>
      </c>
      <c r="C1272" s="7" t="s">
        <v>10</v>
      </c>
      <c r="D1272" t="s">
        <v>55</v>
      </c>
      <c r="E1272" t="s">
        <v>1961</v>
      </c>
      <c r="F1272" t="s">
        <v>1805</v>
      </c>
      <c r="I1272">
        <f t="shared" si="114"/>
        <v>0</v>
      </c>
      <c r="J1272">
        <f t="shared" si="115"/>
        <v>1</v>
      </c>
      <c r="K1272">
        <f t="shared" si="116"/>
        <v>0</v>
      </c>
      <c r="L1272">
        <f t="shared" si="117"/>
        <v>0</v>
      </c>
      <c r="M1272">
        <f t="shared" si="118"/>
        <v>0</v>
      </c>
      <c r="N1272">
        <f t="shared" si="119"/>
        <v>0</v>
      </c>
    </row>
    <row r="1273" spans="1:14" x14ac:dyDescent="0.35">
      <c r="A1273" t="s">
        <v>1133</v>
      </c>
      <c r="B1273" t="s">
        <v>2442</v>
      </c>
      <c r="C1273" s="7" t="s">
        <v>10</v>
      </c>
      <c r="D1273" t="s">
        <v>330</v>
      </c>
      <c r="E1273" t="s">
        <v>1870</v>
      </c>
      <c r="F1273" t="s">
        <v>1727</v>
      </c>
      <c r="I1273">
        <f t="shared" si="114"/>
        <v>0</v>
      </c>
      <c r="J1273">
        <f t="shared" si="115"/>
        <v>0</v>
      </c>
      <c r="K1273">
        <f t="shared" si="116"/>
        <v>0</v>
      </c>
      <c r="L1273">
        <f t="shared" si="117"/>
        <v>0</v>
      </c>
      <c r="M1273">
        <f t="shared" si="118"/>
        <v>1</v>
      </c>
      <c r="N1273">
        <f t="shared" si="119"/>
        <v>0</v>
      </c>
    </row>
    <row r="1274" spans="1:14" x14ac:dyDescent="0.35">
      <c r="A1274" t="s">
        <v>1560</v>
      </c>
      <c r="B1274" t="s">
        <v>2443</v>
      </c>
      <c r="C1274" s="7" t="s">
        <v>10</v>
      </c>
      <c r="D1274" t="s">
        <v>1213</v>
      </c>
      <c r="E1274" t="s">
        <v>1845</v>
      </c>
      <c r="F1274" t="s">
        <v>1754</v>
      </c>
      <c r="G1274" t="s">
        <v>2444</v>
      </c>
      <c r="H1274" t="s">
        <v>2445</v>
      </c>
      <c r="I1274">
        <f t="shared" si="114"/>
        <v>0</v>
      </c>
      <c r="J1274">
        <f t="shared" si="115"/>
        <v>0</v>
      </c>
      <c r="K1274">
        <f t="shared" si="116"/>
        <v>0</v>
      </c>
      <c r="L1274">
        <f t="shared" si="117"/>
        <v>1</v>
      </c>
      <c r="M1274">
        <f t="shared" si="118"/>
        <v>0</v>
      </c>
      <c r="N1274">
        <f t="shared" si="119"/>
        <v>1</v>
      </c>
    </row>
    <row r="1275" spans="1:14" x14ac:dyDescent="0.35">
      <c r="A1275" t="s">
        <v>1560</v>
      </c>
      <c r="B1275" t="s">
        <v>2443</v>
      </c>
      <c r="C1275" s="7" t="s">
        <v>10</v>
      </c>
      <c r="D1275" t="s">
        <v>1213</v>
      </c>
      <c r="E1275" t="s">
        <v>2068</v>
      </c>
      <c r="F1275" t="s">
        <v>1754</v>
      </c>
      <c r="G1275" t="s">
        <v>2444</v>
      </c>
      <c r="H1275" t="s">
        <v>2445</v>
      </c>
      <c r="I1275">
        <f t="shared" si="114"/>
        <v>0</v>
      </c>
      <c r="J1275">
        <f t="shared" si="115"/>
        <v>0</v>
      </c>
      <c r="K1275">
        <f t="shared" si="116"/>
        <v>0</v>
      </c>
      <c r="L1275">
        <f t="shared" si="117"/>
        <v>1</v>
      </c>
      <c r="M1275">
        <f t="shared" si="118"/>
        <v>0</v>
      </c>
      <c r="N1275">
        <f t="shared" si="119"/>
        <v>1</v>
      </c>
    </row>
    <row r="1276" spans="1:14" x14ac:dyDescent="0.35">
      <c r="A1276" t="s">
        <v>1560</v>
      </c>
      <c r="B1276" t="s">
        <v>2443</v>
      </c>
      <c r="C1276" s="7" t="s">
        <v>10</v>
      </c>
      <c r="D1276" t="s">
        <v>1213</v>
      </c>
      <c r="E1276" t="s">
        <v>1847</v>
      </c>
      <c r="F1276" t="s">
        <v>1754</v>
      </c>
      <c r="G1276" t="s">
        <v>2444</v>
      </c>
      <c r="H1276" t="s">
        <v>2445</v>
      </c>
      <c r="I1276">
        <f t="shared" si="114"/>
        <v>0</v>
      </c>
      <c r="J1276">
        <f t="shared" si="115"/>
        <v>0</v>
      </c>
      <c r="K1276">
        <f t="shared" si="116"/>
        <v>0</v>
      </c>
      <c r="L1276">
        <f t="shared" si="117"/>
        <v>1</v>
      </c>
      <c r="M1276">
        <f t="shared" si="118"/>
        <v>0</v>
      </c>
      <c r="N1276">
        <f t="shared" si="119"/>
        <v>1</v>
      </c>
    </row>
    <row r="1277" spans="1:14" x14ac:dyDescent="0.35">
      <c r="A1277" t="s">
        <v>1560</v>
      </c>
      <c r="B1277" t="s">
        <v>2443</v>
      </c>
      <c r="C1277" s="7" t="s">
        <v>10</v>
      </c>
      <c r="D1277" t="s">
        <v>1213</v>
      </c>
      <c r="E1277" t="s">
        <v>2070</v>
      </c>
      <c r="F1277" t="s">
        <v>1754</v>
      </c>
      <c r="G1277" t="s">
        <v>2444</v>
      </c>
      <c r="H1277" t="s">
        <v>2445</v>
      </c>
      <c r="I1277">
        <f t="shared" si="114"/>
        <v>0</v>
      </c>
      <c r="J1277">
        <f t="shared" si="115"/>
        <v>0</v>
      </c>
      <c r="K1277">
        <f t="shared" si="116"/>
        <v>0</v>
      </c>
      <c r="L1277">
        <f t="shared" si="117"/>
        <v>1</v>
      </c>
      <c r="M1277">
        <f t="shared" si="118"/>
        <v>0</v>
      </c>
      <c r="N1277">
        <f t="shared" si="119"/>
        <v>1</v>
      </c>
    </row>
    <row r="1278" spans="1:14" x14ac:dyDescent="0.35">
      <c r="A1278" t="s">
        <v>1560</v>
      </c>
      <c r="B1278" t="s">
        <v>2443</v>
      </c>
      <c r="C1278" s="7" t="s">
        <v>10</v>
      </c>
      <c r="D1278" t="s">
        <v>1213</v>
      </c>
      <c r="E1278" t="s">
        <v>1810</v>
      </c>
      <c r="F1278" t="s">
        <v>1754</v>
      </c>
      <c r="G1278" t="s">
        <v>2444</v>
      </c>
      <c r="H1278" t="s">
        <v>2445</v>
      </c>
      <c r="I1278">
        <f t="shared" si="114"/>
        <v>0</v>
      </c>
      <c r="J1278">
        <f t="shared" si="115"/>
        <v>0</v>
      </c>
      <c r="K1278">
        <f t="shared" si="116"/>
        <v>0</v>
      </c>
      <c r="L1278">
        <f t="shared" si="117"/>
        <v>1</v>
      </c>
      <c r="M1278">
        <f t="shared" si="118"/>
        <v>0</v>
      </c>
      <c r="N1278">
        <f t="shared" si="119"/>
        <v>1</v>
      </c>
    </row>
    <row r="1279" spans="1:14" x14ac:dyDescent="0.35">
      <c r="A1279" t="s">
        <v>1214</v>
      </c>
      <c r="B1279" t="s">
        <v>2446</v>
      </c>
      <c r="C1279" s="7" t="s">
        <v>10</v>
      </c>
      <c r="D1279" t="s">
        <v>97</v>
      </c>
      <c r="E1279" t="s">
        <v>2002</v>
      </c>
      <c r="F1279" t="s">
        <v>1754</v>
      </c>
      <c r="I1279">
        <f t="shared" si="114"/>
        <v>0</v>
      </c>
      <c r="J1279">
        <f t="shared" si="115"/>
        <v>0</v>
      </c>
      <c r="K1279">
        <f t="shared" si="116"/>
        <v>0</v>
      </c>
      <c r="L1279">
        <f t="shared" si="117"/>
        <v>1</v>
      </c>
      <c r="M1279">
        <f t="shared" si="118"/>
        <v>0</v>
      </c>
      <c r="N1279">
        <f t="shared" si="119"/>
        <v>0</v>
      </c>
    </row>
    <row r="1280" spans="1:14" x14ac:dyDescent="0.35">
      <c r="A1280" t="s">
        <v>1214</v>
      </c>
      <c r="B1280" t="s">
        <v>2446</v>
      </c>
      <c r="C1280" s="7" t="s">
        <v>10</v>
      </c>
      <c r="D1280" t="s">
        <v>97</v>
      </c>
      <c r="E1280" t="s">
        <v>2003</v>
      </c>
      <c r="F1280" t="s">
        <v>1754</v>
      </c>
      <c r="I1280">
        <f t="shared" si="114"/>
        <v>0</v>
      </c>
      <c r="J1280">
        <f t="shared" si="115"/>
        <v>0</v>
      </c>
      <c r="K1280">
        <f t="shared" si="116"/>
        <v>0</v>
      </c>
      <c r="L1280">
        <f t="shared" si="117"/>
        <v>1</v>
      </c>
      <c r="M1280">
        <f t="shared" si="118"/>
        <v>0</v>
      </c>
      <c r="N1280">
        <f t="shared" si="119"/>
        <v>0</v>
      </c>
    </row>
    <row r="1281" spans="1:14" x14ac:dyDescent="0.35">
      <c r="A1281" t="s">
        <v>1214</v>
      </c>
      <c r="B1281" t="s">
        <v>2446</v>
      </c>
      <c r="C1281" s="7" t="s">
        <v>10</v>
      </c>
      <c r="D1281" t="s">
        <v>97</v>
      </c>
      <c r="E1281" t="s">
        <v>1818</v>
      </c>
      <c r="F1281" t="s">
        <v>1760</v>
      </c>
      <c r="I1281">
        <f t="shared" si="114"/>
        <v>0</v>
      </c>
      <c r="J1281">
        <f t="shared" si="115"/>
        <v>0</v>
      </c>
      <c r="K1281">
        <f t="shared" si="116"/>
        <v>1</v>
      </c>
      <c r="L1281">
        <f t="shared" si="117"/>
        <v>0</v>
      </c>
      <c r="M1281">
        <f t="shared" si="118"/>
        <v>0</v>
      </c>
      <c r="N1281">
        <f t="shared" si="119"/>
        <v>0</v>
      </c>
    </row>
    <row r="1282" spans="1:14" x14ac:dyDescent="0.35">
      <c r="A1282" t="s">
        <v>685</v>
      </c>
      <c r="B1282" t="s">
        <v>2447</v>
      </c>
      <c r="C1282" s="7" t="s">
        <v>10</v>
      </c>
      <c r="D1282" t="s">
        <v>55</v>
      </c>
      <c r="E1282" t="s">
        <v>2448</v>
      </c>
      <c r="F1282" t="s">
        <v>1805</v>
      </c>
      <c r="I1282">
        <f t="shared" si="114"/>
        <v>0</v>
      </c>
      <c r="J1282">
        <f t="shared" si="115"/>
        <v>1</v>
      </c>
      <c r="K1282">
        <f t="shared" si="116"/>
        <v>0</v>
      </c>
      <c r="L1282">
        <f t="shared" si="117"/>
        <v>0</v>
      </c>
      <c r="M1282">
        <f t="shared" si="118"/>
        <v>0</v>
      </c>
      <c r="N1282">
        <f t="shared" si="119"/>
        <v>0</v>
      </c>
    </row>
    <row r="1283" spans="1:14" x14ac:dyDescent="0.35">
      <c r="A1283" t="s">
        <v>764</v>
      </c>
      <c r="B1283" t="s">
        <v>2449</v>
      </c>
      <c r="C1283" s="7" t="s">
        <v>10</v>
      </c>
      <c r="D1283" t="s">
        <v>111</v>
      </c>
      <c r="E1283" t="s">
        <v>2404</v>
      </c>
      <c r="F1283" t="s">
        <v>1727</v>
      </c>
      <c r="I1283">
        <f t="shared" ref="I1283:I1346" si="120">IF($F1283=$F$1,1,0)</f>
        <v>0</v>
      </c>
      <c r="J1283">
        <f t="shared" ref="J1283:J1346" si="121">IF($F1283=$J$1,1,0)</f>
        <v>0</v>
      </c>
      <c r="K1283">
        <f t="shared" ref="K1283:K1346" si="122">IF($F1283=$K$1,1,0)</f>
        <v>0</v>
      </c>
      <c r="L1283">
        <f t="shared" ref="L1283:L1346" si="123">IF($F1283=$L$1,1,0)</f>
        <v>0</v>
      </c>
      <c r="M1283">
        <f t="shared" ref="M1283:M1346" si="124">IF($F1283=$M$1,1,0)</f>
        <v>1</v>
      </c>
      <c r="N1283">
        <f t="shared" ref="N1283:N1346" si="125">IF($G1283&lt;&gt;"",1,0)</f>
        <v>0</v>
      </c>
    </row>
    <row r="1284" spans="1:14" x14ac:dyDescent="0.35">
      <c r="A1284" t="s">
        <v>583</v>
      </c>
      <c r="B1284" t="s">
        <v>2450</v>
      </c>
      <c r="C1284" s="7" t="s">
        <v>10</v>
      </c>
      <c r="D1284" t="s">
        <v>125</v>
      </c>
      <c r="E1284" t="s">
        <v>2064</v>
      </c>
      <c r="F1284" t="s">
        <v>1727</v>
      </c>
      <c r="I1284">
        <f t="shared" si="120"/>
        <v>0</v>
      </c>
      <c r="J1284">
        <f t="shared" si="121"/>
        <v>0</v>
      </c>
      <c r="K1284">
        <f t="shared" si="122"/>
        <v>0</v>
      </c>
      <c r="L1284">
        <f t="shared" si="123"/>
        <v>0</v>
      </c>
      <c r="M1284">
        <f t="shared" si="124"/>
        <v>1</v>
      </c>
      <c r="N1284">
        <f t="shared" si="125"/>
        <v>0</v>
      </c>
    </row>
    <row r="1285" spans="1:14" x14ac:dyDescent="0.35">
      <c r="A1285" t="s">
        <v>583</v>
      </c>
      <c r="B1285" t="s">
        <v>2450</v>
      </c>
      <c r="C1285" s="7" t="s">
        <v>10</v>
      </c>
      <c r="D1285" t="s">
        <v>125</v>
      </c>
      <c r="E1285" t="s">
        <v>1945</v>
      </c>
      <c r="F1285" t="s">
        <v>1754</v>
      </c>
      <c r="I1285">
        <f t="shared" si="120"/>
        <v>0</v>
      </c>
      <c r="J1285">
        <f t="shared" si="121"/>
        <v>0</v>
      </c>
      <c r="K1285">
        <f t="shared" si="122"/>
        <v>0</v>
      </c>
      <c r="L1285">
        <f t="shared" si="123"/>
        <v>1</v>
      </c>
      <c r="M1285">
        <f t="shared" si="124"/>
        <v>0</v>
      </c>
      <c r="N1285">
        <f t="shared" si="125"/>
        <v>0</v>
      </c>
    </row>
    <row r="1286" spans="1:14" x14ac:dyDescent="0.35">
      <c r="A1286" t="s">
        <v>583</v>
      </c>
      <c r="B1286" t="s">
        <v>2450</v>
      </c>
      <c r="C1286" s="7" t="s">
        <v>10</v>
      </c>
      <c r="D1286" t="s">
        <v>125</v>
      </c>
      <c r="E1286" t="s">
        <v>1829</v>
      </c>
      <c r="F1286" t="s">
        <v>1754</v>
      </c>
      <c r="I1286">
        <f t="shared" si="120"/>
        <v>0</v>
      </c>
      <c r="J1286">
        <f t="shared" si="121"/>
        <v>0</v>
      </c>
      <c r="K1286">
        <f t="shared" si="122"/>
        <v>0</v>
      </c>
      <c r="L1286">
        <f t="shared" si="123"/>
        <v>1</v>
      </c>
      <c r="M1286">
        <f t="shared" si="124"/>
        <v>0</v>
      </c>
      <c r="N1286">
        <f t="shared" si="125"/>
        <v>0</v>
      </c>
    </row>
    <row r="1287" spans="1:14" x14ac:dyDescent="0.35">
      <c r="A1287" t="s">
        <v>583</v>
      </c>
      <c r="B1287" t="s">
        <v>2450</v>
      </c>
      <c r="C1287" s="7" t="s">
        <v>10</v>
      </c>
      <c r="D1287" t="s">
        <v>125</v>
      </c>
      <c r="E1287" t="s">
        <v>1806</v>
      </c>
      <c r="F1287" t="s">
        <v>1754</v>
      </c>
      <c r="I1287">
        <f t="shared" si="120"/>
        <v>0</v>
      </c>
      <c r="J1287">
        <f t="shared" si="121"/>
        <v>0</v>
      </c>
      <c r="K1287">
        <f t="shared" si="122"/>
        <v>0</v>
      </c>
      <c r="L1287">
        <f t="shared" si="123"/>
        <v>1</v>
      </c>
      <c r="M1287">
        <f t="shared" si="124"/>
        <v>0</v>
      </c>
      <c r="N1287">
        <f t="shared" si="125"/>
        <v>0</v>
      </c>
    </row>
    <row r="1288" spans="1:14" x14ac:dyDescent="0.35">
      <c r="A1288" t="s">
        <v>583</v>
      </c>
      <c r="B1288" t="s">
        <v>2450</v>
      </c>
      <c r="C1288" s="7" t="s">
        <v>10</v>
      </c>
      <c r="D1288" t="s">
        <v>125</v>
      </c>
      <c r="E1288" t="s">
        <v>1944</v>
      </c>
      <c r="F1288" t="s">
        <v>1754</v>
      </c>
      <c r="I1288">
        <f t="shared" si="120"/>
        <v>0</v>
      </c>
      <c r="J1288">
        <f t="shared" si="121"/>
        <v>0</v>
      </c>
      <c r="K1288">
        <f t="shared" si="122"/>
        <v>0</v>
      </c>
      <c r="L1288">
        <f t="shared" si="123"/>
        <v>1</v>
      </c>
      <c r="M1288">
        <f t="shared" si="124"/>
        <v>0</v>
      </c>
      <c r="N1288">
        <f t="shared" si="125"/>
        <v>0</v>
      </c>
    </row>
    <row r="1289" spans="1:14" x14ac:dyDescent="0.35">
      <c r="A1289" t="s">
        <v>583</v>
      </c>
      <c r="B1289" t="s">
        <v>2450</v>
      </c>
      <c r="C1289" s="7" t="s">
        <v>10</v>
      </c>
      <c r="D1289" t="s">
        <v>125</v>
      </c>
      <c r="E1289" t="s">
        <v>1807</v>
      </c>
      <c r="F1289" t="s">
        <v>1754</v>
      </c>
      <c r="I1289">
        <f t="shared" si="120"/>
        <v>0</v>
      </c>
      <c r="J1289">
        <f t="shared" si="121"/>
        <v>0</v>
      </c>
      <c r="K1289">
        <f t="shared" si="122"/>
        <v>0</v>
      </c>
      <c r="L1289">
        <f t="shared" si="123"/>
        <v>1</v>
      </c>
      <c r="M1289">
        <f t="shared" si="124"/>
        <v>0</v>
      </c>
      <c r="N1289">
        <f t="shared" si="125"/>
        <v>0</v>
      </c>
    </row>
    <row r="1290" spans="1:14" x14ac:dyDescent="0.35">
      <c r="A1290" t="s">
        <v>583</v>
      </c>
      <c r="B1290" t="s">
        <v>2450</v>
      </c>
      <c r="C1290" s="7" t="s">
        <v>10</v>
      </c>
      <c r="D1290" t="s">
        <v>125</v>
      </c>
      <c r="E1290" t="s">
        <v>2095</v>
      </c>
      <c r="F1290" t="s">
        <v>1754</v>
      </c>
      <c r="I1290">
        <f t="shared" si="120"/>
        <v>0</v>
      </c>
      <c r="J1290">
        <f t="shared" si="121"/>
        <v>0</v>
      </c>
      <c r="K1290">
        <f t="shared" si="122"/>
        <v>0</v>
      </c>
      <c r="L1290">
        <f t="shared" si="123"/>
        <v>1</v>
      </c>
      <c r="M1290">
        <f t="shared" si="124"/>
        <v>0</v>
      </c>
      <c r="N1290">
        <f t="shared" si="125"/>
        <v>0</v>
      </c>
    </row>
    <row r="1291" spans="1:14" x14ac:dyDescent="0.35">
      <c r="A1291" t="s">
        <v>583</v>
      </c>
      <c r="B1291" t="s">
        <v>2450</v>
      </c>
      <c r="C1291" s="7" t="s">
        <v>10</v>
      </c>
      <c r="D1291" t="s">
        <v>125</v>
      </c>
      <c r="E1291" t="s">
        <v>1961</v>
      </c>
      <c r="F1291" t="s">
        <v>1805</v>
      </c>
      <c r="I1291">
        <f t="shared" si="120"/>
        <v>0</v>
      </c>
      <c r="J1291">
        <f t="shared" si="121"/>
        <v>1</v>
      </c>
      <c r="K1291">
        <f t="shared" si="122"/>
        <v>0</v>
      </c>
      <c r="L1291">
        <f t="shared" si="123"/>
        <v>0</v>
      </c>
      <c r="M1291">
        <f t="shared" si="124"/>
        <v>0</v>
      </c>
      <c r="N1291">
        <f t="shared" si="125"/>
        <v>0</v>
      </c>
    </row>
    <row r="1292" spans="1:14" x14ac:dyDescent="0.35">
      <c r="A1292" t="s">
        <v>1087</v>
      </c>
      <c r="B1292" t="s">
        <v>2451</v>
      </c>
      <c r="C1292" s="7" t="s">
        <v>10</v>
      </c>
      <c r="D1292" t="s">
        <v>55</v>
      </c>
      <c r="E1292" t="s">
        <v>1840</v>
      </c>
      <c r="F1292" t="s">
        <v>1760</v>
      </c>
      <c r="I1292">
        <f t="shared" si="120"/>
        <v>0</v>
      </c>
      <c r="J1292">
        <f t="shared" si="121"/>
        <v>0</v>
      </c>
      <c r="K1292">
        <f t="shared" si="122"/>
        <v>1</v>
      </c>
      <c r="L1292">
        <f t="shared" si="123"/>
        <v>0</v>
      </c>
      <c r="M1292">
        <f t="shared" si="124"/>
        <v>0</v>
      </c>
      <c r="N1292">
        <f t="shared" si="125"/>
        <v>0</v>
      </c>
    </row>
    <row r="1293" spans="1:14" x14ac:dyDescent="0.35">
      <c r="A1293" t="s">
        <v>1473</v>
      </c>
      <c r="B1293" t="s">
        <v>2452</v>
      </c>
      <c r="C1293" s="7" t="s">
        <v>10</v>
      </c>
      <c r="D1293" t="s">
        <v>447</v>
      </c>
      <c r="E1293" t="s">
        <v>1894</v>
      </c>
      <c r="F1293" t="s">
        <v>1754</v>
      </c>
      <c r="I1293">
        <f t="shared" si="120"/>
        <v>0</v>
      </c>
      <c r="J1293">
        <f t="shared" si="121"/>
        <v>0</v>
      </c>
      <c r="K1293">
        <f t="shared" si="122"/>
        <v>0</v>
      </c>
      <c r="L1293">
        <f t="shared" si="123"/>
        <v>1</v>
      </c>
      <c r="M1293">
        <f t="shared" si="124"/>
        <v>0</v>
      </c>
      <c r="N1293">
        <f t="shared" si="125"/>
        <v>0</v>
      </c>
    </row>
    <row r="1294" spans="1:14" x14ac:dyDescent="0.35">
      <c r="A1294" t="s">
        <v>1473</v>
      </c>
      <c r="B1294" t="s">
        <v>2452</v>
      </c>
      <c r="C1294" s="7" t="s">
        <v>10</v>
      </c>
      <c r="D1294" t="s">
        <v>447</v>
      </c>
      <c r="E1294" t="s">
        <v>1896</v>
      </c>
      <c r="F1294" t="s">
        <v>1754</v>
      </c>
      <c r="I1294">
        <f t="shared" si="120"/>
        <v>0</v>
      </c>
      <c r="J1294">
        <f t="shared" si="121"/>
        <v>0</v>
      </c>
      <c r="K1294">
        <f t="shared" si="122"/>
        <v>0</v>
      </c>
      <c r="L1294">
        <f t="shared" si="123"/>
        <v>1</v>
      </c>
      <c r="M1294">
        <f t="shared" si="124"/>
        <v>0</v>
      </c>
      <c r="N1294">
        <f t="shared" si="125"/>
        <v>0</v>
      </c>
    </row>
    <row r="1295" spans="1:14" x14ac:dyDescent="0.35">
      <c r="A1295" t="s">
        <v>1208</v>
      </c>
      <c r="B1295" t="s">
        <v>2453</v>
      </c>
      <c r="C1295" s="7" t="s">
        <v>10</v>
      </c>
      <c r="D1295" t="s">
        <v>55</v>
      </c>
      <c r="E1295" t="s">
        <v>1904</v>
      </c>
      <c r="F1295" t="s">
        <v>1760</v>
      </c>
      <c r="I1295">
        <f t="shared" si="120"/>
        <v>0</v>
      </c>
      <c r="J1295">
        <f t="shared" si="121"/>
        <v>0</v>
      </c>
      <c r="K1295">
        <f t="shared" si="122"/>
        <v>1</v>
      </c>
      <c r="L1295">
        <f t="shared" si="123"/>
        <v>0</v>
      </c>
      <c r="M1295">
        <f t="shared" si="124"/>
        <v>0</v>
      </c>
      <c r="N1295">
        <f t="shared" si="125"/>
        <v>0</v>
      </c>
    </row>
    <row r="1296" spans="1:14" x14ac:dyDescent="0.35">
      <c r="A1296" t="s">
        <v>1208</v>
      </c>
      <c r="B1296" t="s">
        <v>2453</v>
      </c>
      <c r="C1296" s="7" t="s">
        <v>10</v>
      </c>
      <c r="D1296" t="s">
        <v>55</v>
      </c>
      <c r="E1296" t="s">
        <v>1905</v>
      </c>
      <c r="F1296" t="s">
        <v>1760</v>
      </c>
      <c r="I1296">
        <f t="shared" si="120"/>
        <v>0</v>
      </c>
      <c r="J1296">
        <f t="shared" si="121"/>
        <v>0</v>
      </c>
      <c r="K1296">
        <f t="shared" si="122"/>
        <v>1</v>
      </c>
      <c r="L1296">
        <f t="shared" si="123"/>
        <v>0</v>
      </c>
      <c r="M1296">
        <f t="shared" si="124"/>
        <v>0</v>
      </c>
      <c r="N1296">
        <f t="shared" si="125"/>
        <v>0</v>
      </c>
    </row>
    <row r="1297" spans="1:14" x14ac:dyDescent="0.35">
      <c r="A1297" t="s">
        <v>443</v>
      </c>
      <c r="B1297" t="s">
        <v>2454</v>
      </c>
      <c r="C1297" s="7" t="s">
        <v>10</v>
      </c>
      <c r="D1297" t="s">
        <v>444</v>
      </c>
      <c r="E1297" t="s">
        <v>1968</v>
      </c>
      <c r="F1297" t="s">
        <v>1760</v>
      </c>
      <c r="I1297">
        <f t="shared" si="120"/>
        <v>0</v>
      </c>
      <c r="J1297">
        <f t="shared" si="121"/>
        <v>0</v>
      </c>
      <c r="K1297">
        <f t="shared" si="122"/>
        <v>1</v>
      </c>
      <c r="L1297">
        <f t="shared" si="123"/>
        <v>0</v>
      </c>
      <c r="M1297">
        <f t="shared" si="124"/>
        <v>0</v>
      </c>
      <c r="N1297">
        <f t="shared" si="125"/>
        <v>0</v>
      </c>
    </row>
    <row r="1298" spans="1:14" x14ac:dyDescent="0.35">
      <c r="A1298" t="s">
        <v>1353</v>
      </c>
      <c r="B1298" t="s">
        <v>2455</v>
      </c>
      <c r="C1298" s="7" t="s">
        <v>10</v>
      </c>
      <c r="D1298" t="s">
        <v>1354</v>
      </c>
      <c r="E1298" t="s">
        <v>1941</v>
      </c>
      <c r="F1298" t="s">
        <v>1754</v>
      </c>
      <c r="I1298">
        <f t="shared" si="120"/>
        <v>0</v>
      </c>
      <c r="J1298">
        <f t="shared" si="121"/>
        <v>0</v>
      </c>
      <c r="K1298">
        <f t="shared" si="122"/>
        <v>0</v>
      </c>
      <c r="L1298">
        <f t="shared" si="123"/>
        <v>1</v>
      </c>
      <c r="M1298">
        <f t="shared" si="124"/>
        <v>0</v>
      </c>
      <c r="N1298">
        <f t="shared" si="125"/>
        <v>0</v>
      </c>
    </row>
    <row r="1299" spans="1:14" x14ac:dyDescent="0.35">
      <c r="A1299" t="s">
        <v>1353</v>
      </c>
      <c r="B1299" t="s">
        <v>2455</v>
      </c>
      <c r="C1299" s="7" t="s">
        <v>10</v>
      </c>
      <c r="D1299" t="s">
        <v>1354</v>
      </c>
      <c r="E1299" t="s">
        <v>1940</v>
      </c>
      <c r="F1299" t="s">
        <v>1754</v>
      </c>
      <c r="I1299">
        <f t="shared" si="120"/>
        <v>0</v>
      </c>
      <c r="J1299">
        <f t="shared" si="121"/>
        <v>0</v>
      </c>
      <c r="K1299">
        <f t="shared" si="122"/>
        <v>0</v>
      </c>
      <c r="L1299">
        <f t="shared" si="123"/>
        <v>1</v>
      </c>
      <c r="M1299">
        <f t="shared" si="124"/>
        <v>0</v>
      </c>
      <c r="N1299">
        <f t="shared" si="125"/>
        <v>0</v>
      </c>
    </row>
    <row r="1300" spans="1:14" x14ac:dyDescent="0.35">
      <c r="A1300" t="s">
        <v>967</v>
      </c>
      <c r="B1300" t="s">
        <v>2456</v>
      </c>
      <c r="C1300" s="7" t="s">
        <v>10</v>
      </c>
      <c r="D1300" t="s">
        <v>55</v>
      </c>
      <c r="E1300" t="s">
        <v>2046</v>
      </c>
      <c r="F1300" t="s">
        <v>1754</v>
      </c>
      <c r="I1300">
        <f t="shared" si="120"/>
        <v>0</v>
      </c>
      <c r="J1300">
        <f t="shared" si="121"/>
        <v>0</v>
      </c>
      <c r="K1300">
        <f t="shared" si="122"/>
        <v>0</v>
      </c>
      <c r="L1300">
        <f t="shared" si="123"/>
        <v>1</v>
      </c>
      <c r="M1300">
        <f t="shared" si="124"/>
        <v>0</v>
      </c>
      <c r="N1300">
        <f t="shared" si="125"/>
        <v>0</v>
      </c>
    </row>
    <row r="1301" spans="1:14" x14ac:dyDescent="0.35">
      <c r="A1301" t="s">
        <v>967</v>
      </c>
      <c r="B1301" t="s">
        <v>2456</v>
      </c>
      <c r="C1301" s="7" t="s">
        <v>10</v>
      </c>
      <c r="D1301" t="s">
        <v>55</v>
      </c>
      <c r="E1301" t="s">
        <v>1877</v>
      </c>
      <c r="F1301" t="s">
        <v>1754</v>
      </c>
      <c r="I1301">
        <f t="shared" si="120"/>
        <v>0</v>
      </c>
      <c r="J1301">
        <f t="shared" si="121"/>
        <v>0</v>
      </c>
      <c r="K1301">
        <f t="shared" si="122"/>
        <v>0</v>
      </c>
      <c r="L1301">
        <f t="shared" si="123"/>
        <v>1</v>
      </c>
      <c r="M1301">
        <f t="shared" si="124"/>
        <v>0</v>
      </c>
      <c r="N1301">
        <f t="shared" si="125"/>
        <v>0</v>
      </c>
    </row>
    <row r="1302" spans="1:14" x14ac:dyDescent="0.35">
      <c r="A1302" t="s">
        <v>967</v>
      </c>
      <c r="B1302" t="s">
        <v>2456</v>
      </c>
      <c r="C1302" s="7" t="s">
        <v>10</v>
      </c>
      <c r="D1302" t="s">
        <v>55</v>
      </c>
      <c r="E1302" t="s">
        <v>1849</v>
      </c>
      <c r="F1302" t="s">
        <v>1754</v>
      </c>
      <c r="I1302">
        <f t="shared" si="120"/>
        <v>0</v>
      </c>
      <c r="J1302">
        <f t="shared" si="121"/>
        <v>0</v>
      </c>
      <c r="K1302">
        <f t="shared" si="122"/>
        <v>0</v>
      </c>
      <c r="L1302">
        <f t="shared" si="123"/>
        <v>1</v>
      </c>
      <c r="M1302">
        <f t="shared" si="124"/>
        <v>0</v>
      </c>
      <c r="N1302">
        <f t="shared" si="125"/>
        <v>0</v>
      </c>
    </row>
    <row r="1303" spans="1:14" x14ac:dyDescent="0.35">
      <c r="A1303" t="s">
        <v>967</v>
      </c>
      <c r="B1303" t="s">
        <v>2456</v>
      </c>
      <c r="C1303" s="7" t="s">
        <v>10</v>
      </c>
      <c r="D1303" t="s">
        <v>55</v>
      </c>
      <c r="E1303" t="s">
        <v>1830</v>
      </c>
      <c r="F1303" t="s">
        <v>1754</v>
      </c>
      <c r="I1303">
        <f t="shared" si="120"/>
        <v>0</v>
      </c>
      <c r="J1303">
        <f t="shared" si="121"/>
        <v>0</v>
      </c>
      <c r="K1303">
        <f t="shared" si="122"/>
        <v>0</v>
      </c>
      <c r="L1303">
        <f t="shared" si="123"/>
        <v>1</v>
      </c>
      <c r="M1303">
        <f t="shared" si="124"/>
        <v>0</v>
      </c>
      <c r="N1303">
        <f t="shared" si="125"/>
        <v>0</v>
      </c>
    </row>
    <row r="1304" spans="1:14" x14ac:dyDescent="0.35">
      <c r="A1304" t="s">
        <v>1395</v>
      </c>
      <c r="B1304" t="s">
        <v>2457</v>
      </c>
      <c r="C1304" s="7" t="s">
        <v>10</v>
      </c>
      <c r="D1304" t="s">
        <v>1397</v>
      </c>
      <c r="E1304" t="s">
        <v>1945</v>
      </c>
      <c r="F1304" t="s">
        <v>1754</v>
      </c>
      <c r="I1304">
        <f t="shared" si="120"/>
        <v>0</v>
      </c>
      <c r="J1304">
        <f t="shared" si="121"/>
        <v>0</v>
      </c>
      <c r="K1304">
        <f t="shared" si="122"/>
        <v>0</v>
      </c>
      <c r="L1304">
        <f t="shared" si="123"/>
        <v>1</v>
      </c>
      <c r="M1304">
        <f t="shared" si="124"/>
        <v>0</v>
      </c>
      <c r="N1304">
        <f t="shared" si="125"/>
        <v>0</v>
      </c>
    </row>
    <row r="1305" spans="1:14" x14ac:dyDescent="0.35">
      <c r="A1305" t="s">
        <v>1395</v>
      </c>
      <c r="B1305" t="s">
        <v>2457</v>
      </c>
      <c r="C1305" s="7" t="s">
        <v>10</v>
      </c>
      <c r="D1305" t="s">
        <v>1397</v>
      </c>
      <c r="E1305" t="s">
        <v>1930</v>
      </c>
      <c r="F1305" t="s">
        <v>1754</v>
      </c>
      <c r="I1305">
        <f t="shared" si="120"/>
        <v>0</v>
      </c>
      <c r="J1305">
        <f t="shared" si="121"/>
        <v>0</v>
      </c>
      <c r="K1305">
        <f t="shared" si="122"/>
        <v>0</v>
      </c>
      <c r="L1305">
        <f t="shared" si="123"/>
        <v>1</v>
      </c>
      <c r="M1305">
        <f t="shared" si="124"/>
        <v>0</v>
      </c>
      <c r="N1305">
        <f t="shared" si="125"/>
        <v>0</v>
      </c>
    </row>
    <row r="1306" spans="1:14" x14ac:dyDescent="0.35">
      <c r="A1306" t="s">
        <v>1395</v>
      </c>
      <c r="B1306" t="s">
        <v>2457</v>
      </c>
      <c r="C1306" s="7" t="s">
        <v>10</v>
      </c>
      <c r="D1306" t="s">
        <v>1397</v>
      </c>
      <c r="E1306" t="s">
        <v>2130</v>
      </c>
      <c r="F1306" t="s">
        <v>1754</v>
      </c>
      <c r="I1306">
        <f t="shared" si="120"/>
        <v>0</v>
      </c>
      <c r="J1306">
        <f t="shared" si="121"/>
        <v>0</v>
      </c>
      <c r="K1306">
        <f t="shared" si="122"/>
        <v>0</v>
      </c>
      <c r="L1306">
        <f t="shared" si="123"/>
        <v>1</v>
      </c>
      <c r="M1306">
        <f t="shared" si="124"/>
        <v>0</v>
      </c>
      <c r="N1306">
        <f t="shared" si="125"/>
        <v>0</v>
      </c>
    </row>
    <row r="1307" spans="1:14" x14ac:dyDescent="0.35">
      <c r="A1307" t="s">
        <v>1395</v>
      </c>
      <c r="B1307" t="s">
        <v>2457</v>
      </c>
      <c r="C1307" s="7" t="s">
        <v>10</v>
      </c>
      <c r="D1307" t="s">
        <v>1397</v>
      </c>
      <c r="E1307" t="s">
        <v>1929</v>
      </c>
      <c r="F1307" t="s">
        <v>1754</v>
      </c>
      <c r="I1307">
        <f t="shared" si="120"/>
        <v>0</v>
      </c>
      <c r="J1307">
        <f t="shared" si="121"/>
        <v>0</v>
      </c>
      <c r="K1307">
        <f t="shared" si="122"/>
        <v>0</v>
      </c>
      <c r="L1307">
        <f t="shared" si="123"/>
        <v>1</v>
      </c>
      <c r="M1307">
        <f t="shared" si="124"/>
        <v>0</v>
      </c>
      <c r="N1307">
        <f t="shared" si="125"/>
        <v>0</v>
      </c>
    </row>
    <row r="1308" spans="1:14" x14ac:dyDescent="0.35">
      <c r="A1308" t="s">
        <v>1395</v>
      </c>
      <c r="B1308" t="s">
        <v>2457</v>
      </c>
      <c r="C1308" s="7" t="s">
        <v>10</v>
      </c>
      <c r="D1308" t="s">
        <v>1397</v>
      </c>
      <c r="E1308" t="s">
        <v>2017</v>
      </c>
      <c r="F1308" t="s">
        <v>1754</v>
      </c>
      <c r="I1308">
        <f t="shared" si="120"/>
        <v>0</v>
      </c>
      <c r="J1308">
        <f t="shared" si="121"/>
        <v>0</v>
      </c>
      <c r="K1308">
        <f t="shared" si="122"/>
        <v>0</v>
      </c>
      <c r="L1308">
        <f t="shared" si="123"/>
        <v>1</v>
      </c>
      <c r="M1308">
        <f t="shared" si="124"/>
        <v>0</v>
      </c>
      <c r="N1308">
        <f t="shared" si="125"/>
        <v>0</v>
      </c>
    </row>
    <row r="1309" spans="1:14" x14ac:dyDescent="0.35">
      <c r="A1309" t="s">
        <v>830</v>
      </c>
      <c r="B1309" t="s">
        <v>2458</v>
      </c>
      <c r="C1309" s="7" t="s">
        <v>10</v>
      </c>
      <c r="D1309" t="s">
        <v>51</v>
      </c>
      <c r="E1309" t="s">
        <v>2238</v>
      </c>
      <c r="F1309" t="s">
        <v>1754</v>
      </c>
      <c r="I1309">
        <f t="shared" si="120"/>
        <v>0</v>
      </c>
      <c r="J1309">
        <f t="shared" si="121"/>
        <v>0</v>
      </c>
      <c r="K1309">
        <f t="shared" si="122"/>
        <v>0</v>
      </c>
      <c r="L1309">
        <f t="shared" si="123"/>
        <v>1</v>
      </c>
      <c r="M1309">
        <f t="shared" si="124"/>
        <v>0</v>
      </c>
      <c r="N1309">
        <f t="shared" si="125"/>
        <v>0</v>
      </c>
    </row>
    <row r="1310" spans="1:14" x14ac:dyDescent="0.35">
      <c r="A1310" t="s">
        <v>830</v>
      </c>
      <c r="B1310" t="s">
        <v>2458</v>
      </c>
      <c r="C1310" s="7" t="s">
        <v>10</v>
      </c>
      <c r="D1310" t="s">
        <v>51</v>
      </c>
      <c r="E1310" t="s">
        <v>2015</v>
      </c>
      <c r="F1310" t="s">
        <v>1754</v>
      </c>
      <c r="I1310">
        <f t="shared" si="120"/>
        <v>0</v>
      </c>
      <c r="J1310">
        <f t="shared" si="121"/>
        <v>0</v>
      </c>
      <c r="K1310">
        <f t="shared" si="122"/>
        <v>0</v>
      </c>
      <c r="L1310">
        <f t="shared" si="123"/>
        <v>1</v>
      </c>
      <c r="M1310">
        <f t="shared" si="124"/>
        <v>0</v>
      </c>
      <c r="N1310">
        <f t="shared" si="125"/>
        <v>0</v>
      </c>
    </row>
    <row r="1311" spans="1:14" x14ac:dyDescent="0.35">
      <c r="A1311" t="s">
        <v>1431</v>
      </c>
      <c r="B1311" t="s">
        <v>2459</v>
      </c>
      <c r="C1311" s="7" t="s">
        <v>10</v>
      </c>
      <c r="D1311" t="s">
        <v>100</v>
      </c>
      <c r="E1311" t="s">
        <v>2053</v>
      </c>
      <c r="F1311" t="s">
        <v>1805</v>
      </c>
      <c r="I1311">
        <f t="shared" si="120"/>
        <v>0</v>
      </c>
      <c r="J1311">
        <f t="shared" si="121"/>
        <v>1</v>
      </c>
      <c r="K1311">
        <f t="shared" si="122"/>
        <v>0</v>
      </c>
      <c r="L1311">
        <f t="shared" si="123"/>
        <v>0</v>
      </c>
      <c r="M1311">
        <f t="shared" si="124"/>
        <v>0</v>
      </c>
      <c r="N1311">
        <f t="shared" si="125"/>
        <v>0</v>
      </c>
    </row>
    <row r="1312" spans="1:14" x14ac:dyDescent="0.35">
      <c r="A1312" t="s">
        <v>1431</v>
      </c>
      <c r="B1312" t="s">
        <v>2459</v>
      </c>
      <c r="C1312" s="7" t="s">
        <v>10</v>
      </c>
      <c r="D1312" t="s">
        <v>100</v>
      </c>
      <c r="E1312" t="s">
        <v>1959</v>
      </c>
      <c r="F1312" t="s">
        <v>1760</v>
      </c>
      <c r="I1312">
        <f t="shared" si="120"/>
        <v>0</v>
      </c>
      <c r="J1312">
        <f t="shared" si="121"/>
        <v>0</v>
      </c>
      <c r="K1312">
        <f t="shared" si="122"/>
        <v>1</v>
      </c>
      <c r="L1312">
        <f t="shared" si="123"/>
        <v>0</v>
      </c>
      <c r="M1312">
        <f t="shared" si="124"/>
        <v>0</v>
      </c>
      <c r="N1312">
        <f t="shared" si="125"/>
        <v>0</v>
      </c>
    </row>
    <row r="1313" spans="1:14" x14ac:dyDescent="0.35">
      <c r="A1313" t="s">
        <v>1431</v>
      </c>
      <c r="B1313" t="s">
        <v>2459</v>
      </c>
      <c r="C1313" s="7" t="s">
        <v>10</v>
      </c>
      <c r="D1313" t="s">
        <v>100</v>
      </c>
      <c r="E1313" t="s">
        <v>1856</v>
      </c>
      <c r="F1313" t="s">
        <v>1760</v>
      </c>
      <c r="I1313">
        <f t="shared" si="120"/>
        <v>0</v>
      </c>
      <c r="J1313">
        <f t="shared" si="121"/>
        <v>0</v>
      </c>
      <c r="K1313">
        <f t="shared" si="122"/>
        <v>1</v>
      </c>
      <c r="L1313">
        <f t="shared" si="123"/>
        <v>0</v>
      </c>
      <c r="M1313">
        <f t="shared" si="124"/>
        <v>0</v>
      </c>
      <c r="N1313">
        <f t="shared" si="125"/>
        <v>0</v>
      </c>
    </row>
    <row r="1314" spans="1:14" x14ac:dyDescent="0.35">
      <c r="A1314" t="s">
        <v>778</v>
      </c>
      <c r="B1314" t="s">
        <v>2460</v>
      </c>
      <c r="C1314" s="7" t="s">
        <v>10</v>
      </c>
      <c r="D1314" t="s">
        <v>55</v>
      </c>
      <c r="E1314" t="s">
        <v>2017</v>
      </c>
      <c r="F1314" t="s">
        <v>1754</v>
      </c>
      <c r="I1314">
        <f t="shared" si="120"/>
        <v>0</v>
      </c>
      <c r="J1314">
        <f t="shared" si="121"/>
        <v>0</v>
      </c>
      <c r="K1314">
        <f t="shared" si="122"/>
        <v>0</v>
      </c>
      <c r="L1314">
        <f t="shared" si="123"/>
        <v>1</v>
      </c>
      <c r="M1314">
        <f t="shared" si="124"/>
        <v>0</v>
      </c>
      <c r="N1314">
        <f t="shared" si="125"/>
        <v>0</v>
      </c>
    </row>
    <row r="1315" spans="1:14" x14ac:dyDescent="0.35">
      <c r="A1315" t="s">
        <v>778</v>
      </c>
      <c r="B1315" t="s">
        <v>2460</v>
      </c>
      <c r="C1315" s="7" t="s">
        <v>10</v>
      </c>
      <c r="D1315" t="s">
        <v>55</v>
      </c>
      <c r="E1315" t="s">
        <v>2020</v>
      </c>
      <c r="F1315" t="s">
        <v>1754</v>
      </c>
      <c r="I1315">
        <f t="shared" si="120"/>
        <v>0</v>
      </c>
      <c r="J1315">
        <f t="shared" si="121"/>
        <v>0</v>
      </c>
      <c r="K1315">
        <f t="shared" si="122"/>
        <v>0</v>
      </c>
      <c r="L1315">
        <f t="shared" si="123"/>
        <v>1</v>
      </c>
      <c r="M1315">
        <f t="shared" si="124"/>
        <v>0</v>
      </c>
      <c r="N1315">
        <f t="shared" si="125"/>
        <v>0</v>
      </c>
    </row>
    <row r="1316" spans="1:14" x14ac:dyDescent="0.35">
      <c r="A1316" t="s">
        <v>778</v>
      </c>
      <c r="B1316" t="s">
        <v>2460</v>
      </c>
      <c r="C1316" s="7" t="s">
        <v>10</v>
      </c>
      <c r="D1316" t="s">
        <v>55</v>
      </c>
      <c r="E1316" t="s">
        <v>1836</v>
      </c>
      <c r="F1316" t="s">
        <v>1754</v>
      </c>
      <c r="I1316">
        <f t="shared" si="120"/>
        <v>0</v>
      </c>
      <c r="J1316">
        <f t="shared" si="121"/>
        <v>0</v>
      </c>
      <c r="K1316">
        <f t="shared" si="122"/>
        <v>0</v>
      </c>
      <c r="L1316">
        <f t="shared" si="123"/>
        <v>1</v>
      </c>
      <c r="M1316">
        <f t="shared" si="124"/>
        <v>0</v>
      </c>
      <c r="N1316">
        <f t="shared" si="125"/>
        <v>0</v>
      </c>
    </row>
    <row r="1317" spans="1:14" x14ac:dyDescent="0.35">
      <c r="A1317" t="s">
        <v>778</v>
      </c>
      <c r="B1317" t="s">
        <v>2460</v>
      </c>
      <c r="C1317" s="7" t="s">
        <v>10</v>
      </c>
      <c r="D1317" t="s">
        <v>55</v>
      </c>
      <c r="E1317" t="s">
        <v>1994</v>
      </c>
      <c r="F1317" t="s">
        <v>1754</v>
      </c>
      <c r="I1317">
        <f t="shared" si="120"/>
        <v>0</v>
      </c>
      <c r="J1317">
        <f t="shared" si="121"/>
        <v>0</v>
      </c>
      <c r="K1317">
        <f t="shared" si="122"/>
        <v>0</v>
      </c>
      <c r="L1317">
        <f t="shared" si="123"/>
        <v>1</v>
      </c>
      <c r="M1317">
        <f t="shared" si="124"/>
        <v>0</v>
      </c>
      <c r="N1317">
        <f t="shared" si="125"/>
        <v>0</v>
      </c>
    </row>
    <row r="1318" spans="1:14" x14ac:dyDescent="0.35">
      <c r="A1318" t="s">
        <v>341</v>
      </c>
      <c r="B1318" t="s">
        <v>2281</v>
      </c>
      <c r="C1318" s="7" t="s">
        <v>10</v>
      </c>
      <c r="D1318" t="s">
        <v>342</v>
      </c>
      <c r="E1318" t="s">
        <v>1928</v>
      </c>
      <c r="F1318" t="s">
        <v>1754</v>
      </c>
      <c r="I1318">
        <f t="shared" si="120"/>
        <v>0</v>
      </c>
      <c r="J1318">
        <f t="shared" si="121"/>
        <v>0</v>
      </c>
      <c r="K1318">
        <f t="shared" si="122"/>
        <v>0</v>
      </c>
      <c r="L1318">
        <f t="shared" si="123"/>
        <v>1</v>
      </c>
      <c r="M1318">
        <f t="shared" si="124"/>
        <v>0</v>
      </c>
      <c r="N1318">
        <f t="shared" si="125"/>
        <v>0</v>
      </c>
    </row>
    <row r="1319" spans="1:14" x14ac:dyDescent="0.35">
      <c r="A1319" t="s">
        <v>341</v>
      </c>
      <c r="B1319" t="s">
        <v>2281</v>
      </c>
      <c r="C1319" s="7" t="s">
        <v>10</v>
      </c>
      <c r="D1319" t="s">
        <v>342</v>
      </c>
      <c r="E1319" t="s">
        <v>1931</v>
      </c>
      <c r="F1319" t="s">
        <v>1754</v>
      </c>
      <c r="I1319">
        <f t="shared" si="120"/>
        <v>0</v>
      </c>
      <c r="J1319">
        <f t="shared" si="121"/>
        <v>0</v>
      </c>
      <c r="K1319">
        <f t="shared" si="122"/>
        <v>0</v>
      </c>
      <c r="L1319">
        <f t="shared" si="123"/>
        <v>1</v>
      </c>
      <c r="M1319">
        <f t="shared" si="124"/>
        <v>0</v>
      </c>
      <c r="N1319">
        <f t="shared" si="125"/>
        <v>0</v>
      </c>
    </row>
    <row r="1320" spans="1:14" x14ac:dyDescent="0.35">
      <c r="A1320" t="s">
        <v>786</v>
      </c>
      <c r="B1320" t="s">
        <v>2461</v>
      </c>
      <c r="C1320" s="7" t="s">
        <v>10</v>
      </c>
      <c r="D1320" t="s">
        <v>51</v>
      </c>
      <c r="E1320" t="s">
        <v>1828</v>
      </c>
      <c r="F1320" t="s">
        <v>1754</v>
      </c>
      <c r="I1320">
        <f t="shared" si="120"/>
        <v>0</v>
      </c>
      <c r="J1320">
        <f t="shared" si="121"/>
        <v>0</v>
      </c>
      <c r="K1320">
        <f t="shared" si="122"/>
        <v>0</v>
      </c>
      <c r="L1320">
        <f t="shared" si="123"/>
        <v>1</v>
      </c>
      <c r="M1320">
        <f t="shared" si="124"/>
        <v>0</v>
      </c>
      <c r="N1320">
        <f t="shared" si="125"/>
        <v>0</v>
      </c>
    </row>
    <row r="1321" spans="1:14" x14ac:dyDescent="0.35">
      <c r="A1321" t="s">
        <v>923</v>
      </c>
      <c r="B1321" t="s">
        <v>2462</v>
      </c>
      <c r="C1321" s="7" t="s">
        <v>10</v>
      </c>
      <c r="D1321" t="s">
        <v>281</v>
      </c>
      <c r="E1321" t="s">
        <v>1821</v>
      </c>
      <c r="F1321" t="s">
        <v>1760</v>
      </c>
      <c r="I1321">
        <f t="shared" si="120"/>
        <v>0</v>
      </c>
      <c r="J1321">
        <f t="shared" si="121"/>
        <v>0</v>
      </c>
      <c r="K1321">
        <f t="shared" si="122"/>
        <v>1</v>
      </c>
      <c r="L1321">
        <f t="shared" si="123"/>
        <v>0</v>
      </c>
      <c r="M1321">
        <f t="shared" si="124"/>
        <v>0</v>
      </c>
      <c r="N1321">
        <f t="shared" si="125"/>
        <v>0</v>
      </c>
    </row>
    <row r="1322" spans="1:14" x14ac:dyDescent="0.35">
      <c r="A1322" t="s">
        <v>923</v>
      </c>
      <c r="B1322" t="s">
        <v>2462</v>
      </c>
      <c r="C1322" s="7" t="s">
        <v>10</v>
      </c>
      <c r="D1322" t="s">
        <v>281</v>
      </c>
      <c r="E1322" t="s">
        <v>1963</v>
      </c>
      <c r="F1322" t="s">
        <v>1760</v>
      </c>
      <c r="I1322">
        <f t="shared" si="120"/>
        <v>0</v>
      </c>
      <c r="J1322">
        <f t="shared" si="121"/>
        <v>0</v>
      </c>
      <c r="K1322">
        <f t="shared" si="122"/>
        <v>1</v>
      </c>
      <c r="L1322">
        <f t="shared" si="123"/>
        <v>0</v>
      </c>
      <c r="M1322">
        <f t="shared" si="124"/>
        <v>0</v>
      </c>
      <c r="N1322">
        <f t="shared" si="125"/>
        <v>0</v>
      </c>
    </row>
    <row r="1323" spans="1:14" x14ac:dyDescent="0.35">
      <c r="A1323" t="s">
        <v>923</v>
      </c>
      <c r="B1323" t="s">
        <v>2462</v>
      </c>
      <c r="C1323" s="7" t="s">
        <v>10</v>
      </c>
      <c r="D1323" t="s">
        <v>281</v>
      </c>
      <c r="E1323" t="s">
        <v>1840</v>
      </c>
      <c r="F1323" t="s">
        <v>1760</v>
      </c>
      <c r="I1323">
        <f t="shared" si="120"/>
        <v>0</v>
      </c>
      <c r="J1323">
        <f t="shared" si="121"/>
        <v>0</v>
      </c>
      <c r="K1323">
        <f t="shared" si="122"/>
        <v>1</v>
      </c>
      <c r="L1323">
        <f t="shared" si="123"/>
        <v>0</v>
      </c>
      <c r="M1323">
        <f t="shared" si="124"/>
        <v>0</v>
      </c>
      <c r="N1323">
        <f t="shared" si="125"/>
        <v>0</v>
      </c>
    </row>
    <row r="1324" spans="1:14" x14ac:dyDescent="0.35">
      <c r="A1324" t="s">
        <v>923</v>
      </c>
      <c r="B1324" t="s">
        <v>2462</v>
      </c>
      <c r="C1324" s="7" t="s">
        <v>10</v>
      </c>
      <c r="D1324" t="s">
        <v>281</v>
      </c>
      <c r="E1324" t="s">
        <v>1822</v>
      </c>
      <c r="F1324" t="s">
        <v>1760</v>
      </c>
      <c r="I1324">
        <f t="shared" si="120"/>
        <v>0</v>
      </c>
      <c r="J1324">
        <f t="shared" si="121"/>
        <v>0</v>
      </c>
      <c r="K1324">
        <f t="shared" si="122"/>
        <v>1</v>
      </c>
      <c r="L1324">
        <f t="shared" si="123"/>
        <v>0</v>
      </c>
      <c r="M1324">
        <f t="shared" si="124"/>
        <v>0</v>
      </c>
      <c r="N1324">
        <f t="shared" si="125"/>
        <v>0</v>
      </c>
    </row>
    <row r="1325" spans="1:14" x14ac:dyDescent="0.35">
      <c r="A1325" t="s">
        <v>1250</v>
      </c>
      <c r="B1325" t="s">
        <v>2463</v>
      </c>
      <c r="C1325" s="7" t="s">
        <v>10</v>
      </c>
      <c r="D1325" t="s">
        <v>55</v>
      </c>
      <c r="E1325" t="s">
        <v>1828</v>
      </c>
      <c r="F1325" t="s">
        <v>1754</v>
      </c>
      <c r="I1325">
        <f t="shared" si="120"/>
        <v>0</v>
      </c>
      <c r="J1325">
        <f t="shared" si="121"/>
        <v>0</v>
      </c>
      <c r="K1325">
        <f t="shared" si="122"/>
        <v>0</v>
      </c>
      <c r="L1325">
        <f t="shared" si="123"/>
        <v>1</v>
      </c>
      <c r="M1325">
        <f t="shared" si="124"/>
        <v>0</v>
      </c>
      <c r="N1325">
        <f t="shared" si="125"/>
        <v>0</v>
      </c>
    </row>
    <row r="1326" spans="1:14" x14ac:dyDescent="0.35">
      <c r="A1326" t="s">
        <v>1250</v>
      </c>
      <c r="B1326" t="s">
        <v>2463</v>
      </c>
      <c r="C1326" s="7" t="s">
        <v>10</v>
      </c>
      <c r="D1326" t="s">
        <v>55</v>
      </c>
      <c r="E1326" t="s">
        <v>1829</v>
      </c>
      <c r="F1326" t="s">
        <v>1754</v>
      </c>
      <c r="I1326">
        <f t="shared" si="120"/>
        <v>0</v>
      </c>
      <c r="J1326">
        <f t="shared" si="121"/>
        <v>0</v>
      </c>
      <c r="K1326">
        <f t="shared" si="122"/>
        <v>0</v>
      </c>
      <c r="L1326">
        <f t="shared" si="123"/>
        <v>1</v>
      </c>
      <c r="M1326">
        <f t="shared" si="124"/>
        <v>0</v>
      </c>
      <c r="N1326">
        <f t="shared" si="125"/>
        <v>0</v>
      </c>
    </row>
    <row r="1327" spans="1:14" x14ac:dyDescent="0.35">
      <c r="A1327" t="s">
        <v>782</v>
      </c>
      <c r="B1327" t="s">
        <v>2464</v>
      </c>
      <c r="C1327" s="7" t="s">
        <v>10</v>
      </c>
      <c r="D1327" t="s">
        <v>155</v>
      </c>
      <c r="E1327" t="s">
        <v>2175</v>
      </c>
      <c r="F1327" t="s">
        <v>1727</v>
      </c>
      <c r="I1327">
        <f t="shared" si="120"/>
        <v>0</v>
      </c>
      <c r="J1327">
        <f t="shared" si="121"/>
        <v>0</v>
      </c>
      <c r="K1327">
        <f t="shared" si="122"/>
        <v>0</v>
      </c>
      <c r="L1327">
        <f t="shared" si="123"/>
        <v>0</v>
      </c>
      <c r="M1327">
        <f t="shared" si="124"/>
        <v>1</v>
      </c>
      <c r="N1327">
        <f t="shared" si="125"/>
        <v>0</v>
      </c>
    </row>
    <row r="1328" spans="1:14" x14ac:dyDescent="0.35">
      <c r="A1328" t="s">
        <v>782</v>
      </c>
      <c r="B1328" t="s">
        <v>2464</v>
      </c>
      <c r="C1328" s="7" t="s">
        <v>10</v>
      </c>
      <c r="D1328" t="s">
        <v>155</v>
      </c>
      <c r="E1328" t="s">
        <v>2224</v>
      </c>
      <c r="F1328" t="s">
        <v>1727</v>
      </c>
      <c r="I1328">
        <f t="shared" si="120"/>
        <v>0</v>
      </c>
      <c r="J1328">
        <f t="shared" si="121"/>
        <v>0</v>
      </c>
      <c r="K1328">
        <f t="shared" si="122"/>
        <v>0</v>
      </c>
      <c r="L1328">
        <f t="shared" si="123"/>
        <v>0</v>
      </c>
      <c r="M1328">
        <f t="shared" si="124"/>
        <v>1</v>
      </c>
      <c r="N1328">
        <f t="shared" si="125"/>
        <v>0</v>
      </c>
    </row>
    <row r="1329" spans="1:14" x14ac:dyDescent="0.35">
      <c r="A1329" t="s">
        <v>782</v>
      </c>
      <c r="B1329" t="s">
        <v>2464</v>
      </c>
      <c r="C1329" s="7" t="s">
        <v>10</v>
      </c>
      <c r="D1329" t="s">
        <v>155</v>
      </c>
      <c r="E1329" t="s">
        <v>2064</v>
      </c>
      <c r="F1329" t="s">
        <v>1727</v>
      </c>
      <c r="I1329">
        <f t="shared" si="120"/>
        <v>0</v>
      </c>
      <c r="J1329">
        <f t="shared" si="121"/>
        <v>0</v>
      </c>
      <c r="K1329">
        <f t="shared" si="122"/>
        <v>0</v>
      </c>
      <c r="L1329">
        <f t="shared" si="123"/>
        <v>0</v>
      </c>
      <c r="M1329">
        <f t="shared" si="124"/>
        <v>1</v>
      </c>
      <c r="N1329">
        <f t="shared" si="125"/>
        <v>0</v>
      </c>
    </row>
    <row r="1330" spans="1:14" x14ac:dyDescent="0.35">
      <c r="A1330" t="s">
        <v>517</v>
      </c>
      <c r="B1330" t="s">
        <v>1778</v>
      </c>
      <c r="C1330" s="7" t="s">
        <v>10</v>
      </c>
      <c r="D1330" t="s">
        <v>111</v>
      </c>
      <c r="E1330" t="s">
        <v>2053</v>
      </c>
      <c r="F1330" t="s">
        <v>1805</v>
      </c>
      <c r="I1330">
        <f t="shared" si="120"/>
        <v>0</v>
      </c>
      <c r="J1330">
        <f t="shared" si="121"/>
        <v>1</v>
      </c>
      <c r="K1330">
        <f t="shared" si="122"/>
        <v>0</v>
      </c>
      <c r="L1330">
        <f t="shared" si="123"/>
        <v>0</v>
      </c>
      <c r="M1330">
        <f t="shared" si="124"/>
        <v>0</v>
      </c>
      <c r="N1330">
        <f t="shared" si="125"/>
        <v>0</v>
      </c>
    </row>
    <row r="1331" spans="1:14" x14ac:dyDescent="0.35">
      <c r="A1331" t="s">
        <v>517</v>
      </c>
      <c r="B1331" t="s">
        <v>1778</v>
      </c>
      <c r="C1331" s="7" t="s">
        <v>10</v>
      </c>
      <c r="D1331" t="s">
        <v>111</v>
      </c>
      <c r="E1331" t="s">
        <v>1980</v>
      </c>
      <c r="F1331" t="s">
        <v>1805</v>
      </c>
      <c r="I1331">
        <f t="shared" si="120"/>
        <v>0</v>
      </c>
      <c r="J1331">
        <f t="shared" si="121"/>
        <v>1</v>
      </c>
      <c r="K1331">
        <f t="shared" si="122"/>
        <v>0</v>
      </c>
      <c r="L1331">
        <f t="shared" si="123"/>
        <v>0</v>
      </c>
      <c r="M1331">
        <f t="shared" si="124"/>
        <v>0</v>
      </c>
      <c r="N1331">
        <f t="shared" si="125"/>
        <v>0</v>
      </c>
    </row>
    <row r="1332" spans="1:14" x14ac:dyDescent="0.35">
      <c r="A1332" t="s">
        <v>904</v>
      </c>
      <c r="B1332" t="s">
        <v>2465</v>
      </c>
      <c r="C1332" s="7" t="s">
        <v>10</v>
      </c>
      <c r="D1332" t="s">
        <v>55</v>
      </c>
      <c r="E1332" t="s">
        <v>1845</v>
      </c>
      <c r="F1332" t="s">
        <v>1754</v>
      </c>
      <c r="I1332">
        <f t="shared" si="120"/>
        <v>0</v>
      </c>
      <c r="J1332">
        <f t="shared" si="121"/>
        <v>0</v>
      </c>
      <c r="K1332">
        <f t="shared" si="122"/>
        <v>0</v>
      </c>
      <c r="L1332">
        <f t="shared" si="123"/>
        <v>1</v>
      </c>
      <c r="M1332">
        <f t="shared" si="124"/>
        <v>0</v>
      </c>
      <c r="N1332">
        <f t="shared" si="125"/>
        <v>0</v>
      </c>
    </row>
    <row r="1333" spans="1:14" x14ac:dyDescent="0.35">
      <c r="A1333" t="s">
        <v>904</v>
      </c>
      <c r="B1333" t="s">
        <v>2465</v>
      </c>
      <c r="C1333" s="7" t="s">
        <v>10</v>
      </c>
      <c r="D1333" t="s">
        <v>55</v>
      </c>
      <c r="E1333" t="s">
        <v>1847</v>
      </c>
      <c r="F1333" t="s">
        <v>1754</v>
      </c>
      <c r="I1333">
        <f t="shared" si="120"/>
        <v>0</v>
      </c>
      <c r="J1333">
        <f t="shared" si="121"/>
        <v>0</v>
      </c>
      <c r="K1333">
        <f t="shared" si="122"/>
        <v>0</v>
      </c>
      <c r="L1333">
        <f t="shared" si="123"/>
        <v>1</v>
      </c>
      <c r="M1333">
        <f t="shared" si="124"/>
        <v>0</v>
      </c>
      <c r="N1333">
        <f t="shared" si="125"/>
        <v>0</v>
      </c>
    </row>
    <row r="1334" spans="1:14" x14ac:dyDescent="0.35">
      <c r="A1334" t="s">
        <v>456</v>
      </c>
      <c r="B1334" t="s">
        <v>2466</v>
      </c>
      <c r="C1334" s="7" t="s">
        <v>10</v>
      </c>
      <c r="D1334" t="s">
        <v>97</v>
      </c>
      <c r="E1334" t="s">
        <v>2467</v>
      </c>
      <c r="F1334" t="s">
        <v>1754</v>
      </c>
      <c r="I1334">
        <f t="shared" si="120"/>
        <v>0</v>
      </c>
      <c r="J1334">
        <f t="shared" si="121"/>
        <v>0</v>
      </c>
      <c r="K1334">
        <f t="shared" si="122"/>
        <v>0</v>
      </c>
      <c r="L1334">
        <f t="shared" si="123"/>
        <v>1</v>
      </c>
      <c r="M1334">
        <f t="shared" si="124"/>
        <v>0</v>
      </c>
      <c r="N1334">
        <f t="shared" si="125"/>
        <v>0</v>
      </c>
    </row>
    <row r="1335" spans="1:14" x14ac:dyDescent="0.35">
      <c r="A1335" t="s">
        <v>578</v>
      </c>
      <c r="B1335" t="s">
        <v>2468</v>
      </c>
      <c r="C1335" s="7" t="s">
        <v>10</v>
      </c>
      <c r="D1335" t="s">
        <v>92</v>
      </c>
      <c r="E1335" t="s">
        <v>1915</v>
      </c>
      <c r="F1335" t="s">
        <v>1727</v>
      </c>
      <c r="I1335">
        <f t="shared" si="120"/>
        <v>0</v>
      </c>
      <c r="J1335">
        <f t="shared" si="121"/>
        <v>0</v>
      </c>
      <c r="K1335">
        <f t="shared" si="122"/>
        <v>0</v>
      </c>
      <c r="L1335">
        <f t="shared" si="123"/>
        <v>0</v>
      </c>
      <c r="M1335">
        <f t="shared" si="124"/>
        <v>1</v>
      </c>
      <c r="N1335">
        <f t="shared" si="125"/>
        <v>0</v>
      </c>
    </row>
    <row r="1336" spans="1:14" x14ac:dyDescent="0.35">
      <c r="A1336" t="s">
        <v>578</v>
      </c>
      <c r="B1336" t="s">
        <v>2468</v>
      </c>
      <c r="C1336" s="7" t="s">
        <v>10</v>
      </c>
      <c r="D1336" t="s">
        <v>92</v>
      </c>
      <c r="E1336" t="s">
        <v>1828</v>
      </c>
      <c r="F1336" t="s">
        <v>1754</v>
      </c>
      <c r="I1336">
        <f t="shared" si="120"/>
        <v>0</v>
      </c>
      <c r="J1336">
        <f t="shared" si="121"/>
        <v>0</v>
      </c>
      <c r="K1336">
        <f t="shared" si="122"/>
        <v>0</v>
      </c>
      <c r="L1336">
        <f t="shared" si="123"/>
        <v>1</v>
      </c>
      <c r="M1336">
        <f t="shared" si="124"/>
        <v>0</v>
      </c>
      <c r="N1336">
        <f t="shared" si="125"/>
        <v>0</v>
      </c>
    </row>
    <row r="1337" spans="1:14" x14ac:dyDescent="0.35">
      <c r="A1337" t="s">
        <v>1234</v>
      </c>
      <c r="B1337" t="s">
        <v>2469</v>
      </c>
      <c r="C1337" s="7" t="s">
        <v>10</v>
      </c>
      <c r="D1337" t="s">
        <v>1236</v>
      </c>
      <c r="E1337" t="s">
        <v>1996</v>
      </c>
      <c r="F1337" t="s">
        <v>1886</v>
      </c>
      <c r="I1337">
        <f t="shared" si="120"/>
        <v>0</v>
      </c>
      <c r="J1337">
        <f t="shared" si="121"/>
        <v>0</v>
      </c>
      <c r="K1337">
        <f t="shared" si="122"/>
        <v>0</v>
      </c>
      <c r="L1337">
        <f t="shared" si="123"/>
        <v>0</v>
      </c>
      <c r="M1337">
        <f t="shared" si="124"/>
        <v>0</v>
      </c>
      <c r="N1337">
        <f t="shared" si="125"/>
        <v>0</v>
      </c>
    </row>
    <row r="1338" spans="1:14" x14ac:dyDescent="0.35">
      <c r="A1338" t="s">
        <v>1685</v>
      </c>
      <c r="B1338" t="s">
        <v>2470</v>
      </c>
      <c r="C1338" s="7" t="s">
        <v>10</v>
      </c>
      <c r="D1338" t="s">
        <v>55</v>
      </c>
      <c r="E1338" t="s">
        <v>2327</v>
      </c>
      <c r="F1338" t="s">
        <v>1886</v>
      </c>
      <c r="I1338">
        <f t="shared" si="120"/>
        <v>0</v>
      </c>
      <c r="J1338">
        <f t="shared" si="121"/>
        <v>0</v>
      </c>
      <c r="K1338">
        <f t="shared" si="122"/>
        <v>0</v>
      </c>
      <c r="L1338">
        <f t="shared" si="123"/>
        <v>0</v>
      </c>
      <c r="M1338">
        <f t="shared" si="124"/>
        <v>0</v>
      </c>
      <c r="N1338">
        <f t="shared" si="125"/>
        <v>0</v>
      </c>
    </row>
    <row r="1339" spans="1:14" x14ac:dyDescent="0.35">
      <c r="A1339" t="s">
        <v>1685</v>
      </c>
      <c r="B1339" t="s">
        <v>2470</v>
      </c>
      <c r="C1339" s="7" t="s">
        <v>10</v>
      </c>
      <c r="D1339" t="s">
        <v>55</v>
      </c>
      <c r="E1339" t="s">
        <v>2325</v>
      </c>
      <c r="F1339" t="s">
        <v>1886</v>
      </c>
      <c r="I1339">
        <f t="shared" si="120"/>
        <v>0</v>
      </c>
      <c r="J1339">
        <f t="shared" si="121"/>
        <v>0</v>
      </c>
      <c r="K1339">
        <f t="shared" si="122"/>
        <v>0</v>
      </c>
      <c r="L1339">
        <f t="shared" si="123"/>
        <v>0</v>
      </c>
      <c r="M1339">
        <f t="shared" si="124"/>
        <v>0</v>
      </c>
      <c r="N1339">
        <f t="shared" si="125"/>
        <v>0</v>
      </c>
    </row>
    <row r="1340" spans="1:14" x14ac:dyDescent="0.35">
      <c r="A1340" t="s">
        <v>1685</v>
      </c>
      <c r="B1340" t="s">
        <v>2470</v>
      </c>
      <c r="C1340" s="7" t="s">
        <v>10</v>
      </c>
      <c r="D1340" t="s">
        <v>55</v>
      </c>
      <c r="E1340" t="s">
        <v>2328</v>
      </c>
      <c r="F1340" t="s">
        <v>1886</v>
      </c>
      <c r="I1340">
        <f t="shared" si="120"/>
        <v>0</v>
      </c>
      <c r="J1340">
        <f t="shared" si="121"/>
        <v>0</v>
      </c>
      <c r="K1340">
        <f t="shared" si="122"/>
        <v>0</v>
      </c>
      <c r="L1340">
        <f t="shared" si="123"/>
        <v>0</v>
      </c>
      <c r="M1340">
        <f t="shared" si="124"/>
        <v>0</v>
      </c>
      <c r="N1340">
        <f t="shared" si="125"/>
        <v>0</v>
      </c>
    </row>
    <row r="1341" spans="1:14" x14ac:dyDescent="0.35">
      <c r="A1341" t="s">
        <v>1685</v>
      </c>
      <c r="B1341" t="s">
        <v>2470</v>
      </c>
      <c r="C1341" s="7" t="s">
        <v>10</v>
      </c>
      <c r="D1341" t="s">
        <v>55</v>
      </c>
      <c r="E1341" t="s">
        <v>2326</v>
      </c>
      <c r="F1341" t="s">
        <v>1886</v>
      </c>
      <c r="I1341">
        <f t="shared" si="120"/>
        <v>0</v>
      </c>
      <c r="J1341">
        <f t="shared" si="121"/>
        <v>0</v>
      </c>
      <c r="K1341">
        <f t="shared" si="122"/>
        <v>0</v>
      </c>
      <c r="L1341">
        <f t="shared" si="123"/>
        <v>0</v>
      </c>
      <c r="M1341">
        <f t="shared" si="124"/>
        <v>0</v>
      </c>
      <c r="N1341">
        <f t="shared" si="125"/>
        <v>0</v>
      </c>
    </row>
    <row r="1342" spans="1:14" x14ac:dyDescent="0.35">
      <c r="A1342" t="s">
        <v>1017</v>
      </c>
      <c r="B1342" t="s">
        <v>2471</v>
      </c>
      <c r="C1342" s="7" t="s">
        <v>10</v>
      </c>
      <c r="D1342" t="s">
        <v>1018</v>
      </c>
      <c r="E1342" t="s">
        <v>2206</v>
      </c>
      <c r="F1342" t="s">
        <v>1727</v>
      </c>
      <c r="I1342">
        <f t="shared" si="120"/>
        <v>0</v>
      </c>
      <c r="J1342">
        <f t="shared" si="121"/>
        <v>0</v>
      </c>
      <c r="K1342">
        <f t="shared" si="122"/>
        <v>0</v>
      </c>
      <c r="L1342">
        <f t="shared" si="123"/>
        <v>0</v>
      </c>
      <c r="M1342">
        <f t="shared" si="124"/>
        <v>1</v>
      </c>
      <c r="N1342">
        <f t="shared" si="125"/>
        <v>0</v>
      </c>
    </row>
    <row r="1343" spans="1:14" x14ac:dyDescent="0.35">
      <c r="A1343" t="s">
        <v>1426</v>
      </c>
      <c r="B1343" t="s">
        <v>2472</v>
      </c>
      <c r="C1343" s="7" t="s">
        <v>10</v>
      </c>
      <c r="D1343" t="s">
        <v>100</v>
      </c>
      <c r="E1343" t="s">
        <v>2165</v>
      </c>
      <c r="F1343" t="s">
        <v>1805</v>
      </c>
      <c r="I1343">
        <f t="shared" si="120"/>
        <v>0</v>
      </c>
      <c r="J1343">
        <f t="shared" si="121"/>
        <v>1</v>
      </c>
      <c r="K1343">
        <f t="shared" si="122"/>
        <v>0</v>
      </c>
      <c r="L1343">
        <f t="shared" si="123"/>
        <v>0</v>
      </c>
      <c r="M1343">
        <f t="shared" si="124"/>
        <v>0</v>
      </c>
      <c r="N1343">
        <f t="shared" si="125"/>
        <v>0</v>
      </c>
    </row>
    <row r="1344" spans="1:14" x14ac:dyDescent="0.35">
      <c r="A1344" t="s">
        <v>1426</v>
      </c>
      <c r="B1344" t="s">
        <v>2472</v>
      </c>
      <c r="C1344" s="7" t="s">
        <v>10</v>
      </c>
      <c r="D1344" t="s">
        <v>100</v>
      </c>
      <c r="E1344" t="s">
        <v>1961</v>
      </c>
      <c r="F1344" t="s">
        <v>1805</v>
      </c>
      <c r="I1344">
        <f t="shared" si="120"/>
        <v>0</v>
      </c>
      <c r="J1344">
        <f t="shared" si="121"/>
        <v>1</v>
      </c>
      <c r="K1344">
        <f t="shared" si="122"/>
        <v>0</v>
      </c>
      <c r="L1344">
        <f t="shared" si="123"/>
        <v>0</v>
      </c>
      <c r="M1344">
        <f t="shared" si="124"/>
        <v>0</v>
      </c>
      <c r="N1344">
        <f t="shared" si="125"/>
        <v>0</v>
      </c>
    </row>
    <row r="1345" spans="1:14" x14ac:dyDescent="0.35">
      <c r="A1345" t="s">
        <v>1426</v>
      </c>
      <c r="B1345" t="s">
        <v>2472</v>
      </c>
      <c r="C1345" s="7" t="s">
        <v>10</v>
      </c>
      <c r="D1345" t="s">
        <v>100</v>
      </c>
      <c r="E1345" t="s">
        <v>2473</v>
      </c>
      <c r="F1345" t="s">
        <v>1727</v>
      </c>
      <c r="I1345">
        <f t="shared" si="120"/>
        <v>0</v>
      </c>
      <c r="J1345">
        <f t="shared" si="121"/>
        <v>0</v>
      </c>
      <c r="K1345">
        <f t="shared" si="122"/>
        <v>0</v>
      </c>
      <c r="L1345">
        <f t="shared" si="123"/>
        <v>0</v>
      </c>
      <c r="M1345">
        <f t="shared" si="124"/>
        <v>1</v>
      </c>
      <c r="N1345">
        <f t="shared" si="125"/>
        <v>0</v>
      </c>
    </row>
    <row r="1346" spans="1:14" x14ac:dyDescent="0.35">
      <c r="A1346" t="s">
        <v>421</v>
      </c>
      <c r="B1346" t="s">
        <v>2474</v>
      </c>
      <c r="C1346" s="7" t="s">
        <v>10</v>
      </c>
      <c r="D1346" t="s">
        <v>51</v>
      </c>
      <c r="E1346" t="s">
        <v>1941</v>
      </c>
      <c r="F1346" t="s">
        <v>1754</v>
      </c>
      <c r="I1346">
        <f t="shared" si="120"/>
        <v>0</v>
      </c>
      <c r="J1346">
        <f t="shared" si="121"/>
        <v>0</v>
      </c>
      <c r="K1346">
        <f t="shared" si="122"/>
        <v>0</v>
      </c>
      <c r="L1346">
        <f t="shared" si="123"/>
        <v>1</v>
      </c>
      <c r="M1346">
        <f t="shared" si="124"/>
        <v>0</v>
      </c>
      <c r="N1346">
        <f t="shared" si="125"/>
        <v>0</v>
      </c>
    </row>
    <row r="1347" spans="1:14" x14ac:dyDescent="0.35">
      <c r="A1347" t="s">
        <v>421</v>
      </c>
      <c r="B1347" t="s">
        <v>2474</v>
      </c>
      <c r="C1347" s="7" t="s">
        <v>10</v>
      </c>
      <c r="D1347" t="s">
        <v>51</v>
      </c>
      <c r="E1347" t="s">
        <v>1940</v>
      </c>
      <c r="F1347" t="s">
        <v>1754</v>
      </c>
      <c r="I1347">
        <f t="shared" ref="I1347:I1410" si="126">IF($F1347=$F$1,1,0)</f>
        <v>0</v>
      </c>
      <c r="J1347">
        <f t="shared" ref="J1347:J1410" si="127">IF($F1347=$J$1,1,0)</f>
        <v>0</v>
      </c>
      <c r="K1347">
        <f t="shared" ref="K1347:K1410" si="128">IF($F1347=$K$1,1,0)</f>
        <v>0</v>
      </c>
      <c r="L1347">
        <f t="shared" ref="L1347:L1410" si="129">IF($F1347=$L$1,1,0)</f>
        <v>1</v>
      </c>
      <c r="M1347">
        <f t="shared" ref="M1347:M1410" si="130">IF($F1347=$M$1,1,0)</f>
        <v>0</v>
      </c>
      <c r="N1347">
        <f t="shared" ref="N1347:N1410" si="131">IF($G1347&lt;&gt;"",1,0)</f>
        <v>0</v>
      </c>
    </row>
    <row r="1348" spans="1:14" x14ac:dyDescent="0.35">
      <c r="A1348" t="s">
        <v>476</v>
      </c>
      <c r="B1348" t="s">
        <v>2475</v>
      </c>
      <c r="C1348" s="7" t="s">
        <v>10</v>
      </c>
      <c r="D1348" t="s">
        <v>478</v>
      </c>
      <c r="E1348" t="s">
        <v>1885</v>
      </c>
      <c r="F1348" t="s">
        <v>1886</v>
      </c>
      <c r="I1348">
        <f t="shared" si="126"/>
        <v>0</v>
      </c>
      <c r="J1348">
        <f t="shared" si="127"/>
        <v>0</v>
      </c>
      <c r="K1348">
        <f t="shared" si="128"/>
        <v>0</v>
      </c>
      <c r="L1348">
        <f t="shared" si="129"/>
        <v>0</v>
      </c>
      <c r="M1348">
        <f t="shared" si="130"/>
        <v>0</v>
      </c>
      <c r="N1348">
        <f t="shared" si="131"/>
        <v>0</v>
      </c>
    </row>
    <row r="1349" spans="1:14" x14ac:dyDescent="0.35">
      <c r="A1349" t="s">
        <v>1284</v>
      </c>
      <c r="B1349" t="s">
        <v>2476</v>
      </c>
      <c r="C1349" s="7" t="s">
        <v>10</v>
      </c>
      <c r="D1349" t="s">
        <v>324</v>
      </c>
      <c r="E1349" t="s">
        <v>1825</v>
      </c>
      <c r="F1349" t="s">
        <v>1754</v>
      </c>
      <c r="I1349">
        <f t="shared" si="126"/>
        <v>0</v>
      </c>
      <c r="J1349">
        <f t="shared" si="127"/>
        <v>0</v>
      </c>
      <c r="K1349">
        <f t="shared" si="128"/>
        <v>0</v>
      </c>
      <c r="L1349">
        <f t="shared" si="129"/>
        <v>1</v>
      </c>
      <c r="M1349">
        <f t="shared" si="130"/>
        <v>0</v>
      </c>
      <c r="N1349">
        <f t="shared" si="131"/>
        <v>0</v>
      </c>
    </row>
    <row r="1350" spans="1:14" x14ac:dyDescent="0.35">
      <c r="A1350" t="s">
        <v>1284</v>
      </c>
      <c r="B1350" t="s">
        <v>2476</v>
      </c>
      <c r="C1350" s="7" t="s">
        <v>10</v>
      </c>
      <c r="D1350" t="s">
        <v>324</v>
      </c>
      <c r="E1350" t="s">
        <v>1826</v>
      </c>
      <c r="F1350" t="s">
        <v>1754</v>
      </c>
      <c r="I1350">
        <f t="shared" si="126"/>
        <v>0</v>
      </c>
      <c r="J1350">
        <f t="shared" si="127"/>
        <v>0</v>
      </c>
      <c r="K1350">
        <f t="shared" si="128"/>
        <v>0</v>
      </c>
      <c r="L1350">
        <f t="shared" si="129"/>
        <v>1</v>
      </c>
      <c r="M1350">
        <f t="shared" si="130"/>
        <v>0</v>
      </c>
      <c r="N1350">
        <f t="shared" si="131"/>
        <v>0</v>
      </c>
    </row>
    <row r="1351" spans="1:14" x14ac:dyDescent="0.35">
      <c r="A1351" t="s">
        <v>45</v>
      </c>
      <c r="B1351" t="s">
        <v>2477</v>
      </c>
      <c r="C1351" s="7" t="s">
        <v>10</v>
      </c>
      <c r="D1351" t="s">
        <v>47</v>
      </c>
      <c r="E1351" t="s">
        <v>1846</v>
      </c>
      <c r="F1351" t="s">
        <v>1760</v>
      </c>
      <c r="I1351">
        <f t="shared" si="126"/>
        <v>0</v>
      </c>
      <c r="J1351">
        <f t="shared" si="127"/>
        <v>0</v>
      </c>
      <c r="K1351">
        <f t="shared" si="128"/>
        <v>1</v>
      </c>
      <c r="L1351">
        <f t="shared" si="129"/>
        <v>0</v>
      </c>
      <c r="M1351">
        <f t="shared" si="130"/>
        <v>0</v>
      </c>
      <c r="N1351">
        <f t="shared" si="131"/>
        <v>0</v>
      </c>
    </row>
    <row r="1352" spans="1:14" x14ac:dyDescent="0.35">
      <c r="A1352" t="s">
        <v>706</v>
      </c>
      <c r="B1352" t="s">
        <v>2478</v>
      </c>
      <c r="C1352" s="7" t="s">
        <v>10</v>
      </c>
      <c r="D1352" t="s">
        <v>55</v>
      </c>
      <c r="E1352" t="s">
        <v>2042</v>
      </c>
      <c r="F1352" t="s">
        <v>1754</v>
      </c>
      <c r="I1352">
        <f t="shared" si="126"/>
        <v>0</v>
      </c>
      <c r="J1352">
        <f t="shared" si="127"/>
        <v>0</v>
      </c>
      <c r="K1352">
        <f t="shared" si="128"/>
        <v>0</v>
      </c>
      <c r="L1352">
        <f t="shared" si="129"/>
        <v>1</v>
      </c>
      <c r="M1352">
        <f t="shared" si="130"/>
        <v>0</v>
      </c>
      <c r="N1352">
        <f t="shared" si="131"/>
        <v>0</v>
      </c>
    </row>
    <row r="1353" spans="1:14" x14ac:dyDescent="0.35">
      <c r="A1353" t="s">
        <v>706</v>
      </c>
      <c r="B1353" t="s">
        <v>2478</v>
      </c>
      <c r="C1353" s="7" t="s">
        <v>10</v>
      </c>
      <c r="D1353" t="s">
        <v>55</v>
      </c>
      <c r="E1353" t="s">
        <v>1822</v>
      </c>
      <c r="F1353" t="s">
        <v>1760</v>
      </c>
      <c r="I1353">
        <f t="shared" si="126"/>
        <v>0</v>
      </c>
      <c r="J1353">
        <f t="shared" si="127"/>
        <v>0</v>
      </c>
      <c r="K1353">
        <f t="shared" si="128"/>
        <v>1</v>
      </c>
      <c r="L1353">
        <f t="shared" si="129"/>
        <v>0</v>
      </c>
      <c r="M1353">
        <f t="shared" si="130"/>
        <v>0</v>
      </c>
      <c r="N1353">
        <f t="shared" si="131"/>
        <v>0</v>
      </c>
    </row>
    <row r="1354" spans="1:14" x14ac:dyDescent="0.35">
      <c r="A1354" t="s">
        <v>706</v>
      </c>
      <c r="B1354" t="s">
        <v>2478</v>
      </c>
      <c r="C1354" s="7" t="s">
        <v>10</v>
      </c>
      <c r="D1354" t="s">
        <v>55</v>
      </c>
      <c r="E1354" t="s">
        <v>1821</v>
      </c>
      <c r="F1354" t="s">
        <v>1760</v>
      </c>
      <c r="I1354">
        <f t="shared" si="126"/>
        <v>0</v>
      </c>
      <c r="J1354">
        <f t="shared" si="127"/>
        <v>0</v>
      </c>
      <c r="K1354">
        <f t="shared" si="128"/>
        <v>1</v>
      </c>
      <c r="L1354">
        <f t="shared" si="129"/>
        <v>0</v>
      </c>
      <c r="M1354">
        <f t="shared" si="130"/>
        <v>0</v>
      </c>
      <c r="N1354">
        <f t="shared" si="131"/>
        <v>0</v>
      </c>
    </row>
    <row r="1355" spans="1:14" x14ac:dyDescent="0.35">
      <c r="A1355" t="s">
        <v>706</v>
      </c>
      <c r="B1355" t="s">
        <v>2478</v>
      </c>
      <c r="C1355" s="7" t="s">
        <v>10</v>
      </c>
      <c r="D1355" t="s">
        <v>55</v>
      </c>
      <c r="E1355" t="s">
        <v>1854</v>
      </c>
      <c r="F1355" t="s">
        <v>1754</v>
      </c>
      <c r="I1355">
        <f t="shared" si="126"/>
        <v>0</v>
      </c>
      <c r="J1355">
        <f t="shared" si="127"/>
        <v>0</v>
      </c>
      <c r="K1355">
        <f t="shared" si="128"/>
        <v>0</v>
      </c>
      <c r="L1355">
        <f t="shared" si="129"/>
        <v>1</v>
      </c>
      <c r="M1355">
        <f t="shared" si="130"/>
        <v>0</v>
      </c>
      <c r="N1355">
        <f t="shared" si="131"/>
        <v>0</v>
      </c>
    </row>
    <row r="1356" spans="1:14" x14ac:dyDescent="0.35">
      <c r="A1356" t="s">
        <v>1400</v>
      </c>
      <c r="B1356" t="s">
        <v>2479</v>
      </c>
      <c r="C1356" s="7" t="s">
        <v>10</v>
      </c>
      <c r="D1356" t="s">
        <v>51</v>
      </c>
      <c r="E1356" t="s">
        <v>2404</v>
      </c>
      <c r="F1356" t="s">
        <v>1727</v>
      </c>
      <c r="I1356">
        <f t="shared" si="126"/>
        <v>0</v>
      </c>
      <c r="J1356">
        <f t="shared" si="127"/>
        <v>0</v>
      </c>
      <c r="K1356">
        <f t="shared" si="128"/>
        <v>0</v>
      </c>
      <c r="L1356">
        <f t="shared" si="129"/>
        <v>0</v>
      </c>
      <c r="M1356">
        <f t="shared" si="130"/>
        <v>1</v>
      </c>
      <c r="N1356">
        <f t="shared" si="131"/>
        <v>0</v>
      </c>
    </row>
    <row r="1357" spans="1:14" x14ac:dyDescent="0.35">
      <c r="A1357" t="s">
        <v>1558</v>
      </c>
      <c r="B1357" t="s">
        <v>2480</v>
      </c>
      <c r="C1357" s="7" t="s">
        <v>10</v>
      </c>
      <c r="D1357" t="s">
        <v>1559</v>
      </c>
      <c r="E1357" t="s">
        <v>1832</v>
      </c>
      <c r="F1357" t="s">
        <v>1754</v>
      </c>
      <c r="G1357" t="s">
        <v>2481</v>
      </c>
      <c r="H1357" t="s">
        <v>2482</v>
      </c>
      <c r="I1357">
        <f t="shared" si="126"/>
        <v>0</v>
      </c>
      <c r="J1357">
        <f t="shared" si="127"/>
        <v>0</v>
      </c>
      <c r="K1357">
        <f t="shared" si="128"/>
        <v>0</v>
      </c>
      <c r="L1357">
        <f t="shared" si="129"/>
        <v>1</v>
      </c>
      <c r="M1357">
        <f t="shared" si="130"/>
        <v>0</v>
      </c>
      <c r="N1357">
        <f t="shared" si="131"/>
        <v>1</v>
      </c>
    </row>
    <row r="1358" spans="1:14" x14ac:dyDescent="0.35">
      <c r="A1358" t="s">
        <v>1558</v>
      </c>
      <c r="B1358" t="s">
        <v>2480</v>
      </c>
      <c r="C1358" s="7" t="s">
        <v>10</v>
      </c>
      <c r="D1358" t="s">
        <v>1559</v>
      </c>
      <c r="E1358" t="s">
        <v>1836</v>
      </c>
      <c r="F1358" t="s">
        <v>1754</v>
      </c>
      <c r="G1358" t="s">
        <v>2481</v>
      </c>
      <c r="H1358" t="s">
        <v>2482</v>
      </c>
      <c r="I1358">
        <f t="shared" si="126"/>
        <v>0</v>
      </c>
      <c r="J1358">
        <f t="shared" si="127"/>
        <v>0</v>
      </c>
      <c r="K1358">
        <f t="shared" si="128"/>
        <v>0</v>
      </c>
      <c r="L1358">
        <f t="shared" si="129"/>
        <v>1</v>
      </c>
      <c r="M1358">
        <f t="shared" si="130"/>
        <v>0</v>
      </c>
      <c r="N1358">
        <f t="shared" si="131"/>
        <v>1</v>
      </c>
    </row>
    <row r="1359" spans="1:14" x14ac:dyDescent="0.35">
      <c r="A1359" t="s">
        <v>634</v>
      </c>
      <c r="B1359" t="s">
        <v>1779</v>
      </c>
      <c r="C1359" s="7" t="s">
        <v>10</v>
      </c>
      <c r="D1359" t="s">
        <v>55</v>
      </c>
      <c r="E1359" t="s">
        <v>1950</v>
      </c>
      <c r="F1359" t="s">
        <v>1754</v>
      </c>
      <c r="G1359" t="s">
        <v>1780</v>
      </c>
      <c r="H1359" t="s">
        <v>1781</v>
      </c>
      <c r="I1359">
        <f t="shared" si="126"/>
        <v>0</v>
      </c>
      <c r="J1359">
        <f t="shared" si="127"/>
        <v>0</v>
      </c>
      <c r="K1359">
        <f t="shared" si="128"/>
        <v>0</v>
      </c>
      <c r="L1359">
        <f t="shared" si="129"/>
        <v>1</v>
      </c>
      <c r="M1359">
        <f t="shared" si="130"/>
        <v>0</v>
      </c>
      <c r="N1359">
        <f t="shared" si="131"/>
        <v>1</v>
      </c>
    </row>
    <row r="1360" spans="1:14" x14ac:dyDescent="0.35">
      <c r="A1360" t="s">
        <v>634</v>
      </c>
      <c r="B1360" t="s">
        <v>1779</v>
      </c>
      <c r="C1360" s="7" t="s">
        <v>6</v>
      </c>
      <c r="D1360" t="s">
        <v>55</v>
      </c>
      <c r="E1360" t="s">
        <v>1952</v>
      </c>
      <c r="F1360" t="s">
        <v>1754</v>
      </c>
      <c r="G1360" t="s">
        <v>1780</v>
      </c>
      <c r="H1360" t="s">
        <v>1781</v>
      </c>
      <c r="I1360">
        <f t="shared" si="126"/>
        <v>0</v>
      </c>
      <c r="J1360">
        <f t="shared" si="127"/>
        <v>0</v>
      </c>
      <c r="K1360">
        <f t="shared" si="128"/>
        <v>0</v>
      </c>
      <c r="L1360">
        <f t="shared" si="129"/>
        <v>1</v>
      </c>
      <c r="M1360">
        <f t="shared" si="130"/>
        <v>0</v>
      </c>
      <c r="N1360">
        <f t="shared" si="131"/>
        <v>1</v>
      </c>
    </row>
    <row r="1361" spans="1:14" x14ac:dyDescent="0.35">
      <c r="A1361" t="s">
        <v>294</v>
      </c>
      <c r="B1361" t="s">
        <v>2483</v>
      </c>
      <c r="C1361" s="7" t="s">
        <v>6</v>
      </c>
      <c r="D1361" t="s">
        <v>100</v>
      </c>
      <c r="E1361" t="s">
        <v>1807</v>
      </c>
      <c r="F1361" t="s">
        <v>1754</v>
      </c>
      <c r="I1361">
        <f t="shared" si="126"/>
        <v>0</v>
      </c>
      <c r="J1361">
        <f t="shared" si="127"/>
        <v>0</v>
      </c>
      <c r="K1361">
        <f t="shared" si="128"/>
        <v>0</v>
      </c>
      <c r="L1361">
        <f t="shared" si="129"/>
        <v>1</v>
      </c>
      <c r="M1361">
        <f t="shared" si="130"/>
        <v>0</v>
      </c>
      <c r="N1361">
        <f t="shared" si="131"/>
        <v>0</v>
      </c>
    </row>
    <row r="1362" spans="1:14" x14ac:dyDescent="0.35">
      <c r="A1362" t="s">
        <v>294</v>
      </c>
      <c r="B1362" t="s">
        <v>2483</v>
      </c>
      <c r="C1362" s="7" t="s">
        <v>6</v>
      </c>
      <c r="D1362" t="s">
        <v>100</v>
      </c>
      <c r="E1362" t="s">
        <v>1806</v>
      </c>
      <c r="F1362" t="s">
        <v>1754</v>
      </c>
      <c r="I1362">
        <f t="shared" si="126"/>
        <v>0</v>
      </c>
      <c r="J1362">
        <f t="shared" si="127"/>
        <v>0</v>
      </c>
      <c r="K1362">
        <f t="shared" si="128"/>
        <v>0</v>
      </c>
      <c r="L1362">
        <f t="shared" si="129"/>
        <v>1</v>
      </c>
      <c r="M1362">
        <f t="shared" si="130"/>
        <v>0</v>
      </c>
      <c r="N1362">
        <f t="shared" si="131"/>
        <v>0</v>
      </c>
    </row>
    <row r="1363" spans="1:14" x14ac:dyDescent="0.35">
      <c r="A1363" t="s">
        <v>294</v>
      </c>
      <c r="B1363" t="s">
        <v>2483</v>
      </c>
      <c r="C1363" s="7" t="s">
        <v>6</v>
      </c>
      <c r="D1363" t="s">
        <v>100</v>
      </c>
      <c r="E1363" t="s">
        <v>1910</v>
      </c>
      <c r="F1363" t="s">
        <v>1754</v>
      </c>
      <c r="I1363">
        <f t="shared" si="126"/>
        <v>0</v>
      </c>
      <c r="J1363">
        <f t="shared" si="127"/>
        <v>0</v>
      </c>
      <c r="K1363">
        <f t="shared" si="128"/>
        <v>0</v>
      </c>
      <c r="L1363">
        <f t="shared" si="129"/>
        <v>1</v>
      </c>
      <c r="M1363">
        <f t="shared" si="130"/>
        <v>0</v>
      </c>
      <c r="N1363">
        <f t="shared" si="131"/>
        <v>0</v>
      </c>
    </row>
    <row r="1364" spans="1:14" x14ac:dyDescent="0.35">
      <c r="A1364" t="s">
        <v>294</v>
      </c>
      <c r="B1364" t="s">
        <v>2483</v>
      </c>
      <c r="C1364" s="7" t="s">
        <v>6</v>
      </c>
      <c r="D1364" t="s">
        <v>100</v>
      </c>
      <c r="E1364" t="s">
        <v>1911</v>
      </c>
      <c r="F1364" t="s">
        <v>1754</v>
      </c>
      <c r="I1364">
        <f t="shared" si="126"/>
        <v>0</v>
      </c>
      <c r="J1364">
        <f t="shared" si="127"/>
        <v>0</v>
      </c>
      <c r="K1364">
        <f t="shared" si="128"/>
        <v>0</v>
      </c>
      <c r="L1364">
        <f t="shared" si="129"/>
        <v>1</v>
      </c>
      <c r="M1364">
        <f t="shared" si="130"/>
        <v>0</v>
      </c>
      <c r="N1364">
        <f t="shared" si="131"/>
        <v>0</v>
      </c>
    </row>
    <row r="1365" spans="1:14" x14ac:dyDescent="0.35">
      <c r="A1365" t="s">
        <v>429</v>
      </c>
      <c r="B1365" t="s">
        <v>1782</v>
      </c>
      <c r="C1365" s="7" t="s">
        <v>6</v>
      </c>
      <c r="D1365" t="s">
        <v>431</v>
      </c>
      <c r="E1365" t="s">
        <v>1811</v>
      </c>
      <c r="F1365" t="s">
        <v>1754</v>
      </c>
      <c r="G1365" t="s">
        <v>1783</v>
      </c>
      <c r="H1365" t="s">
        <v>1784</v>
      </c>
      <c r="I1365">
        <f t="shared" si="126"/>
        <v>0</v>
      </c>
      <c r="J1365">
        <f t="shared" si="127"/>
        <v>0</v>
      </c>
      <c r="K1365">
        <f t="shared" si="128"/>
        <v>0</v>
      </c>
      <c r="L1365">
        <f t="shared" si="129"/>
        <v>1</v>
      </c>
      <c r="M1365">
        <f t="shared" si="130"/>
        <v>0</v>
      </c>
      <c r="N1365">
        <f t="shared" si="131"/>
        <v>1</v>
      </c>
    </row>
    <row r="1366" spans="1:14" x14ac:dyDescent="0.35">
      <c r="A1366" t="s">
        <v>429</v>
      </c>
      <c r="B1366" t="s">
        <v>1782</v>
      </c>
      <c r="C1366" s="7" t="s">
        <v>6</v>
      </c>
      <c r="D1366" t="s">
        <v>431</v>
      </c>
      <c r="E1366" t="s">
        <v>2199</v>
      </c>
      <c r="F1366" t="s">
        <v>1754</v>
      </c>
      <c r="G1366" t="s">
        <v>1783</v>
      </c>
      <c r="H1366" t="s">
        <v>1784</v>
      </c>
      <c r="I1366">
        <f t="shared" si="126"/>
        <v>0</v>
      </c>
      <c r="J1366">
        <f t="shared" si="127"/>
        <v>0</v>
      </c>
      <c r="K1366">
        <f t="shared" si="128"/>
        <v>0</v>
      </c>
      <c r="L1366">
        <f t="shared" si="129"/>
        <v>1</v>
      </c>
      <c r="M1366">
        <f t="shared" si="130"/>
        <v>0</v>
      </c>
      <c r="N1366">
        <f t="shared" si="131"/>
        <v>1</v>
      </c>
    </row>
    <row r="1367" spans="1:14" x14ac:dyDescent="0.35">
      <c r="A1367" t="s">
        <v>240</v>
      </c>
      <c r="B1367" t="s">
        <v>2484</v>
      </c>
      <c r="C1367" s="7" t="s">
        <v>6</v>
      </c>
      <c r="D1367" t="s">
        <v>180</v>
      </c>
      <c r="E1367" t="s">
        <v>1860</v>
      </c>
      <c r="F1367" t="s">
        <v>1754</v>
      </c>
      <c r="I1367">
        <f t="shared" si="126"/>
        <v>0</v>
      </c>
      <c r="J1367">
        <f t="shared" si="127"/>
        <v>0</v>
      </c>
      <c r="K1367">
        <f t="shared" si="128"/>
        <v>0</v>
      </c>
      <c r="L1367">
        <f t="shared" si="129"/>
        <v>1</v>
      </c>
      <c r="M1367">
        <f t="shared" si="130"/>
        <v>0</v>
      </c>
      <c r="N1367">
        <f t="shared" si="131"/>
        <v>0</v>
      </c>
    </row>
    <row r="1368" spans="1:14" x14ac:dyDescent="0.35">
      <c r="A1368" t="s">
        <v>1220</v>
      </c>
      <c r="B1368" t="s">
        <v>2485</v>
      </c>
      <c r="C1368" s="7" t="s">
        <v>6</v>
      </c>
      <c r="D1368" t="s">
        <v>206</v>
      </c>
      <c r="E1368" t="s">
        <v>2119</v>
      </c>
      <c r="F1368" t="s">
        <v>1754</v>
      </c>
      <c r="I1368">
        <f t="shared" si="126"/>
        <v>0</v>
      </c>
      <c r="J1368">
        <f t="shared" si="127"/>
        <v>0</v>
      </c>
      <c r="K1368">
        <f t="shared" si="128"/>
        <v>0</v>
      </c>
      <c r="L1368">
        <f t="shared" si="129"/>
        <v>1</v>
      </c>
      <c r="M1368">
        <f t="shared" si="130"/>
        <v>0</v>
      </c>
      <c r="N1368">
        <f t="shared" si="131"/>
        <v>0</v>
      </c>
    </row>
    <row r="1369" spans="1:14" x14ac:dyDescent="0.35">
      <c r="A1369" t="s">
        <v>1562</v>
      </c>
      <c r="B1369" t="s">
        <v>2486</v>
      </c>
      <c r="C1369" s="7" t="s">
        <v>6</v>
      </c>
      <c r="D1369" t="s">
        <v>55</v>
      </c>
      <c r="E1369" t="s">
        <v>2106</v>
      </c>
      <c r="F1369" t="s">
        <v>1805</v>
      </c>
      <c r="I1369">
        <f t="shared" si="126"/>
        <v>0</v>
      </c>
      <c r="J1369">
        <f t="shared" si="127"/>
        <v>1</v>
      </c>
      <c r="K1369">
        <f t="shared" si="128"/>
        <v>0</v>
      </c>
      <c r="L1369">
        <f t="shared" si="129"/>
        <v>0</v>
      </c>
      <c r="M1369">
        <f t="shared" si="130"/>
        <v>0</v>
      </c>
      <c r="N1369">
        <f t="shared" si="131"/>
        <v>0</v>
      </c>
    </row>
    <row r="1370" spans="1:14" x14ac:dyDescent="0.35">
      <c r="A1370" t="s">
        <v>1612</v>
      </c>
      <c r="B1370" t="s">
        <v>2052</v>
      </c>
      <c r="C1370" s="7" t="s">
        <v>6</v>
      </c>
      <c r="D1370" t="s">
        <v>55</v>
      </c>
      <c r="E1370" t="s">
        <v>2053</v>
      </c>
      <c r="F1370" t="s">
        <v>1805</v>
      </c>
      <c r="I1370">
        <f t="shared" si="126"/>
        <v>0</v>
      </c>
      <c r="J1370">
        <f t="shared" si="127"/>
        <v>1</v>
      </c>
      <c r="K1370">
        <f t="shared" si="128"/>
        <v>0</v>
      </c>
      <c r="L1370">
        <f t="shared" si="129"/>
        <v>0</v>
      </c>
      <c r="M1370">
        <f t="shared" si="130"/>
        <v>0</v>
      </c>
      <c r="N1370">
        <f t="shared" si="131"/>
        <v>0</v>
      </c>
    </row>
    <row r="1371" spans="1:14" x14ac:dyDescent="0.35">
      <c r="A1371" t="s">
        <v>1387</v>
      </c>
      <c r="B1371" t="s">
        <v>2487</v>
      </c>
      <c r="C1371" s="7" t="s">
        <v>6</v>
      </c>
      <c r="D1371" t="s">
        <v>51</v>
      </c>
      <c r="E1371" t="s">
        <v>1875</v>
      </c>
      <c r="F1371" t="s">
        <v>1727</v>
      </c>
      <c r="I1371">
        <f t="shared" si="126"/>
        <v>0</v>
      </c>
      <c r="J1371">
        <f t="shared" si="127"/>
        <v>0</v>
      </c>
      <c r="K1371">
        <f t="shared" si="128"/>
        <v>0</v>
      </c>
      <c r="L1371">
        <f t="shared" si="129"/>
        <v>0</v>
      </c>
      <c r="M1371">
        <f t="shared" si="130"/>
        <v>1</v>
      </c>
      <c r="N1371">
        <f t="shared" si="131"/>
        <v>0</v>
      </c>
    </row>
    <row r="1372" spans="1:14" x14ac:dyDescent="0.35">
      <c r="A1372" t="s">
        <v>1387</v>
      </c>
      <c r="B1372" t="s">
        <v>2487</v>
      </c>
      <c r="C1372" s="7" t="s">
        <v>6</v>
      </c>
      <c r="D1372" t="s">
        <v>51</v>
      </c>
      <c r="E1372" t="s">
        <v>1874</v>
      </c>
      <c r="F1372" t="s">
        <v>1727</v>
      </c>
      <c r="I1372">
        <f t="shared" si="126"/>
        <v>0</v>
      </c>
      <c r="J1372">
        <f t="shared" si="127"/>
        <v>0</v>
      </c>
      <c r="K1372">
        <f t="shared" si="128"/>
        <v>0</v>
      </c>
      <c r="L1372">
        <f t="shared" si="129"/>
        <v>0</v>
      </c>
      <c r="M1372">
        <f t="shared" si="130"/>
        <v>1</v>
      </c>
      <c r="N1372">
        <f t="shared" si="131"/>
        <v>0</v>
      </c>
    </row>
    <row r="1373" spans="1:14" x14ac:dyDescent="0.35">
      <c r="A1373" t="s">
        <v>1232</v>
      </c>
      <c r="B1373" t="s">
        <v>2488</v>
      </c>
      <c r="C1373" s="7" t="s">
        <v>6</v>
      </c>
      <c r="D1373" t="s">
        <v>55</v>
      </c>
      <c r="E1373" t="s">
        <v>2418</v>
      </c>
      <c r="F1373" t="s">
        <v>1754</v>
      </c>
      <c r="I1373">
        <f t="shared" si="126"/>
        <v>0</v>
      </c>
      <c r="J1373">
        <f t="shared" si="127"/>
        <v>0</v>
      </c>
      <c r="K1373">
        <f t="shared" si="128"/>
        <v>0</v>
      </c>
      <c r="L1373">
        <f t="shared" si="129"/>
        <v>1</v>
      </c>
      <c r="M1373">
        <f t="shared" si="130"/>
        <v>0</v>
      </c>
      <c r="N1373">
        <f t="shared" si="131"/>
        <v>0</v>
      </c>
    </row>
    <row r="1374" spans="1:14" x14ac:dyDescent="0.35">
      <c r="A1374" t="s">
        <v>1232</v>
      </c>
      <c r="B1374" t="s">
        <v>2488</v>
      </c>
      <c r="C1374" s="7" t="s">
        <v>6</v>
      </c>
      <c r="D1374" t="s">
        <v>55</v>
      </c>
      <c r="E1374" t="s">
        <v>1883</v>
      </c>
      <c r="F1374" t="s">
        <v>1754</v>
      </c>
      <c r="I1374">
        <f t="shared" si="126"/>
        <v>0</v>
      </c>
      <c r="J1374">
        <f t="shared" si="127"/>
        <v>0</v>
      </c>
      <c r="K1374">
        <f t="shared" si="128"/>
        <v>0</v>
      </c>
      <c r="L1374">
        <f t="shared" si="129"/>
        <v>1</v>
      </c>
      <c r="M1374">
        <f t="shared" si="130"/>
        <v>0</v>
      </c>
      <c r="N1374">
        <f t="shared" si="131"/>
        <v>0</v>
      </c>
    </row>
    <row r="1375" spans="1:14" x14ac:dyDescent="0.35">
      <c r="A1375" t="s">
        <v>1232</v>
      </c>
      <c r="B1375" t="s">
        <v>2488</v>
      </c>
      <c r="C1375" s="7" t="s">
        <v>6</v>
      </c>
      <c r="D1375" t="s">
        <v>55</v>
      </c>
      <c r="E1375" t="s">
        <v>2489</v>
      </c>
      <c r="F1375" t="s">
        <v>1754</v>
      </c>
      <c r="I1375">
        <f t="shared" si="126"/>
        <v>0</v>
      </c>
      <c r="J1375">
        <f t="shared" si="127"/>
        <v>0</v>
      </c>
      <c r="K1375">
        <f t="shared" si="128"/>
        <v>0</v>
      </c>
      <c r="L1375">
        <f t="shared" si="129"/>
        <v>1</v>
      </c>
      <c r="M1375">
        <f t="shared" si="130"/>
        <v>0</v>
      </c>
      <c r="N1375">
        <f t="shared" si="131"/>
        <v>0</v>
      </c>
    </row>
    <row r="1376" spans="1:14" x14ac:dyDescent="0.35">
      <c r="A1376" t="s">
        <v>1232</v>
      </c>
      <c r="B1376" t="s">
        <v>2488</v>
      </c>
      <c r="C1376" s="7" t="s">
        <v>6</v>
      </c>
      <c r="D1376" t="s">
        <v>55</v>
      </c>
      <c r="E1376" t="s">
        <v>1882</v>
      </c>
      <c r="F1376" t="s">
        <v>1754</v>
      </c>
      <c r="I1376">
        <f t="shared" si="126"/>
        <v>0</v>
      </c>
      <c r="J1376">
        <f t="shared" si="127"/>
        <v>0</v>
      </c>
      <c r="K1376">
        <f t="shared" si="128"/>
        <v>0</v>
      </c>
      <c r="L1376">
        <f t="shared" si="129"/>
        <v>1</v>
      </c>
      <c r="M1376">
        <f t="shared" si="130"/>
        <v>0</v>
      </c>
      <c r="N1376">
        <f t="shared" si="131"/>
        <v>0</v>
      </c>
    </row>
    <row r="1377" spans="1:14" x14ac:dyDescent="0.35">
      <c r="A1377" t="s">
        <v>1232</v>
      </c>
      <c r="B1377" t="s">
        <v>2488</v>
      </c>
      <c r="C1377" s="7" t="s">
        <v>6</v>
      </c>
      <c r="D1377" t="s">
        <v>55</v>
      </c>
      <c r="E1377" t="s">
        <v>1860</v>
      </c>
      <c r="F1377" t="s">
        <v>1754</v>
      </c>
      <c r="I1377">
        <f t="shared" si="126"/>
        <v>0</v>
      </c>
      <c r="J1377">
        <f t="shared" si="127"/>
        <v>0</v>
      </c>
      <c r="K1377">
        <f t="shared" si="128"/>
        <v>0</v>
      </c>
      <c r="L1377">
        <f t="shared" si="129"/>
        <v>1</v>
      </c>
      <c r="M1377">
        <f t="shared" si="130"/>
        <v>0</v>
      </c>
      <c r="N1377">
        <f t="shared" si="131"/>
        <v>0</v>
      </c>
    </row>
    <row r="1378" spans="1:14" x14ac:dyDescent="0.35">
      <c r="A1378" t="s">
        <v>839</v>
      </c>
      <c r="B1378" t="s">
        <v>2490</v>
      </c>
      <c r="C1378" s="7" t="s">
        <v>6</v>
      </c>
      <c r="D1378" t="s">
        <v>55</v>
      </c>
      <c r="E1378" t="s">
        <v>2489</v>
      </c>
      <c r="F1378" t="s">
        <v>1754</v>
      </c>
      <c r="I1378">
        <f t="shared" si="126"/>
        <v>0</v>
      </c>
      <c r="J1378">
        <f t="shared" si="127"/>
        <v>0</v>
      </c>
      <c r="K1378">
        <f t="shared" si="128"/>
        <v>0</v>
      </c>
      <c r="L1378">
        <f t="shared" si="129"/>
        <v>1</v>
      </c>
      <c r="M1378">
        <f t="shared" si="130"/>
        <v>0</v>
      </c>
      <c r="N1378">
        <f t="shared" si="131"/>
        <v>0</v>
      </c>
    </row>
    <row r="1379" spans="1:14" x14ac:dyDescent="0.35">
      <c r="A1379" t="s">
        <v>839</v>
      </c>
      <c r="B1379" t="s">
        <v>2490</v>
      </c>
      <c r="C1379" s="7" t="s">
        <v>6</v>
      </c>
      <c r="D1379" t="s">
        <v>55</v>
      </c>
      <c r="E1379" t="s">
        <v>2418</v>
      </c>
      <c r="F1379" t="s">
        <v>1754</v>
      </c>
      <c r="I1379">
        <f t="shared" si="126"/>
        <v>0</v>
      </c>
      <c r="J1379">
        <f t="shared" si="127"/>
        <v>0</v>
      </c>
      <c r="K1379">
        <f t="shared" si="128"/>
        <v>0</v>
      </c>
      <c r="L1379">
        <f t="shared" si="129"/>
        <v>1</v>
      </c>
      <c r="M1379">
        <f t="shared" si="130"/>
        <v>0</v>
      </c>
      <c r="N1379">
        <f t="shared" si="131"/>
        <v>0</v>
      </c>
    </row>
    <row r="1380" spans="1:14" x14ac:dyDescent="0.35">
      <c r="A1380" t="s">
        <v>839</v>
      </c>
      <c r="B1380" t="s">
        <v>2490</v>
      </c>
      <c r="C1380" s="7" t="s">
        <v>6</v>
      </c>
      <c r="D1380" t="s">
        <v>55</v>
      </c>
      <c r="E1380" t="s">
        <v>1860</v>
      </c>
      <c r="F1380" t="s">
        <v>1754</v>
      </c>
      <c r="I1380">
        <f t="shared" si="126"/>
        <v>0</v>
      </c>
      <c r="J1380">
        <f t="shared" si="127"/>
        <v>0</v>
      </c>
      <c r="K1380">
        <f t="shared" si="128"/>
        <v>0</v>
      </c>
      <c r="L1380">
        <f t="shared" si="129"/>
        <v>1</v>
      </c>
      <c r="M1380">
        <f t="shared" si="130"/>
        <v>0</v>
      </c>
      <c r="N1380">
        <f t="shared" si="131"/>
        <v>0</v>
      </c>
    </row>
    <row r="1381" spans="1:14" x14ac:dyDescent="0.35">
      <c r="A1381" t="s">
        <v>245</v>
      </c>
      <c r="B1381" t="s">
        <v>2491</v>
      </c>
      <c r="C1381" s="7" t="s">
        <v>6</v>
      </c>
      <c r="D1381" t="s">
        <v>55</v>
      </c>
      <c r="E1381" t="s">
        <v>1825</v>
      </c>
      <c r="F1381" t="s">
        <v>1754</v>
      </c>
      <c r="I1381">
        <f t="shared" si="126"/>
        <v>0</v>
      </c>
      <c r="J1381">
        <f t="shared" si="127"/>
        <v>0</v>
      </c>
      <c r="K1381">
        <f t="shared" si="128"/>
        <v>0</v>
      </c>
      <c r="L1381">
        <f t="shared" si="129"/>
        <v>1</v>
      </c>
      <c r="M1381">
        <f t="shared" si="130"/>
        <v>0</v>
      </c>
      <c r="N1381">
        <f t="shared" si="131"/>
        <v>0</v>
      </c>
    </row>
    <row r="1382" spans="1:14" x14ac:dyDescent="0.35">
      <c r="A1382" t="s">
        <v>245</v>
      </c>
      <c r="B1382" t="s">
        <v>2491</v>
      </c>
      <c r="C1382" s="7" t="s">
        <v>6</v>
      </c>
      <c r="D1382" t="s">
        <v>55</v>
      </c>
      <c r="E1382" t="s">
        <v>1826</v>
      </c>
      <c r="F1382" t="s">
        <v>1754</v>
      </c>
      <c r="I1382">
        <f t="shared" si="126"/>
        <v>0</v>
      </c>
      <c r="J1382">
        <f t="shared" si="127"/>
        <v>0</v>
      </c>
      <c r="K1382">
        <f t="shared" si="128"/>
        <v>0</v>
      </c>
      <c r="L1382">
        <f t="shared" si="129"/>
        <v>1</v>
      </c>
      <c r="M1382">
        <f t="shared" si="130"/>
        <v>0</v>
      </c>
      <c r="N1382">
        <f t="shared" si="131"/>
        <v>0</v>
      </c>
    </row>
    <row r="1383" spans="1:14" x14ac:dyDescent="0.35">
      <c r="A1383" t="s">
        <v>364</v>
      </c>
      <c r="B1383" t="s">
        <v>2492</v>
      </c>
      <c r="C1383" s="7" t="s">
        <v>9</v>
      </c>
      <c r="D1383" t="s">
        <v>367</v>
      </c>
      <c r="E1383" t="s">
        <v>2473</v>
      </c>
      <c r="F1383" t="s">
        <v>1727</v>
      </c>
      <c r="G1383" t="s">
        <v>2493</v>
      </c>
      <c r="H1383" t="s">
        <v>2494</v>
      </c>
      <c r="I1383">
        <f t="shared" si="126"/>
        <v>0</v>
      </c>
      <c r="J1383">
        <f t="shared" si="127"/>
        <v>0</v>
      </c>
      <c r="K1383">
        <f t="shared" si="128"/>
        <v>0</v>
      </c>
      <c r="L1383">
        <f t="shared" si="129"/>
        <v>0</v>
      </c>
      <c r="M1383">
        <f t="shared" si="130"/>
        <v>1</v>
      </c>
      <c r="N1383">
        <f t="shared" si="131"/>
        <v>1</v>
      </c>
    </row>
    <row r="1384" spans="1:14" x14ac:dyDescent="0.35">
      <c r="A1384" t="s">
        <v>364</v>
      </c>
      <c r="B1384" t="s">
        <v>2492</v>
      </c>
      <c r="C1384" s="7" t="s">
        <v>9</v>
      </c>
      <c r="D1384" t="s">
        <v>367</v>
      </c>
      <c r="E1384" t="s">
        <v>2080</v>
      </c>
      <c r="F1384" t="s">
        <v>1727</v>
      </c>
      <c r="G1384" t="s">
        <v>2493</v>
      </c>
      <c r="H1384" t="s">
        <v>2494</v>
      </c>
      <c r="I1384">
        <f t="shared" si="126"/>
        <v>0</v>
      </c>
      <c r="J1384">
        <f t="shared" si="127"/>
        <v>0</v>
      </c>
      <c r="K1384">
        <f t="shared" si="128"/>
        <v>0</v>
      </c>
      <c r="L1384">
        <f t="shared" si="129"/>
        <v>0</v>
      </c>
      <c r="M1384">
        <f t="shared" si="130"/>
        <v>1</v>
      </c>
      <c r="N1384">
        <f t="shared" si="131"/>
        <v>1</v>
      </c>
    </row>
    <row r="1385" spans="1:14" x14ac:dyDescent="0.35">
      <c r="A1385" t="s">
        <v>364</v>
      </c>
      <c r="B1385" t="s">
        <v>2492</v>
      </c>
      <c r="C1385" s="7" t="s">
        <v>9</v>
      </c>
      <c r="D1385" t="s">
        <v>367</v>
      </c>
      <c r="E1385" t="s">
        <v>2175</v>
      </c>
      <c r="F1385" t="s">
        <v>1727</v>
      </c>
      <c r="G1385" t="s">
        <v>2493</v>
      </c>
      <c r="H1385" t="s">
        <v>2494</v>
      </c>
      <c r="I1385">
        <f t="shared" si="126"/>
        <v>0</v>
      </c>
      <c r="J1385">
        <f t="shared" si="127"/>
        <v>0</v>
      </c>
      <c r="K1385">
        <f t="shared" si="128"/>
        <v>0</v>
      </c>
      <c r="L1385">
        <f t="shared" si="129"/>
        <v>0</v>
      </c>
      <c r="M1385">
        <f t="shared" si="130"/>
        <v>1</v>
      </c>
      <c r="N1385">
        <f t="shared" si="131"/>
        <v>1</v>
      </c>
    </row>
    <row r="1386" spans="1:14" x14ac:dyDescent="0.35">
      <c r="A1386" t="s">
        <v>364</v>
      </c>
      <c r="B1386" t="s">
        <v>2492</v>
      </c>
      <c r="C1386" s="7" t="s">
        <v>9</v>
      </c>
      <c r="D1386" t="s">
        <v>367</v>
      </c>
      <c r="E1386" t="s">
        <v>2346</v>
      </c>
      <c r="F1386" t="s">
        <v>1727</v>
      </c>
      <c r="G1386" t="s">
        <v>2493</v>
      </c>
      <c r="H1386" t="s">
        <v>2494</v>
      </c>
      <c r="I1386">
        <f t="shared" si="126"/>
        <v>0</v>
      </c>
      <c r="J1386">
        <f t="shared" si="127"/>
        <v>0</v>
      </c>
      <c r="K1386">
        <f t="shared" si="128"/>
        <v>0</v>
      </c>
      <c r="L1386">
        <f t="shared" si="129"/>
        <v>0</v>
      </c>
      <c r="M1386">
        <f t="shared" si="130"/>
        <v>1</v>
      </c>
      <c r="N1386">
        <f t="shared" si="131"/>
        <v>1</v>
      </c>
    </row>
    <row r="1387" spans="1:14" x14ac:dyDescent="0.35">
      <c r="A1387" t="s">
        <v>598</v>
      </c>
      <c r="B1387" t="s">
        <v>2495</v>
      </c>
      <c r="C1387" s="7" t="s">
        <v>9</v>
      </c>
      <c r="D1387" t="s">
        <v>55</v>
      </c>
      <c r="E1387" t="s">
        <v>1968</v>
      </c>
      <c r="F1387" t="s">
        <v>1760</v>
      </c>
      <c r="I1387">
        <f t="shared" si="126"/>
        <v>0</v>
      </c>
      <c r="J1387">
        <f t="shared" si="127"/>
        <v>0</v>
      </c>
      <c r="K1387">
        <f t="shared" si="128"/>
        <v>1</v>
      </c>
      <c r="L1387">
        <f t="shared" si="129"/>
        <v>0</v>
      </c>
      <c r="M1387">
        <f t="shared" si="130"/>
        <v>0</v>
      </c>
      <c r="N1387">
        <f t="shared" si="131"/>
        <v>0</v>
      </c>
    </row>
    <row r="1388" spans="1:14" x14ac:dyDescent="0.35">
      <c r="A1388" t="s">
        <v>400</v>
      </c>
      <c r="B1388" t="s">
        <v>2496</v>
      </c>
      <c r="C1388" s="7" t="s">
        <v>9</v>
      </c>
      <c r="D1388" t="s">
        <v>55</v>
      </c>
      <c r="E1388" t="s">
        <v>1846</v>
      </c>
      <c r="F1388" t="s">
        <v>1760</v>
      </c>
      <c r="I1388">
        <f t="shared" si="126"/>
        <v>0</v>
      </c>
      <c r="J1388">
        <f t="shared" si="127"/>
        <v>0</v>
      </c>
      <c r="K1388">
        <f t="shared" si="128"/>
        <v>1</v>
      </c>
      <c r="L1388">
        <f t="shared" si="129"/>
        <v>0</v>
      </c>
      <c r="M1388">
        <f t="shared" si="130"/>
        <v>0</v>
      </c>
      <c r="N1388">
        <f t="shared" si="131"/>
        <v>0</v>
      </c>
    </row>
    <row r="1389" spans="1:14" x14ac:dyDescent="0.35">
      <c r="A1389" t="s">
        <v>1201</v>
      </c>
      <c r="B1389" t="s">
        <v>2497</v>
      </c>
      <c r="C1389" s="7" t="s">
        <v>9</v>
      </c>
      <c r="D1389" t="s">
        <v>1203</v>
      </c>
      <c r="E1389" t="s">
        <v>2498</v>
      </c>
      <c r="F1389" t="s">
        <v>1727</v>
      </c>
      <c r="I1389">
        <f t="shared" si="126"/>
        <v>0</v>
      </c>
      <c r="J1389">
        <f t="shared" si="127"/>
        <v>0</v>
      </c>
      <c r="K1389">
        <f t="shared" si="128"/>
        <v>0</v>
      </c>
      <c r="L1389">
        <f t="shared" si="129"/>
        <v>0</v>
      </c>
      <c r="M1389">
        <f t="shared" si="130"/>
        <v>1</v>
      </c>
      <c r="N1389">
        <f t="shared" si="131"/>
        <v>0</v>
      </c>
    </row>
    <row r="1390" spans="1:14" x14ac:dyDescent="0.35">
      <c r="A1390" t="s">
        <v>196</v>
      </c>
      <c r="B1390" t="s">
        <v>2499</v>
      </c>
      <c r="C1390" s="7" t="s">
        <v>9</v>
      </c>
      <c r="D1390" t="s">
        <v>198</v>
      </c>
      <c r="E1390" t="s">
        <v>2053</v>
      </c>
      <c r="F1390" t="s">
        <v>1805</v>
      </c>
      <c r="I1390">
        <f t="shared" si="126"/>
        <v>0</v>
      </c>
      <c r="J1390">
        <f t="shared" si="127"/>
        <v>1</v>
      </c>
      <c r="K1390">
        <f t="shared" si="128"/>
        <v>0</v>
      </c>
      <c r="L1390">
        <f t="shared" si="129"/>
        <v>0</v>
      </c>
      <c r="M1390">
        <f t="shared" si="130"/>
        <v>0</v>
      </c>
      <c r="N1390">
        <f t="shared" si="131"/>
        <v>0</v>
      </c>
    </row>
    <row r="1391" spans="1:14" x14ac:dyDescent="0.35">
      <c r="A1391" t="s">
        <v>238</v>
      </c>
      <c r="B1391" t="s">
        <v>2500</v>
      </c>
      <c r="C1391" s="7" t="s">
        <v>9</v>
      </c>
      <c r="D1391" t="s">
        <v>55</v>
      </c>
      <c r="E1391" t="s">
        <v>2106</v>
      </c>
      <c r="F1391" t="s">
        <v>1805</v>
      </c>
      <c r="I1391">
        <f t="shared" si="126"/>
        <v>0</v>
      </c>
      <c r="J1391">
        <f t="shared" si="127"/>
        <v>1</v>
      </c>
      <c r="K1391">
        <f t="shared" si="128"/>
        <v>0</v>
      </c>
      <c r="L1391">
        <f t="shared" si="129"/>
        <v>0</v>
      </c>
      <c r="M1391">
        <f t="shared" si="130"/>
        <v>0</v>
      </c>
      <c r="N1391">
        <f t="shared" si="131"/>
        <v>0</v>
      </c>
    </row>
    <row r="1392" spans="1:14" x14ac:dyDescent="0.35">
      <c r="A1392" t="s">
        <v>1631</v>
      </c>
      <c r="B1392" t="s">
        <v>2501</v>
      </c>
      <c r="C1392" s="7" t="s">
        <v>9</v>
      </c>
      <c r="D1392" t="s">
        <v>281</v>
      </c>
      <c r="E1392" t="s">
        <v>2101</v>
      </c>
      <c r="F1392" t="s">
        <v>1805</v>
      </c>
      <c r="G1392" t="s">
        <v>2502</v>
      </c>
      <c r="H1392" t="s">
        <v>2503</v>
      </c>
      <c r="I1392">
        <f t="shared" si="126"/>
        <v>0</v>
      </c>
      <c r="J1392">
        <f t="shared" si="127"/>
        <v>1</v>
      </c>
      <c r="K1392">
        <f t="shared" si="128"/>
        <v>0</v>
      </c>
      <c r="L1392">
        <f t="shared" si="129"/>
        <v>0</v>
      </c>
      <c r="M1392">
        <f t="shared" si="130"/>
        <v>0</v>
      </c>
      <c r="N1392">
        <f t="shared" si="131"/>
        <v>1</v>
      </c>
    </row>
    <row r="1393" spans="1:14" x14ac:dyDescent="0.35">
      <c r="A1393" t="s">
        <v>1631</v>
      </c>
      <c r="B1393" t="s">
        <v>2501</v>
      </c>
      <c r="C1393" s="7" t="s">
        <v>9</v>
      </c>
      <c r="D1393" t="s">
        <v>281</v>
      </c>
      <c r="E1393" t="s">
        <v>1821</v>
      </c>
      <c r="F1393" t="s">
        <v>1760</v>
      </c>
      <c r="G1393" t="s">
        <v>2502</v>
      </c>
      <c r="H1393" t="s">
        <v>2503</v>
      </c>
      <c r="I1393">
        <f t="shared" si="126"/>
        <v>0</v>
      </c>
      <c r="J1393">
        <f t="shared" si="127"/>
        <v>0</v>
      </c>
      <c r="K1393">
        <f t="shared" si="128"/>
        <v>1</v>
      </c>
      <c r="L1393">
        <f t="shared" si="129"/>
        <v>0</v>
      </c>
      <c r="M1393">
        <f t="shared" si="130"/>
        <v>0</v>
      </c>
      <c r="N1393">
        <f t="shared" si="131"/>
        <v>1</v>
      </c>
    </row>
    <row r="1394" spans="1:14" x14ac:dyDescent="0.35">
      <c r="A1394" t="s">
        <v>1631</v>
      </c>
      <c r="B1394" t="s">
        <v>2501</v>
      </c>
      <c r="C1394" s="7" t="s">
        <v>9</v>
      </c>
      <c r="D1394" t="s">
        <v>281</v>
      </c>
      <c r="E1394" t="s">
        <v>2238</v>
      </c>
      <c r="F1394" t="s">
        <v>1754</v>
      </c>
      <c r="G1394" t="s">
        <v>2502</v>
      </c>
      <c r="H1394" t="s">
        <v>2503</v>
      </c>
      <c r="I1394">
        <f t="shared" si="126"/>
        <v>0</v>
      </c>
      <c r="J1394">
        <f t="shared" si="127"/>
        <v>0</v>
      </c>
      <c r="K1394">
        <f t="shared" si="128"/>
        <v>0</v>
      </c>
      <c r="L1394">
        <f t="shared" si="129"/>
        <v>1</v>
      </c>
      <c r="M1394">
        <f t="shared" si="130"/>
        <v>0</v>
      </c>
      <c r="N1394">
        <f t="shared" si="131"/>
        <v>1</v>
      </c>
    </row>
    <row r="1395" spans="1:14" x14ac:dyDescent="0.35">
      <c r="A1395" t="s">
        <v>1631</v>
      </c>
      <c r="B1395" t="s">
        <v>2501</v>
      </c>
      <c r="C1395" s="7" t="s">
        <v>9</v>
      </c>
      <c r="D1395" t="s">
        <v>281</v>
      </c>
      <c r="E1395" t="s">
        <v>1928</v>
      </c>
      <c r="F1395" t="s">
        <v>1754</v>
      </c>
      <c r="G1395" t="s">
        <v>2502</v>
      </c>
      <c r="H1395" t="s">
        <v>2503</v>
      </c>
      <c r="I1395">
        <f t="shared" si="126"/>
        <v>0</v>
      </c>
      <c r="J1395">
        <f t="shared" si="127"/>
        <v>0</v>
      </c>
      <c r="K1395">
        <f t="shared" si="128"/>
        <v>0</v>
      </c>
      <c r="L1395">
        <f t="shared" si="129"/>
        <v>1</v>
      </c>
      <c r="M1395">
        <f t="shared" si="130"/>
        <v>0</v>
      </c>
      <c r="N1395">
        <f t="shared" si="131"/>
        <v>1</v>
      </c>
    </row>
    <row r="1396" spans="1:14" x14ac:dyDescent="0.35">
      <c r="A1396" t="s">
        <v>1631</v>
      </c>
      <c r="B1396" t="s">
        <v>2501</v>
      </c>
      <c r="C1396" s="7" t="s">
        <v>9</v>
      </c>
      <c r="D1396" t="s">
        <v>281</v>
      </c>
      <c r="E1396" t="s">
        <v>1931</v>
      </c>
      <c r="F1396" t="s">
        <v>1754</v>
      </c>
      <c r="G1396" t="s">
        <v>2502</v>
      </c>
      <c r="H1396" t="s">
        <v>2503</v>
      </c>
      <c r="I1396">
        <f t="shared" si="126"/>
        <v>0</v>
      </c>
      <c r="J1396">
        <f t="shared" si="127"/>
        <v>0</v>
      </c>
      <c r="K1396">
        <f t="shared" si="128"/>
        <v>0</v>
      </c>
      <c r="L1396">
        <f t="shared" si="129"/>
        <v>1</v>
      </c>
      <c r="M1396">
        <f t="shared" si="130"/>
        <v>0</v>
      </c>
      <c r="N1396">
        <f t="shared" si="131"/>
        <v>1</v>
      </c>
    </row>
    <row r="1397" spans="1:14" x14ac:dyDescent="0.35">
      <c r="A1397" t="s">
        <v>1631</v>
      </c>
      <c r="B1397" t="s">
        <v>2501</v>
      </c>
      <c r="C1397" s="7" t="s">
        <v>9</v>
      </c>
      <c r="D1397" t="s">
        <v>281</v>
      </c>
      <c r="E1397" t="s">
        <v>1822</v>
      </c>
      <c r="F1397" t="s">
        <v>1760</v>
      </c>
      <c r="G1397" t="s">
        <v>2502</v>
      </c>
      <c r="H1397" t="s">
        <v>2503</v>
      </c>
      <c r="I1397">
        <f t="shared" si="126"/>
        <v>0</v>
      </c>
      <c r="J1397">
        <f t="shared" si="127"/>
        <v>0</v>
      </c>
      <c r="K1397">
        <f t="shared" si="128"/>
        <v>1</v>
      </c>
      <c r="L1397">
        <f t="shared" si="129"/>
        <v>0</v>
      </c>
      <c r="M1397">
        <f t="shared" si="130"/>
        <v>0</v>
      </c>
      <c r="N1397">
        <f t="shared" si="131"/>
        <v>1</v>
      </c>
    </row>
    <row r="1398" spans="1:14" x14ac:dyDescent="0.35">
      <c r="A1398" t="s">
        <v>1631</v>
      </c>
      <c r="B1398" t="s">
        <v>2501</v>
      </c>
      <c r="C1398" s="7" t="s">
        <v>9</v>
      </c>
      <c r="D1398" t="s">
        <v>281</v>
      </c>
      <c r="E1398" t="s">
        <v>1843</v>
      </c>
      <c r="F1398" t="s">
        <v>1760</v>
      </c>
      <c r="G1398" t="s">
        <v>2502</v>
      </c>
      <c r="H1398" t="s">
        <v>2503</v>
      </c>
      <c r="I1398">
        <f t="shared" si="126"/>
        <v>0</v>
      </c>
      <c r="J1398">
        <f t="shared" si="127"/>
        <v>0</v>
      </c>
      <c r="K1398">
        <f t="shared" si="128"/>
        <v>1</v>
      </c>
      <c r="L1398">
        <f t="shared" si="129"/>
        <v>0</v>
      </c>
      <c r="M1398">
        <f t="shared" si="130"/>
        <v>0</v>
      </c>
      <c r="N1398">
        <f t="shared" si="131"/>
        <v>1</v>
      </c>
    </row>
    <row r="1399" spans="1:14" x14ac:dyDescent="0.35">
      <c r="A1399" t="s">
        <v>1631</v>
      </c>
      <c r="B1399" t="s">
        <v>2501</v>
      </c>
      <c r="C1399" s="7" t="s">
        <v>9</v>
      </c>
      <c r="D1399" t="s">
        <v>281</v>
      </c>
      <c r="E1399" t="s">
        <v>1842</v>
      </c>
      <c r="F1399" t="s">
        <v>1760</v>
      </c>
      <c r="G1399" t="s">
        <v>2502</v>
      </c>
      <c r="H1399" t="s">
        <v>2503</v>
      </c>
      <c r="I1399">
        <f t="shared" si="126"/>
        <v>0</v>
      </c>
      <c r="J1399">
        <f t="shared" si="127"/>
        <v>0</v>
      </c>
      <c r="K1399">
        <f t="shared" si="128"/>
        <v>1</v>
      </c>
      <c r="L1399">
        <f t="shared" si="129"/>
        <v>0</v>
      </c>
      <c r="M1399">
        <f t="shared" si="130"/>
        <v>0</v>
      </c>
      <c r="N1399">
        <f t="shared" si="131"/>
        <v>1</v>
      </c>
    </row>
    <row r="1400" spans="1:14" x14ac:dyDescent="0.35">
      <c r="A1400" t="s">
        <v>1631</v>
      </c>
      <c r="B1400" t="s">
        <v>2501</v>
      </c>
      <c r="C1400" s="7" t="s">
        <v>6</v>
      </c>
      <c r="D1400" t="s">
        <v>281</v>
      </c>
      <c r="E1400" t="s">
        <v>1823</v>
      </c>
      <c r="F1400" t="s">
        <v>1760</v>
      </c>
      <c r="G1400" t="s">
        <v>2502</v>
      </c>
      <c r="H1400" t="s">
        <v>2503</v>
      </c>
      <c r="I1400">
        <f t="shared" si="126"/>
        <v>0</v>
      </c>
      <c r="J1400">
        <f t="shared" si="127"/>
        <v>0</v>
      </c>
      <c r="K1400">
        <f t="shared" si="128"/>
        <v>1</v>
      </c>
      <c r="L1400">
        <f t="shared" si="129"/>
        <v>0</v>
      </c>
      <c r="M1400">
        <f t="shared" si="130"/>
        <v>0</v>
      </c>
      <c r="N1400">
        <f t="shared" si="131"/>
        <v>1</v>
      </c>
    </row>
    <row r="1401" spans="1:14" x14ac:dyDescent="0.35">
      <c r="A1401" t="s">
        <v>1631</v>
      </c>
      <c r="B1401" t="s">
        <v>2501</v>
      </c>
      <c r="C1401" s="7" t="s">
        <v>6</v>
      </c>
      <c r="D1401" t="s">
        <v>281</v>
      </c>
      <c r="E1401" t="s">
        <v>1841</v>
      </c>
      <c r="F1401" t="s">
        <v>1760</v>
      </c>
      <c r="G1401" t="s">
        <v>2502</v>
      </c>
      <c r="H1401" t="s">
        <v>2503</v>
      </c>
      <c r="I1401">
        <f t="shared" si="126"/>
        <v>0</v>
      </c>
      <c r="J1401">
        <f t="shared" si="127"/>
        <v>0</v>
      </c>
      <c r="K1401">
        <f t="shared" si="128"/>
        <v>1</v>
      </c>
      <c r="L1401">
        <f t="shared" si="129"/>
        <v>0</v>
      </c>
      <c r="M1401">
        <f t="shared" si="130"/>
        <v>0</v>
      </c>
      <c r="N1401">
        <f t="shared" si="131"/>
        <v>1</v>
      </c>
    </row>
    <row r="1402" spans="1:14" x14ac:dyDescent="0.35">
      <c r="A1402" t="s">
        <v>1463</v>
      </c>
      <c r="B1402" t="s">
        <v>2504</v>
      </c>
      <c r="C1402" s="7" t="s">
        <v>6</v>
      </c>
      <c r="D1402" t="s">
        <v>55</v>
      </c>
      <c r="E1402" t="s">
        <v>1858</v>
      </c>
      <c r="F1402" t="s">
        <v>1760</v>
      </c>
      <c r="I1402">
        <f t="shared" si="126"/>
        <v>0</v>
      </c>
      <c r="J1402">
        <f t="shared" si="127"/>
        <v>0</v>
      </c>
      <c r="K1402">
        <f t="shared" si="128"/>
        <v>1</v>
      </c>
      <c r="L1402">
        <f t="shared" si="129"/>
        <v>0</v>
      </c>
      <c r="M1402">
        <f t="shared" si="130"/>
        <v>0</v>
      </c>
      <c r="N1402">
        <f t="shared" si="131"/>
        <v>0</v>
      </c>
    </row>
    <row r="1403" spans="1:14" x14ac:dyDescent="0.35">
      <c r="A1403" t="s">
        <v>221</v>
      </c>
      <c r="B1403" t="s">
        <v>2505</v>
      </c>
      <c r="C1403" s="7" t="s">
        <v>6</v>
      </c>
      <c r="D1403" t="s">
        <v>55</v>
      </c>
      <c r="E1403" t="s">
        <v>1849</v>
      </c>
      <c r="F1403" t="s">
        <v>1754</v>
      </c>
      <c r="I1403">
        <f t="shared" si="126"/>
        <v>0</v>
      </c>
      <c r="J1403">
        <f t="shared" si="127"/>
        <v>0</v>
      </c>
      <c r="K1403">
        <f t="shared" si="128"/>
        <v>0</v>
      </c>
      <c r="L1403">
        <f t="shared" si="129"/>
        <v>1</v>
      </c>
      <c r="M1403">
        <f t="shared" si="130"/>
        <v>0</v>
      </c>
      <c r="N1403">
        <f t="shared" si="131"/>
        <v>0</v>
      </c>
    </row>
    <row r="1404" spans="1:14" x14ac:dyDescent="0.35">
      <c r="A1404" t="s">
        <v>221</v>
      </c>
      <c r="B1404" t="s">
        <v>2505</v>
      </c>
      <c r="C1404" s="7" t="s">
        <v>6</v>
      </c>
      <c r="D1404" t="s">
        <v>55</v>
      </c>
      <c r="E1404" t="s">
        <v>1877</v>
      </c>
      <c r="F1404" t="s">
        <v>1754</v>
      </c>
      <c r="I1404">
        <f t="shared" si="126"/>
        <v>0</v>
      </c>
      <c r="J1404">
        <f t="shared" si="127"/>
        <v>0</v>
      </c>
      <c r="K1404">
        <f t="shared" si="128"/>
        <v>0</v>
      </c>
      <c r="L1404">
        <f t="shared" si="129"/>
        <v>1</v>
      </c>
      <c r="M1404">
        <f t="shared" si="130"/>
        <v>0</v>
      </c>
      <c r="N1404">
        <f t="shared" si="131"/>
        <v>0</v>
      </c>
    </row>
    <row r="1405" spans="1:14" x14ac:dyDescent="0.35">
      <c r="A1405" t="s">
        <v>122</v>
      </c>
      <c r="B1405" t="s">
        <v>2506</v>
      </c>
      <c r="C1405" s="7" t="s">
        <v>6</v>
      </c>
      <c r="D1405" t="s">
        <v>125</v>
      </c>
      <c r="E1405" t="s">
        <v>1811</v>
      </c>
      <c r="F1405" t="s">
        <v>1754</v>
      </c>
      <c r="I1405">
        <f t="shared" si="126"/>
        <v>0</v>
      </c>
      <c r="J1405">
        <f t="shared" si="127"/>
        <v>0</v>
      </c>
      <c r="K1405">
        <f t="shared" si="128"/>
        <v>0</v>
      </c>
      <c r="L1405">
        <f t="shared" si="129"/>
        <v>1</v>
      </c>
      <c r="M1405">
        <f t="shared" si="130"/>
        <v>0</v>
      </c>
      <c r="N1405">
        <f t="shared" si="131"/>
        <v>0</v>
      </c>
    </row>
    <row r="1406" spans="1:14" x14ac:dyDescent="0.35">
      <c r="A1406" t="s">
        <v>122</v>
      </c>
      <c r="B1406" t="s">
        <v>2506</v>
      </c>
      <c r="C1406" s="7" t="s">
        <v>6</v>
      </c>
      <c r="D1406" t="s">
        <v>125</v>
      </c>
      <c r="E1406" t="s">
        <v>1931</v>
      </c>
      <c r="F1406" t="s">
        <v>1754</v>
      </c>
      <c r="I1406">
        <f t="shared" si="126"/>
        <v>0</v>
      </c>
      <c r="J1406">
        <f t="shared" si="127"/>
        <v>0</v>
      </c>
      <c r="K1406">
        <f t="shared" si="128"/>
        <v>0</v>
      </c>
      <c r="L1406">
        <f t="shared" si="129"/>
        <v>1</v>
      </c>
      <c r="M1406">
        <f t="shared" si="130"/>
        <v>0</v>
      </c>
      <c r="N1406">
        <f t="shared" si="131"/>
        <v>0</v>
      </c>
    </row>
    <row r="1407" spans="1:14" x14ac:dyDescent="0.35">
      <c r="A1407" t="s">
        <v>122</v>
      </c>
      <c r="B1407" t="s">
        <v>2506</v>
      </c>
      <c r="C1407" s="7" t="s">
        <v>6</v>
      </c>
      <c r="D1407" t="s">
        <v>125</v>
      </c>
      <c r="E1407" t="s">
        <v>2006</v>
      </c>
      <c r="F1407" t="s">
        <v>1754</v>
      </c>
      <c r="I1407">
        <f t="shared" si="126"/>
        <v>0</v>
      </c>
      <c r="J1407">
        <f t="shared" si="127"/>
        <v>0</v>
      </c>
      <c r="K1407">
        <f t="shared" si="128"/>
        <v>0</v>
      </c>
      <c r="L1407">
        <f t="shared" si="129"/>
        <v>1</v>
      </c>
      <c r="M1407">
        <f t="shared" si="130"/>
        <v>0</v>
      </c>
      <c r="N1407">
        <f t="shared" si="131"/>
        <v>0</v>
      </c>
    </row>
    <row r="1408" spans="1:14" x14ac:dyDescent="0.35">
      <c r="A1408" t="s">
        <v>122</v>
      </c>
      <c r="B1408" t="s">
        <v>2506</v>
      </c>
      <c r="C1408" s="7" t="s">
        <v>6</v>
      </c>
      <c r="D1408" t="s">
        <v>125</v>
      </c>
      <c r="E1408" t="s">
        <v>2333</v>
      </c>
      <c r="F1408" t="s">
        <v>1760</v>
      </c>
      <c r="I1408">
        <f t="shared" si="126"/>
        <v>0</v>
      </c>
      <c r="J1408">
        <f t="shared" si="127"/>
        <v>0</v>
      </c>
      <c r="K1408">
        <f t="shared" si="128"/>
        <v>1</v>
      </c>
      <c r="L1408">
        <f t="shared" si="129"/>
        <v>0</v>
      </c>
      <c r="M1408">
        <f t="shared" si="130"/>
        <v>0</v>
      </c>
      <c r="N1408">
        <f t="shared" si="131"/>
        <v>0</v>
      </c>
    </row>
    <row r="1409" spans="1:14" x14ac:dyDescent="0.35">
      <c r="A1409" t="s">
        <v>1692</v>
      </c>
      <c r="B1409" t="s">
        <v>2507</v>
      </c>
      <c r="C1409" s="7" t="s">
        <v>6</v>
      </c>
      <c r="D1409" t="s">
        <v>1695</v>
      </c>
      <c r="E1409" t="s">
        <v>1945</v>
      </c>
      <c r="F1409" t="s">
        <v>1754</v>
      </c>
      <c r="I1409">
        <f t="shared" si="126"/>
        <v>0</v>
      </c>
      <c r="J1409">
        <f t="shared" si="127"/>
        <v>0</v>
      </c>
      <c r="K1409">
        <f t="shared" si="128"/>
        <v>0</v>
      </c>
      <c r="L1409">
        <f t="shared" si="129"/>
        <v>1</v>
      </c>
      <c r="M1409">
        <f t="shared" si="130"/>
        <v>0</v>
      </c>
      <c r="N1409">
        <f t="shared" si="131"/>
        <v>0</v>
      </c>
    </row>
    <row r="1410" spans="1:14" x14ac:dyDescent="0.35">
      <c r="A1410" t="s">
        <v>1692</v>
      </c>
      <c r="B1410" t="s">
        <v>2507</v>
      </c>
      <c r="C1410" s="7" t="s">
        <v>6</v>
      </c>
      <c r="D1410" t="s">
        <v>1695</v>
      </c>
      <c r="E1410" t="s">
        <v>2095</v>
      </c>
      <c r="F1410" t="s">
        <v>1754</v>
      </c>
      <c r="I1410">
        <f t="shared" si="126"/>
        <v>0</v>
      </c>
      <c r="J1410">
        <f t="shared" si="127"/>
        <v>0</v>
      </c>
      <c r="K1410">
        <f t="shared" si="128"/>
        <v>0</v>
      </c>
      <c r="L1410">
        <f t="shared" si="129"/>
        <v>1</v>
      </c>
      <c r="M1410">
        <f t="shared" si="130"/>
        <v>0</v>
      </c>
      <c r="N1410">
        <f t="shared" si="131"/>
        <v>0</v>
      </c>
    </row>
    <row r="1411" spans="1:14" x14ac:dyDescent="0.35">
      <c r="A1411" t="s">
        <v>1692</v>
      </c>
      <c r="B1411" t="s">
        <v>2507</v>
      </c>
      <c r="C1411" s="7" t="s">
        <v>6</v>
      </c>
      <c r="D1411" t="s">
        <v>1695</v>
      </c>
      <c r="E1411" t="s">
        <v>1832</v>
      </c>
      <c r="F1411" t="s">
        <v>1754</v>
      </c>
      <c r="I1411">
        <f t="shared" ref="I1411:I1474" si="132">IF($F1411=$F$1,1,0)</f>
        <v>0</v>
      </c>
      <c r="J1411">
        <f t="shared" ref="J1411:J1474" si="133">IF($F1411=$J$1,1,0)</f>
        <v>0</v>
      </c>
      <c r="K1411">
        <f t="shared" ref="K1411:K1474" si="134">IF($F1411=$K$1,1,0)</f>
        <v>0</v>
      </c>
      <c r="L1411">
        <f t="shared" ref="L1411:L1474" si="135">IF($F1411=$L$1,1,0)</f>
        <v>1</v>
      </c>
      <c r="M1411">
        <f t="shared" ref="M1411:M1474" si="136">IF($F1411=$M$1,1,0)</f>
        <v>0</v>
      </c>
      <c r="N1411">
        <f t="shared" ref="N1411:N1474" si="137">IF($G1411&lt;&gt;"",1,0)</f>
        <v>0</v>
      </c>
    </row>
    <row r="1412" spans="1:14" x14ac:dyDescent="0.35">
      <c r="A1412" t="s">
        <v>1692</v>
      </c>
      <c r="B1412" t="s">
        <v>2507</v>
      </c>
      <c r="C1412" s="7" t="s">
        <v>6</v>
      </c>
      <c r="D1412" t="s">
        <v>1695</v>
      </c>
      <c r="E1412" t="s">
        <v>2182</v>
      </c>
      <c r="F1412" t="s">
        <v>1754</v>
      </c>
      <c r="I1412">
        <f t="shared" si="132"/>
        <v>0</v>
      </c>
      <c r="J1412">
        <f t="shared" si="133"/>
        <v>0</v>
      </c>
      <c r="K1412">
        <f t="shared" si="134"/>
        <v>0</v>
      </c>
      <c r="L1412">
        <f t="shared" si="135"/>
        <v>1</v>
      </c>
      <c r="M1412">
        <f t="shared" si="136"/>
        <v>0</v>
      </c>
      <c r="N1412">
        <f t="shared" si="137"/>
        <v>0</v>
      </c>
    </row>
    <row r="1413" spans="1:14" x14ac:dyDescent="0.35">
      <c r="A1413" t="s">
        <v>1692</v>
      </c>
      <c r="B1413" t="s">
        <v>2507</v>
      </c>
      <c r="C1413" s="7" t="s">
        <v>6</v>
      </c>
      <c r="D1413" t="s">
        <v>1695</v>
      </c>
      <c r="E1413" t="s">
        <v>1811</v>
      </c>
      <c r="F1413" t="s">
        <v>1754</v>
      </c>
      <c r="I1413">
        <f t="shared" si="132"/>
        <v>0</v>
      </c>
      <c r="J1413">
        <f t="shared" si="133"/>
        <v>0</v>
      </c>
      <c r="K1413">
        <f t="shared" si="134"/>
        <v>0</v>
      </c>
      <c r="L1413">
        <f t="shared" si="135"/>
        <v>1</v>
      </c>
      <c r="M1413">
        <f t="shared" si="136"/>
        <v>0</v>
      </c>
      <c r="N1413">
        <f t="shared" si="137"/>
        <v>0</v>
      </c>
    </row>
    <row r="1414" spans="1:14" x14ac:dyDescent="0.35">
      <c r="A1414" t="s">
        <v>1364</v>
      </c>
      <c r="B1414" t="s">
        <v>2508</v>
      </c>
      <c r="C1414" s="7" t="s">
        <v>6</v>
      </c>
      <c r="D1414" t="s">
        <v>155</v>
      </c>
      <c r="E1414" t="s">
        <v>1877</v>
      </c>
      <c r="F1414" t="s">
        <v>1754</v>
      </c>
      <c r="I1414">
        <f t="shared" si="132"/>
        <v>0</v>
      </c>
      <c r="J1414">
        <f t="shared" si="133"/>
        <v>0</v>
      </c>
      <c r="K1414">
        <f t="shared" si="134"/>
        <v>0</v>
      </c>
      <c r="L1414">
        <f t="shared" si="135"/>
        <v>1</v>
      </c>
      <c r="M1414">
        <f t="shared" si="136"/>
        <v>0</v>
      </c>
      <c r="N1414">
        <f t="shared" si="137"/>
        <v>0</v>
      </c>
    </row>
    <row r="1415" spans="1:14" x14ac:dyDescent="0.35">
      <c r="A1415" t="s">
        <v>1364</v>
      </c>
      <c r="B1415" t="s">
        <v>2508</v>
      </c>
      <c r="C1415" s="7" t="s">
        <v>6</v>
      </c>
      <c r="D1415" t="s">
        <v>155</v>
      </c>
      <c r="E1415" t="s">
        <v>1849</v>
      </c>
      <c r="F1415" t="s">
        <v>1754</v>
      </c>
      <c r="I1415">
        <f t="shared" si="132"/>
        <v>0</v>
      </c>
      <c r="J1415">
        <f t="shared" si="133"/>
        <v>0</v>
      </c>
      <c r="K1415">
        <f t="shared" si="134"/>
        <v>0</v>
      </c>
      <c r="L1415">
        <f t="shared" si="135"/>
        <v>1</v>
      </c>
      <c r="M1415">
        <f t="shared" si="136"/>
        <v>0</v>
      </c>
      <c r="N1415">
        <f t="shared" si="137"/>
        <v>0</v>
      </c>
    </row>
    <row r="1416" spans="1:14" x14ac:dyDescent="0.35">
      <c r="A1416" t="s">
        <v>1660</v>
      </c>
      <c r="B1416" t="s">
        <v>2509</v>
      </c>
      <c r="C1416" s="7" t="s">
        <v>6</v>
      </c>
      <c r="D1416" t="s">
        <v>1662</v>
      </c>
      <c r="E1416" t="s">
        <v>1984</v>
      </c>
      <c r="F1416" t="s">
        <v>1727</v>
      </c>
      <c r="I1416">
        <f t="shared" si="132"/>
        <v>0</v>
      </c>
      <c r="J1416">
        <f t="shared" si="133"/>
        <v>0</v>
      </c>
      <c r="K1416">
        <f t="shared" si="134"/>
        <v>0</v>
      </c>
      <c r="L1416">
        <f t="shared" si="135"/>
        <v>0</v>
      </c>
      <c r="M1416">
        <f t="shared" si="136"/>
        <v>1</v>
      </c>
      <c r="N1416">
        <f t="shared" si="137"/>
        <v>0</v>
      </c>
    </row>
    <row r="1417" spans="1:14" x14ac:dyDescent="0.35">
      <c r="A1417" t="s">
        <v>1484</v>
      </c>
      <c r="B1417" t="s">
        <v>2510</v>
      </c>
      <c r="C1417" s="7" t="s">
        <v>6</v>
      </c>
      <c r="D1417" t="s">
        <v>1457</v>
      </c>
      <c r="E1417" t="s">
        <v>2366</v>
      </c>
      <c r="F1417" t="s">
        <v>1727</v>
      </c>
      <c r="I1417">
        <f t="shared" si="132"/>
        <v>0</v>
      </c>
      <c r="J1417">
        <f t="shared" si="133"/>
        <v>0</v>
      </c>
      <c r="K1417">
        <f t="shared" si="134"/>
        <v>0</v>
      </c>
      <c r="L1417">
        <f t="shared" si="135"/>
        <v>0</v>
      </c>
      <c r="M1417">
        <f t="shared" si="136"/>
        <v>1</v>
      </c>
      <c r="N1417">
        <f t="shared" si="137"/>
        <v>0</v>
      </c>
    </row>
    <row r="1418" spans="1:14" x14ac:dyDescent="0.35">
      <c r="A1418" t="s">
        <v>117</v>
      </c>
      <c r="B1418" t="s">
        <v>2511</v>
      </c>
      <c r="C1418" s="7" t="s">
        <v>6</v>
      </c>
      <c r="D1418" t="s">
        <v>92</v>
      </c>
      <c r="E1418" t="s">
        <v>1806</v>
      </c>
      <c r="F1418" t="s">
        <v>1754</v>
      </c>
      <c r="I1418">
        <f t="shared" si="132"/>
        <v>0</v>
      </c>
      <c r="J1418">
        <f t="shared" si="133"/>
        <v>0</v>
      </c>
      <c r="K1418">
        <f t="shared" si="134"/>
        <v>0</v>
      </c>
      <c r="L1418">
        <f t="shared" si="135"/>
        <v>1</v>
      </c>
      <c r="M1418">
        <f t="shared" si="136"/>
        <v>0</v>
      </c>
      <c r="N1418">
        <f t="shared" si="137"/>
        <v>0</v>
      </c>
    </row>
    <row r="1419" spans="1:14" x14ac:dyDescent="0.35">
      <c r="A1419" t="s">
        <v>117</v>
      </c>
      <c r="B1419" t="s">
        <v>2511</v>
      </c>
      <c r="C1419" s="7" t="s">
        <v>6</v>
      </c>
      <c r="D1419" t="s">
        <v>92</v>
      </c>
      <c r="E1419" t="s">
        <v>1807</v>
      </c>
      <c r="F1419" t="s">
        <v>1754</v>
      </c>
      <c r="I1419">
        <f t="shared" si="132"/>
        <v>0</v>
      </c>
      <c r="J1419">
        <f t="shared" si="133"/>
        <v>0</v>
      </c>
      <c r="K1419">
        <f t="shared" si="134"/>
        <v>0</v>
      </c>
      <c r="L1419">
        <f t="shared" si="135"/>
        <v>1</v>
      </c>
      <c r="M1419">
        <f t="shared" si="136"/>
        <v>0</v>
      </c>
      <c r="N1419">
        <f t="shared" si="137"/>
        <v>0</v>
      </c>
    </row>
    <row r="1420" spans="1:14" x14ac:dyDescent="0.35">
      <c r="A1420" t="s">
        <v>780</v>
      </c>
      <c r="B1420" t="s">
        <v>2512</v>
      </c>
      <c r="C1420" s="7" t="s">
        <v>6</v>
      </c>
      <c r="D1420" t="s">
        <v>100</v>
      </c>
      <c r="E1420" t="s">
        <v>2078</v>
      </c>
      <c r="F1420" t="s">
        <v>1754</v>
      </c>
      <c r="I1420">
        <f t="shared" si="132"/>
        <v>0</v>
      </c>
      <c r="J1420">
        <f t="shared" si="133"/>
        <v>0</v>
      </c>
      <c r="K1420">
        <f t="shared" si="134"/>
        <v>0</v>
      </c>
      <c r="L1420">
        <f t="shared" si="135"/>
        <v>1</v>
      </c>
      <c r="M1420">
        <f t="shared" si="136"/>
        <v>0</v>
      </c>
      <c r="N1420">
        <f t="shared" si="137"/>
        <v>0</v>
      </c>
    </row>
    <row r="1421" spans="1:14" x14ac:dyDescent="0.35">
      <c r="A1421" t="s">
        <v>780</v>
      </c>
      <c r="B1421" t="s">
        <v>2512</v>
      </c>
      <c r="C1421" s="7" t="s">
        <v>6</v>
      </c>
      <c r="D1421" t="s">
        <v>100</v>
      </c>
      <c r="E1421" t="s">
        <v>1825</v>
      </c>
      <c r="F1421" t="s">
        <v>1754</v>
      </c>
      <c r="I1421">
        <f t="shared" si="132"/>
        <v>0</v>
      </c>
      <c r="J1421">
        <f t="shared" si="133"/>
        <v>0</v>
      </c>
      <c r="K1421">
        <f t="shared" si="134"/>
        <v>0</v>
      </c>
      <c r="L1421">
        <f t="shared" si="135"/>
        <v>1</v>
      </c>
      <c r="M1421">
        <f t="shared" si="136"/>
        <v>0</v>
      </c>
      <c r="N1421">
        <f t="shared" si="137"/>
        <v>0</v>
      </c>
    </row>
    <row r="1422" spans="1:14" x14ac:dyDescent="0.35">
      <c r="A1422" t="s">
        <v>780</v>
      </c>
      <c r="B1422" t="s">
        <v>2512</v>
      </c>
      <c r="C1422" s="7" t="s">
        <v>6</v>
      </c>
      <c r="D1422" t="s">
        <v>100</v>
      </c>
      <c r="E1422" t="s">
        <v>1826</v>
      </c>
      <c r="F1422" t="s">
        <v>1754</v>
      </c>
      <c r="I1422">
        <f t="shared" si="132"/>
        <v>0</v>
      </c>
      <c r="J1422">
        <f t="shared" si="133"/>
        <v>0</v>
      </c>
      <c r="K1422">
        <f t="shared" si="134"/>
        <v>0</v>
      </c>
      <c r="L1422">
        <f t="shared" si="135"/>
        <v>1</v>
      </c>
      <c r="M1422">
        <f t="shared" si="136"/>
        <v>0</v>
      </c>
      <c r="N1422">
        <f t="shared" si="137"/>
        <v>0</v>
      </c>
    </row>
    <row r="1423" spans="1:14" x14ac:dyDescent="0.35">
      <c r="A1423" t="s">
        <v>798</v>
      </c>
      <c r="B1423" t="s">
        <v>2513</v>
      </c>
      <c r="C1423" s="7" t="s">
        <v>6</v>
      </c>
      <c r="D1423" t="s">
        <v>55</v>
      </c>
      <c r="E1423" t="s">
        <v>1905</v>
      </c>
      <c r="F1423" t="s">
        <v>1760</v>
      </c>
      <c r="I1423">
        <f t="shared" si="132"/>
        <v>0</v>
      </c>
      <c r="J1423">
        <f t="shared" si="133"/>
        <v>0</v>
      </c>
      <c r="K1423">
        <f t="shared" si="134"/>
        <v>1</v>
      </c>
      <c r="L1423">
        <f t="shared" si="135"/>
        <v>0</v>
      </c>
      <c r="M1423">
        <f t="shared" si="136"/>
        <v>0</v>
      </c>
      <c r="N1423">
        <f t="shared" si="137"/>
        <v>0</v>
      </c>
    </row>
    <row r="1424" spans="1:14" x14ac:dyDescent="0.35">
      <c r="A1424" t="s">
        <v>798</v>
      </c>
      <c r="B1424" t="s">
        <v>2513</v>
      </c>
      <c r="C1424" s="7" t="s">
        <v>6</v>
      </c>
      <c r="D1424" t="s">
        <v>55</v>
      </c>
      <c r="E1424" t="s">
        <v>1904</v>
      </c>
      <c r="F1424" t="s">
        <v>1760</v>
      </c>
      <c r="I1424">
        <f t="shared" si="132"/>
        <v>0</v>
      </c>
      <c r="J1424">
        <f t="shared" si="133"/>
        <v>0</v>
      </c>
      <c r="K1424">
        <f t="shared" si="134"/>
        <v>1</v>
      </c>
      <c r="L1424">
        <f t="shared" si="135"/>
        <v>0</v>
      </c>
      <c r="M1424">
        <f t="shared" si="136"/>
        <v>0</v>
      </c>
      <c r="N1424">
        <f t="shared" si="137"/>
        <v>0</v>
      </c>
    </row>
    <row r="1425" spans="1:14" x14ac:dyDescent="0.35">
      <c r="A1425" t="s">
        <v>343</v>
      </c>
      <c r="B1425" t="s">
        <v>2514</v>
      </c>
      <c r="C1425" s="7" t="s">
        <v>6</v>
      </c>
      <c r="D1425" t="s">
        <v>51</v>
      </c>
      <c r="E1425" t="s">
        <v>2121</v>
      </c>
      <c r="F1425" t="s">
        <v>1727</v>
      </c>
      <c r="I1425">
        <f t="shared" si="132"/>
        <v>0</v>
      </c>
      <c r="J1425">
        <f t="shared" si="133"/>
        <v>0</v>
      </c>
      <c r="K1425">
        <f t="shared" si="134"/>
        <v>0</v>
      </c>
      <c r="L1425">
        <f t="shared" si="135"/>
        <v>0</v>
      </c>
      <c r="M1425">
        <f t="shared" si="136"/>
        <v>1</v>
      </c>
      <c r="N1425">
        <f t="shared" si="137"/>
        <v>0</v>
      </c>
    </row>
    <row r="1426" spans="1:14" x14ac:dyDescent="0.35">
      <c r="A1426" t="s">
        <v>343</v>
      </c>
      <c r="B1426" t="s">
        <v>2514</v>
      </c>
      <c r="C1426" s="7" t="s">
        <v>6</v>
      </c>
      <c r="D1426" t="s">
        <v>51</v>
      </c>
      <c r="E1426" t="s">
        <v>1875</v>
      </c>
      <c r="F1426" t="s">
        <v>1727</v>
      </c>
      <c r="I1426">
        <f t="shared" si="132"/>
        <v>0</v>
      </c>
      <c r="J1426">
        <f t="shared" si="133"/>
        <v>0</v>
      </c>
      <c r="K1426">
        <f t="shared" si="134"/>
        <v>0</v>
      </c>
      <c r="L1426">
        <f t="shared" si="135"/>
        <v>0</v>
      </c>
      <c r="M1426">
        <f t="shared" si="136"/>
        <v>1</v>
      </c>
      <c r="N1426">
        <f t="shared" si="137"/>
        <v>0</v>
      </c>
    </row>
    <row r="1427" spans="1:14" x14ac:dyDescent="0.35">
      <c r="A1427" t="s">
        <v>1170</v>
      </c>
      <c r="B1427" t="s">
        <v>2515</v>
      </c>
      <c r="C1427" s="7" t="s">
        <v>6</v>
      </c>
      <c r="D1427" t="s">
        <v>55</v>
      </c>
      <c r="E1427" t="s">
        <v>2424</v>
      </c>
      <c r="F1427" t="s">
        <v>1727</v>
      </c>
      <c r="I1427">
        <f t="shared" si="132"/>
        <v>0</v>
      </c>
      <c r="J1427">
        <f t="shared" si="133"/>
        <v>0</v>
      </c>
      <c r="K1427">
        <f t="shared" si="134"/>
        <v>0</v>
      </c>
      <c r="L1427">
        <f t="shared" si="135"/>
        <v>0</v>
      </c>
      <c r="M1427">
        <f t="shared" si="136"/>
        <v>1</v>
      </c>
      <c r="N1427">
        <f t="shared" si="137"/>
        <v>0</v>
      </c>
    </row>
    <row r="1428" spans="1:14" x14ac:dyDescent="0.35">
      <c r="A1428" t="s">
        <v>1170</v>
      </c>
      <c r="B1428" t="s">
        <v>2515</v>
      </c>
      <c r="C1428" s="7" t="s">
        <v>6</v>
      </c>
      <c r="D1428" t="s">
        <v>55</v>
      </c>
      <c r="E1428" t="s">
        <v>2426</v>
      </c>
      <c r="F1428" t="s">
        <v>1727</v>
      </c>
      <c r="I1428">
        <f t="shared" si="132"/>
        <v>0</v>
      </c>
      <c r="J1428">
        <f t="shared" si="133"/>
        <v>0</v>
      </c>
      <c r="K1428">
        <f t="shared" si="134"/>
        <v>0</v>
      </c>
      <c r="L1428">
        <f t="shared" si="135"/>
        <v>0</v>
      </c>
      <c r="M1428">
        <f t="shared" si="136"/>
        <v>1</v>
      </c>
      <c r="N1428">
        <f t="shared" si="137"/>
        <v>0</v>
      </c>
    </row>
    <row r="1429" spans="1:14" x14ac:dyDescent="0.35">
      <c r="A1429" t="s">
        <v>595</v>
      </c>
      <c r="B1429" t="s">
        <v>2516</v>
      </c>
      <c r="C1429" s="7" t="s">
        <v>6</v>
      </c>
      <c r="D1429" t="s">
        <v>597</v>
      </c>
      <c r="E1429" t="s">
        <v>1807</v>
      </c>
      <c r="F1429" t="s">
        <v>1754</v>
      </c>
      <c r="I1429">
        <f t="shared" si="132"/>
        <v>0</v>
      </c>
      <c r="J1429">
        <f t="shared" si="133"/>
        <v>0</v>
      </c>
      <c r="K1429">
        <f t="shared" si="134"/>
        <v>0</v>
      </c>
      <c r="L1429">
        <f t="shared" si="135"/>
        <v>1</v>
      </c>
      <c r="M1429">
        <f t="shared" si="136"/>
        <v>0</v>
      </c>
      <c r="N1429">
        <f t="shared" si="137"/>
        <v>0</v>
      </c>
    </row>
    <row r="1430" spans="1:14" x14ac:dyDescent="0.35">
      <c r="A1430" t="s">
        <v>595</v>
      </c>
      <c r="B1430" t="s">
        <v>2516</v>
      </c>
      <c r="C1430" s="7" t="s">
        <v>6</v>
      </c>
      <c r="D1430" t="s">
        <v>597</v>
      </c>
      <c r="E1430" t="s">
        <v>1806</v>
      </c>
      <c r="F1430" t="s">
        <v>1754</v>
      </c>
      <c r="I1430">
        <f t="shared" si="132"/>
        <v>0</v>
      </c>
      <c r="J1430">
        <f t="shared" si="133"/>
        <v>0</v>
      </c>
      <c r="K1430">
        <f t="shared" si="134"/>
        <v>0</v>
      </c>
      <c r="L1430">
        <f t="shared" si="135"/>
        <v>1</v>
      </c>
      <c r="M1430">
        <f t="shared" si="136"/>
        <v>0</v>
      </c>
      <c r="N1430">
        <f t="shared" si="137"/>
        <v>0</v>
      </c>
    </row>
    <row r="1431" spans="1:14" x14ac:dyDescent="0.35">
      <c r="A1431" t="s">
        <v>783</v>
      </c>
      <c r="B1431" t="s">
        <v>2517</v>
      </c>
      <c r="C1431" s="7" t="s">
        <v>6</v>
      </c>
      <c r="D1431" t="s">
        <v>785</v>
      </c>
      <c r="E1431" t="s">
        <v>1841</v>
      </c>
      <c r="F1431" t="s">
        <v>1760</v>
      </c>
      <c r="I1431">
        <f t="shared" si="132"/>
        <v>0</v>
      </c>
      <c r="J1431">
        <f t="shared" si="133"/>
        <v>0</v>
      </c>
      <c r="K1431">
        <f t="shared" si="134"/>
        <v>1</v>
      </c>
      <c r="L1431">
        <f t="shared" si="135"/>
        <v>0</v>
      </c>
      <c r="M1431">
        <f t="shared" si="136"/>
        <v>0</v>
      </c>
      <c r="N1431">
        <f t="shared" si="137"/>
        <v>0</v>
      </c>
    </row>
    <row r="1432" spans="1:14" x14ac:dyDescent="0.35">
      <c r="A1432" t="s">
        <v>783</v>
      </c>
      <c r="B1432" t="s">
        <v>2517</v>
      </c>
      <c r="C1432" s="7" t="s">
        <v>6</v>
      </c>
      <c r="D1432" t="s">
        <v>785</v>
      </c>
      <c r="E1432" t="s">
        <v>1843</v>
      </c>
      <c r="F1432" t="s">
        <v>1760</v>
      </c>
      <c r="I1432">
        <f t="shared" si="132"/>
        <v>0</v>
      </c>
      <c r="J1432">
        <f t="shared" si="133"/>
        <v>0</v>
      </c>
      <c r="K1432">
        <f t="shared" si="134"/>
        <v>1</v>
      </c>
      <c r="L1432">
        <f t="shared" si="135"/>
        <v>0</v>
      </c>
      <c r="M1432">
        <f t="shared" si="136"/>
        <v>0</v>
      </c>
      <c r="N1432">
        <f t="shared" si="137"/>
        <v>0</v>
      </c>
    </row>
    <row r="1433" spans="1:14" x14ac:dyDescent="0.35">
      <c r="A1433" t="s">
        <v>783</v>
      </c>
      <c r="B1433" t="s">
        <v>2517</v>
      </c>
      <c r="C1433" s="7" t="s">
        <v>6</v>
      </c>
      <c r="D1433" t="s">
        <v>785</v>
      </c>
      <c r="E1433" t="s">
        <v>1838</v>
      </c>
      <c r="F1433" t="s">
        <v>1760</v>
      </c>
      <c r="I1433">
        <f t="shared" si="132"/>
        <v>0</v>
      </c>
      <c r="J1433">
        <f t="shared" si="133"/>
        <v>0</v>
      </c>
      <c r="K1433">
        <f t="shared" si="134"/>
        <v>1</v>
      </c>
      <c r="L1433">
        <f t="shared" si="135"/>
        <v>0</v>
      </c>
      <c r="M1433">
        <f t="shared" si="136"/>
        <v>0</v>
      </c>
      <c r="N1433">
        <f t="shared" si="137"/>
        <v>0</v>
      </c>
    </row>
    <row r="1434" spans="1:14" x14ac:dyDescent="0.35">
      <c r="A1434" t="s">
        <v>783</v>
      </c>
      <c r="B1434" t="s">
        <v>2517</v>
      </c>
      <c r="C1434" s="7" t="s">
        <v>6</v>
      </c>
      <c r="D1434" t="s">
        <v>785</v>
      </c>
      <c r="E1434" t="s">
        <v>1821</v>
      </c>
      <c r="F1434" t="s">
        <v>1760</v>
      </c>
      <c r="I1434">
        <f t="shared" si="132"/>
        <v>0</v>
      </c>
      <c r="J1434">
        <f t="shared" si="133"/>
        <v>0</v>
      </c>
      <c r="K1434">
        <f t="shared" si="134"/>
        <v>1</v>
      </c>
      <c r="L1434">
        <f t="shared" si="135"/>
        <v>0</v>
      </c>
      <c r="M1434">
        <f t="shared" si="136"/>
        <v>0</v>
      </c>
      <c r="N1434">
        <f t="shared" si="137"/>
        <v>0</v>
      </c>
    </row>
    <row r="1435" spans="1:14" x14ac:dyDescent="0.35">
      <c r="A1435" t="s">
        <v>783</v>
      </c>
      <c r="B1435" t="s">
        <v>2517</v>
      </c>
      <c r="C1435" s="7" t="s">
        <v>6</v>
      </c>
      <c r="D1435" t="s">
        <v>785</v>
      </c>
      <c r="E1435" t="s">
        <v>1839</v>
      </c>
      <c r="F1435" t="s">
        <v>1760</v>
      </c>
      <c r="I1435">
        <f t="shared" si="132"/>
        <v>0</v>
      </c>
      <c r="J1435">
        <f t="shared" si="133"/>
        <v>0</v>
      </c>
      <c r="K1435">
        <f t="shared" si="134"/>
        <v>1</v>
      </c>
      <c r="L1435">
        <f t="shared" si="135"/>
        <v>0</v>
      </c>
      <c r="M1435">
        <f t="shared" si="136"/>
        <v>0</v>
      </c>
      <c r="N1435">
        <f t="shared" si="137"/>
        <v>0</v>
      </c>
    </row>
    <row r="1436" spans="1:14" x14ac:dyDescent="0.35">
      <c r="A1436" t="s">
        <v>783</v>
      </c>
      <c r="B1436" t="s">
        <v>2517</v>
      </c>
      <c r="C1436" s="7" t="s">
        <v>6</v>
      </c>
      <c r="D1436" t="s">
        <v>785</v>
      </c>
      <c r="E1436" t="s">
        <v>1822</v>
      </c>
      <c r="F1436" t="s">
        <v>1760</v>
      </c>
      <c r="I1436">
        <f t="shared" si="132"/>
        <v>0</v>
      </c>
      <c r="J1436">
        <f t="shared" si="133"/>
        <v>0</v>
      </c>
      <c r="K1436">
        <f t="shared" si="134"/>
        <v>1</v>
      </c>
      <c r="L1436">
        <f t="shared" si="135"/>
        <v>0</v>
      </c>
      <c r="M1436">
        <f t="shared" si="136"/>
        <v>0</v>
      </c>
      <c r="N1436">
        <f t="shared" si="137"/>
        <v>0</v>
      </c>
    </row>
    <row r="1437" spans="1:14" x14ac:dyDescent="0.35">
      <c r="A1437" t="s">
        <v>783</v>
      </c>
      <c r="B1437" t="s">
        <v>2517</v>
      </c>
      <c r="C1437" s="7" t="s">
        <v>6</v>
      </c>
      <c r="D1437" t="s">
        <v>785</v>
      </c>
      <c r="E1437" t="s">
        <v>1823</v>
      </c>
      <c r="F1437" t="s">
        <v>1760</v>
      </c>
      <c r="I1437">
        <f t="shared" si="132"/>
        <v>0</v>
      </c>
      <c r="J1437">
        <f t="shared" si="133"/>
        <v>0</v>
      </c>
      <c r="K1437">
        <f t="shared" si="134"/>
        <v>1</v>
      </c>
      <c r="L1437">
        <f t="shared" si="135"/>
        <v>0</v>
      </c>
      <c r="M1437">
        <f t="shared" si="136"/>
        <v>0</v>
      </c>
      <c r="N1437">
        <f t="shared" si="137"/>
        <v>0</v>
      </c>
    </row>
    <row r="1438" spans="1:14" x14ac:dyDescent="0.35">
      <c r="A1438" t="s">
        <v>783</v>
      </c>
      <c r="B1438" t="s">
        <v>2517</v>
      </c>
      <c r="C1438" s="7" t="s">
        <v>6</v>
      </c>
      <c r="D1438" t="s">
        <v>785</v>
      </c>
      <c r="E1438" t="s">
        <v>1842</v>
      </c>
      <c r="F1438" t="s">
        <v>1760</v>
      </c>
      <c r="I1438">
        <f t="shared" si="132"/>
        <v>0</v>
      </c>
      <c r="J1438">
        <f t="shared" si="133"/>
        <v>0</v>
      </c>
      <c r="K1438">
        <f t="shared" si="134"/>
        <v>1</v>
      </c>
      <c r="L1438">
        <f t="shared" si="135"/>
        <v>0</v>
      </c>
      <c r="M1438">
        <f t="shared" si="136"/>
        <v>0</v>
      </c>
      <c r="N1438">
        <f t="shared" si="137"/>
        <v>0</v>
      </c>
    </row>
    <row r="1439" spans="1:14" x14ac:dyDescent="0.35">
      <c r="A1439" t="s">
        <v>1555</v>
      </c>
      <c r="B1439" t="s">
        <v>2172</v>
      </c>
      <c r="C1439" s="7" t="s">
        <v>6</v>
      </c>
      <c r="D1439" t="s">
        <v>55</v>
      </c>
      <c r="E1439" t="s">
        <v>1885</v>
      </c>
      <c r="F1439" t="s">
        <v>1886</v>
      </c>
      <c r="I1439">
        <f t="shared" si="132"/>
        <v>0</v>
      </c>
      <c r="J1439">
        <f t="shared" si="133"/>
        <v>0</v>
      </c>
      <c r="K1439">
        <f t="shared" si="134"/>
        <v>0</v>
      </c>
      <c r="L1439">
        <f t="shared" si="135"/>
        <v>0</v>
      </c>
      <c r="M1439">
        <f t="shared" si="136"/>
        <v>0</v>
      </c>
      <c r="N1439">
        <f t="shared" si="137"/>
        <v>0</v>
      </c>
    </row>
    <row r="1440" spans="1:14" x14ac:dyDescent="0.35">
      <c r="A1440" t="s">
        <v>811</v>
      </c>
      <c r="B1440" t="s">
        <v>2518</v>
      </c>
      <c r="C1440" s="7" t="s">
        <v>6</v>
      </c>
      <c r="D1440" t="s">
        <v>111</v>
      </c>
      <c r="E1440" t="s">
        <v>1807</v>
      </c>
      <c r="F1440" t="s">
        <v>1754</v>
      </c>
      <c r="I1440">
        <f t="shared" si="132"/>
        <v>0</v>
      </c>
      <c r="J1440">
        <f t="shared" si="133"/>
        <v>0</v>
      </c>
      <c r="K1440">
        <f t="shared" si="134"/>
        <v>0</v>
      </c>
      <c r="L1440">
        <f t="shared" si="135"/>
        <v>1</v>
      </c>
      <c r="M1440">
        <f t="shared" si="136"/>
        <v>0</v>
      </c>
      <c r="N1440">
        <f t="shared" si="137"/>
        <v>0</v>
      </c>
    </row>
    <row r="1441" spans="1:14" x14ac:dyDescent="0.35">
      <c r="A1441" t="s">
        <v>811</v>
      </c>
      <c r="B1441" t="s">
        <v>2518</v>
      </c>
      <c r="C1441" s="7" t="s">
        <v>6</v>
      </c>
      <c r="D1441" t="s">
        <v>111</v>
      </c>
      <c r="E1441" t="s">
        <v>1806</v>
      </c>
      <c r="F1441" t="s">
        <v>1754</v>
      </c>
      <c r="I1441">
        <f t="shared" si="132"/>
        <v>0</v>
      </c>
      <c r="J1441">
        <f t="shared" si="133"/>
        <v>0</v>
      </c>
      <c r="K1441">
        <f t="shared" si="134"/>
        <v>0</v>
      </c>
      <c r="L1441">
        <f t="shared" si="135"/>
        <v>1</v>
      </c>
      <c r="M1441">
        <f t="shared" si="136"/>
        <v>0</v>
      </c>
      <c r="N1441">
        <f t="shared" si="137"/>
        <v>0</v>
      </c>
    </row>
    <row r="1442" spans="1:14" x14ac:dyDescent="0.35">
      <c r="A1442" t="s">
        <v>1640</v>
      </c>
      <c r="B1442" t="s">
        <v>2519</v>
      </c>
      <c r="C1442" s="7" t="s">
        <v>6</v>
      </c>
      <c r="D1442" t="s">
        <v>1642</v>
      </c>
      <c r="E1442" t="s">
        <v>1825</v>
      </c>
      <c r="F1442" t="s">
        <v>1754</v>
      </c>
      <c r="I1442">
        <f t="shared" si="132"/>
        <v>0</v>
      </c>
      <c r="J1442">
        <f t="shared" si="133"/>
        <v>0</v>
      </c>
      <c r="K1442">
        <f t="shared" si="134"/>
        <v>0</v>
      </c>
      <c r="L1442">
        <f t="shared" si="135"/>
        <v>1</v>
      </c>
      <c r="M1442">
        <f t="shared" si="136"/>
        <v>0</v>
      </c>
      <c r="N1442">
        <f t="shared" si="137"/>
        <v>0</v>
      </c>
    </row>
    <row r="1443" spans="1:14" x14ac:dyDescent="0.35">
      <c r="A1443" t="s">
        <v>1640</v>
      </c>
      <c r="B1443" t="s">
        <v>2519</v>
      </c>
      <c r="C1443" s="7" t="s">
        <v>6</v>
      </c>
      <c r="D1443" t="s">
        <v>1642</v>
      </c>
      <c r="E1443" t="s">
        <v>1826</v>
      </c>
      <c r="F1443" t="s">
        <v>1754</v>
      </c>
      <c r="I1443">
        <f t="shared" si="132"/>
        <v>0</v>
      </c>
      <c r="J1443">
        <f t="shared" si="133"/>
        <v>0</v>
      </c>
      <c r="K1443">
        <f t="shared" si="134"/>
        <v>0</v>
      </c>
      <c r="L1443">
        <f t="shared" si="135"/>
        <v>1</v>
      </c>
      <c r="M1443">
        <f t="shared" si="136"/>
        <v>0</v>
      </c>
      <c r="N1443">
        <f t="shared" si="137"/>
        <v>0</v>
      </c>
    </row>
    <row r="1444" spans="1:14" x14ac:dyDescent="0.35">
      <c r="A1444" t="s">
        <v>1640</v>
      </c>
      <c r="B1444" t="s">
        <v>2519</v>
      </c>
      <c r="C1444" s="7" t="s">
        <v>6</v>
      </c>
      <c r="D1444" t="s">
        <v>1642</v>
      </c>
      <c r="E1444" t="s">
        <v>1953</v>
      </c>
      <c r="F1444" t="s">
        <v>1754</v>
      </c>
      <c r="I1444">
        <f t="shared" si="132"/>
        <v>0</v>
      </c>
      <c r="J1444">
        <f t="shared" si="133"/>
        <v>0</v>
      </c>
      <c r="K1444">
        <f t="shared" si="134"/>
        <v>0</v>
      </c>
      <c r="L1444">
        <f t="shared" si="135"/>
        <v>1</v>
      </c>
      <c r="M1444">
        <f t="shared" si="136"/>
        <v>0</v>
      </c>
      <c r="N1444">
        <f t="shared" si="137"/>
        <v>0</v>
      </c>
    </row>
    <row r="1445" spans="1:14" x14ac:dyDescent="0.35">
      <c r="A1445" t="s">
        <v>1640</v>
      </c>
      <c r="B1445" t="s">
        <v>2519</v>
      </c>
      <c r="C1445" s="7" t="s">
        <v>6</v>
      </c>
      <c r="D1445" t="s">
        <v>1642</v>
      </c>
      <c r="E1445" t="s">
        <v>1951</v>
      </c>
      <c r="F1445" t="s">
        <v>1754</v>
      </c>
      <c r="I1445">
        <f t="shared" si="132"/>
        <v>0</v>
      </c>
      <c r="J1445">
        <f t="shared" si="133"/>
        <v>0</v>
      </c>
      <c r="K1445">
        <f t="shared" si="134"/>
        <v>0</v>
      </c>
      <c r="L1445">
        <f t="shared" si="135"/>
        <v>1</v>
      </c>
      <c r="M1445">
        <f t="shared" si="136"/>
        <v>0</v>
      </c>
      <c r="N1445">
        <f t="shared" si="137"/>
        <v>0</v>
      </c>
    </row>
    <row r="1446" spans="1:14" x14ac:dyDescent="0.35">
      <c r="A1446" t="s">
        <v>1640</v>
      </c>
      <c r="B1446" t="s">
        <v>2519</v>
      </c>
      <c r="C1446" s="7" t="s">
        <v>6</v>
      </c>
      <c r="D1446" t="s">
        <v>1642</v>
      </c>
      <c r="E1446" t="s">
        <v>1856</v>
      </c>
      <c r="F1446" t="s">
        <v>1760</v>
      </c>
      <c r="I1446">
        <f t="shared" si="132"/>
        <v>0</v>
      </c>
      <c r="J1446">
        <f t="shared" si="133"/>
        <v>0</v>
      </c>
      <c r="K1446">
        <f t="shared" si="134"/>
        <v>1</v>
      </c>
      <c r="L1446">
        <f t="shared" si="135"/>
        <v>0</v>
      </c>
      <c r="M1446">
        <f t="shared" si="136"/>
        <v>0</v>
      </c>
      <c r="N1446">
        <f t="shared" si="137"/>
        <v>0</v>
      </c>
    </row>
    <row r="1447" spans="1:14" x14ac:dyDescent="0.35">
      <c r="A1447" t="s">
        <v>1640</v>
      </c>
      <c r="B1447" t="s">
        <v>2519</v>
      </c>
      <c r="C1447" s="7" t="s">
        <v>9</v>
      </c>
      <c r="D1447" t="s">
        <v>1642</v>
      </c>
      <c r="E1447" t="s">
        <v>1956</v>
      </c>
      <c r="F1447" t="s">
        <v>1760</v>
      </c>
      <c r="I1447">
        <f t="shared" si="132"/>
        <v>0</v>
      </c>
      <c r="J1447">
        <f t="shared" si="133"/>
        <v>0</v>
      </c>
      <c r="K1447">
        <f t="shared" si="134"/>
        <v>1</v>
      </c>
      <c r="L1447">
        <f t="shared" si="135"/>
        <v>0</v>
      </c>
      <c r="M1447">
        <f t="shared" si="136"/>
        <v>0</v>
      </c>
      <c r="N1447">
        <f t="shared" si="137"/>
        <v>0</v>
      </c>
    </row>
    <row r="1448" spans="1:14" x14ac:dyDescent="0.35">
      <c r="A1448" t="s">
        <v>608</v>
      </c>
      <c r="B1448" t="s">
        <v>2520</v>
      </c>
      <c r="C1448" s="7" t="s">
        <v>9</v>
      </c>
      <c r="D1448" t="s">
        <v>55</v>
      </c>
      <c r="E1448" t="s">
        <v>1854</v>
      </c>
      <c r="F1448" t="s">
        <v>1754</v>
      </c>
      <c r="I1448">
        <f t="shared" si="132"/>
        <v>0</v>
      </c>
      <c r="J1448">
        <f t="shared" si="133"/>
        <v>0</v>
      </c>
      <c r="K1448">
        <f t="shared" si="134"/>
        <v>0</v>
      </c>
      <c r="L1448">
        <f t="shared" si="135"/>
        <v>1</v>
      </c>
      <c r="M1448">
        <f t="shared" si="136"/>
        <v>0</v>
      </c>
      <c r="N1448">
        <f t="shared" si="137"/>
        <v>0</v>
      </c>
    </row>
    <row r="1449" spans="1:14" x14ac:dyDescent="0.35">
      <c r="A1449" t="s">
        <v>608</v>
      </c>
      <c r="B1449" t="s">
        <v>2520</v>
      </c>
      <c r="C1449" s="7" t="s">
        <v>9</v>
      </c>
      <c r="D1449" t="s">
        <v>55</v>
      </c>
      <c r="E1449" t="s">
        <v>2042</v>
      </c>
      <c r="F1449" t="s">
        <v>1754</v>
      </c>
      <c r="I1449">
        <f t="shared" si="132"/>
        <v>0</v>
      </c>
      <c r="J1449">
        <f t="shared" si="133"/>
        <v>0</v>
      </c>
      <c r="K1449">
        <f t="shared" si="134"/>
        <v>0</v>
      </c>
      <c r="L1449">
        <f t="shared" si="135"/>
        <v>1</v>
      </c>
      <c r="M1449">
        <f t="shared" si="136"/>
        <v>0</v>
      </c>
      <c r="N1449">
        <f t="shared" si="137"/>
        <v>0</v>
      </c>
    </row>
    <row r="1450" spans="1:14" x14ac:dyDescent="0.35">
      <c r="A1450" t="s">
        <v>56</v>
      </c>
      <c r="B1450" t="s">
        <v>2521</v>
      </c>
      <c r="C1450" s="7" t="s">
        <v>9</v>
      </c>
      <c r="D1450" t="s">
        <v>60</v>
      </c>
      <c r="E1450" t="s">
        <v>2062</v>
      </c>
      <c r="F1450" t="s">
        <v>1727</v>
      </c>
      <c r="I1450">
        <f t="shared" si="132"/>
        <v>0</v>
      </c>
      <c r="J1450">
        <f t="shared" si="133"/>
        <v>0</v>
      </c>
      <c r="K1450">
        <f t="shared" si="134"/>
        <v>0</v>
      </c>
      <c r="L1450">
        <f t="shared" si="135"/>
        <v>0</v>
      </c>
      <c r="M1450">
        <f t="shared" si="136"/>
        <v>1</v>
      </c>
      <c r="N1450">
        <f t="shared" si="137"/>
        <v>0</v>
      </c>
    </row>
    <row r="1451" spans="1:14" x14ac:dyDescent="0.35">
      <c r="A1451" t="s">
        <v>56</v>
      </c>
      <c r="B1451" t="s">
        <v>2521</v>
      </c>
      <c r="C1451" s="7" t="s">
        <v>9</v>
      </c>
      <c r="D1451" t="s">
        <v>60</v>
      </c>
      <c r="E1451" t="s">
        <v>2040</v>
      </c>
      <c r="F1451" t="s">
        <v>1727</v>
      </c>
      <c r="I1451">
        <f t="shared" si="132"/>
        <v>0</v>
      </c>
      <c r="J1451">
        <f t="shared" si="133"/>
        <v>0</v>
      </c>
      <c r="K1451">
        <f t="shared" si="134"/>
        <v>0</v>
      </c>
      <c r="L1451">
        <f t="shared" si="135"/>
        <v>0</v>
      </c>
      <c r="M1451">
        <f t="shared" si="136"/>
        <v>1</v>
      </c>
      <c r="N1451">
        <f t="shared" si="137"/>
        <v>0</v>
      </c>
    </row>
    <row r="1452" spans="1:14" x14ac:dyDescent="0.35">
      <c r="A1452" t="s">
        <v>503</v>
      </c>
      <c r="B1452" t="s">
        <v>2522</v>
      </c>
      <c r="C1452" s="7" t="s">
        <v>9</v>
      </c>
      <c r="D1452" t="s">
        <v>55</v>
      </c>
      <c r="E1452" t="s">
        <v>1845</v>
      </c>
      <c r="F1452" t="s">
        <v>1754</v>
      </c>
      <c r="I1452">
        <f t="shared" si="132"/>
        <v>0</v>
      </c>
      <c r="J1452">
        <f t="shared" si="133"/>
        <v>0</v>
      </c>
      <c r="K1452">
        <f t="shared" si="134"/>
        <v>0</v>
      </c>
      <c r="L1452">
        <f t="shared" si="135"/>
        <v>1</v>
      </c>
      <c r="M1452">
        <f t="shared" si="136"/>
        <v>0</v>
      </c>
      <c r="N1452">
        <f t="shared" si="137"/>
        <v>0</v>
      </c>
    </row>
    <row r="1453" spans="1:14" x14ac:dyDescent="0.35">
      <c r="A1453" t="s">
        <v>503</v>
      </c>
      <c r="B1453" t="s">
        <v>2522</v>
      </c>
      <c r="C1453" s="7" t="s">
        <v>9</v>
      </c>
      <c r="D1453" t="s">
        <v>55</v>
      </c>
      <c r="E1453" t="s">
        <v>1847</v>
      </c>
      <c r="F1453" t="s">
        <v>1754</v>
      </c>
      <c r="I1453">
        <f t="shared" si="132"/>
        <v>0</v>
      </c>
      <c r="J1453">
        <f t="shared" si="133"/>
        <v>0</v>
      </c>
      <c r="K1453">
        <f t="shared" si="134"/>
        <v>0</v>
      </c>
      <c r="L1453">
        <f t="shared" si="135"/>
        <v>1</v>
      </c>
      <c r="M1453">
        <f t="shared" si="136"/>
        <v>0</v>
      </c>
      <c r="N1453">
        <f t="shared" si="137"/>
        <v>0</v>
      </c>
    </row>
    <row r="1454" spans="1:14" x14ac:dyDescent="0.35">
      <c r="A1454" t="s">
        <v>629</v>
      </c>
      <c r="B1454" t="s">
        <v>2336</v>
      </c>
      <c r="C1454" s="7" t="s">
        <v>9</v>
      </c>
      <c r="D1454" t="s">
        <v>630</v>
      </c>
      <c r="E1454" t="s">
        <v>1856</v>
      </c>
      <c r="F1454" t="s">
        <v>1760</v>
      </c>
      <c r="I1454">
        <f t="shared" si="132"/>
        <v>0</v>
      </c>
      <c r="J1454">
        <f t="shared" si="133"/>
        <v>0</v>
      </c>
      <c r="K1454">
        <f t="shared" si="134"/>
        <v>1</v>
      </c>
      <c r="L1454">
        <f t="shared" si="135"/>
        <v>0</v>
      </c>
      <c r="M1454">
        <f t="shared" si="136"/>
        <v>0</v>
      </c>
      <c r="N1454">
        <f t="shared" si="137"/>
        <v>0</v>
      </c>
    </row>
    <row r="1455" spans="1:14" x14ac:dyDescent="0.35">
      <c r="A1455" t="s">
        <v>629</v>
      </c>
      <c r="B1455" t="s">
        <v>2336</v>
      </c>
      <c r="C1455" s="7" t="s">
        <v>9</v>
      </c>
      <c r="D1455" t="s">
        <v>630</v>
      </c>
      <c r="E1455" t="s">
        <v>1959</v>
      </c>
      <c r="F1455" t="s">
        <v>1760</v>
      </c>
      <c r="I1455">
        <f t="shared" si="132"/>
        <v>0</v>
      </c>
      <c r="J1455">
        <f t="shared" si="133"/>
        <v>0</v>
      </c>
      <c r="K1455">
        <f t="shared" si="134"/>
        <v>1</v>
      </c>
      <c r="L1455">
        <f t="shared" si="135"/>
        <v>0</v>
      </c>
      <c r="M1455">
        <f t="shared" si="136"/>
        <v>0</v>
      </c>
      <c r="N1455">
        <f t="shared" si="137"/>
        <v>0</v>
      </c>
    </row>
    <row r="1456" spans="1:14" x14ac:dyDescent="0.35">
      <c r="A1456" t="s">
        <v>629</v>
      </c>
      <c r="B1456" t="s">
        <v>2336</v>
      </c>
      <c r="C1456" s="7" t="s">
        <v>9</v>
      </c>
      <c r="D1456" t="s">
        <v>630</v>
      </c>
      <c r="E1456" t="s">
        <v>1956</v>
      </c>
      <c r="F1456" t="s">
        <v>1760</v>
      </c>
      <c r="I1456">
        <f t="shared" si="132"/>
        <v>0</v>
      </c>
      <c r="J1456">
        <f t="shared" si="133"/>
        <v>0</v>
      </c>
      <c r="K1456">
        <f t="shared" si="134"/>
        <v>1</v>
      </c>
      <c r="L1456">
        <f t="shared" si="135"/>
        <v>0</v>
      </c>
      <c r="M1456">
        <f t="shared" si="136"/>
        <v>0</v>
      </c>
      <c r="N1456">
        <f t="shared" si="137"/>
        <v>0</v>
      </c>
    </row>
    <row r="1457" spans="1:14" x14ac:dyDescent="0.35">
      <c r="A1457" t="s">
        <v>629</v>
      </c>
      <c r="B1457" t="s">
        <v>2336</v>
      </c>
      <c r="C1457" s="7" t="s">
        <v>9</v>
      </c>
      <c r="D1457" t="s">
        <v>630</v>
      </c>
      <c r="E1457" t="s">
        <v>1955</v>
      </c>
      <c r="F1457" t="s">
        <v>1760</v>
      </c>
      <c r="I1457">
        <f t="shared" si="132"/>
        <v>0</v>
      </c>
      <c r="J1457">
        <f t="shared" si="133"/>
        <v>0</v>
      </c>
      <c r="K1457">
        <f t="shared" si="134"/>
        <v>1</v>
      </c>
      <c r="L1457">
        <f t="shared" si="135"/>
        <v>0</v>
      </c>
      <c r="M1457">
        <f t="shared" si="136"/>
        <v>0</v>
      </c>
      <c r="N1457">
        <f t="shared" si="137"/>
        <v>0</v>
      </c>
    </row>
    <row r="1458" spans="1:14" x14ac:dyDescent="0.35">
      <c r="A1458" t="s">
        <v>629</v>
      </c>
      <c r="B1458" t="s">
        <v>2336</v>
      </c>
      <c r="C1458" s="7" t="s">
        <v>9</v>
      </c>
      <c r="D1458" t="s">
        <v>630</v>
      </c>
      <c r="E1458" t="s">
        <v>1958</v>
      </c>
      <c r="F1458" t="s">
        <v>1760</v>
      </c>
      <c r="I1458">
        <f t="shared" si="132"/>
        <v>0</v>
      </c>
      <c r="J1458">
        <f t="shared" si="133"/>
        <v>0</v>
      </c>
      <c r="K1458">
        <f t="shared" si="134"/>
        <v>1</v>
      </c>
      <c r="L1458">
        <f t="shared" si="135"/>
        <v>0</v>
      </c>
      <c r="M1458">
        <f t="shared" si="136"/>
        <v>0</v>
      </c>
      <c r="N1458">
        <f t="shared" si="137"/>
        <v>0</v>
      </c>
    </row>
    <row r="1459" spans="1:14" x14ac:dyDescent="0.35">
      <c r="A1459" t="s">
        <v>629</v>
      </c>
      <c r="B1459" t="s">
        <v>2336</v>
      </c>
      <c r="C1459" s="7" t="s">
        <v>9</v>
      </c>
      <c r="D1459" t="s">
        <v>630</v>
      </c>
      <c r="E1459" t="s">
        <v>1957</v>
      </c>
      <c r="F1459" t="s">
        <v>1760</v>
      </c>
      <c r="I1459">
        <f t="shared" si="132"/>
        <v>0</v>
      </c>
      <c r="J1459">
        <f t="shared" si="133"/>
        <v>0</v>
      </c>
      <c r="K1459">
        <f t="shared" si="134"/>
        <v>1</v>
      </c>
      <c r="L1459">
        <f t="shared" si="135"/>
        <v>0</v>
      </c>
      <c r="M1459">
        <f t="shared" si="136"/>
        <v>0</v>
      </c>
      <c r="N1459">
        <f t="shared" si="137"/>
        <v>0</v>
      </c>
    </row>
    <row r="1460" spans="1:14" x14ac:dyDescent="0.35">
      <c r="A1460" t="s">
        <v>1251</v>
      </c>
      <c r="B1460" t="s">
        <v>2523</v>
      </c>
      <c r="C1460" s="7" t="s">
        <v>9</v>
      </c>
      <c r="D1460" t="s">
        <v>55</v>
      </c>
      <c r="E1460" t="s">
        <v>1999</v>
      </c>
      <c r="F1460" t="s">
        <v>1886</v>
      </c>
      <c r="G1460" t="s">
        <v>2524</v>
      </c>
      <c r="H1460" t="s">
        <v>2525</v>
      </c>
      <c r="I1460">
        <f t="shared" si="132"/>
        <v>0</v>
      </c>
      <c r="J1460">
        <f t="shared" si="133"/>
        <v>0</v>
      </c>
      <c r="K1460">
        <f t="shared" si="134"/>
        <v>0</v>
      </c>
      <c r="L1460">
        <f t="shared" si="135"/>
        <v>0</v>
      </c>
      <c r="M1460">
        <f t="shared" si="136"/>
        <v>0</v>
      </c>
      <c r="N1460">
        <f t="shared" si="137"/>
        <v>1</v>
      </c>
    </row>
    <row r="1461" spans="1:14" x14ac:dyDescent="0.35">
      <c r="A1461" t="s">
        <v>1251</v>
      </c>
      <c r="B1461" t="s">
        <v>2523</v>
      </c>
      <c r="C1461" s="7" t="s">
        <v>9</v>
      </c>
      <c r="D1461" t="s">
        <v>55</v>
      </c>
      <c r="E1461" t="s">
        <v>1997</v>
      </c>
      <c r="F1461" t="s">
        <v>1886</v>
      </c>
      <c r="G1461" t="s">
        <v>2524</v>
      </c>
      <c r="H1461" t="s">
        <v>2525</v>
      </c>
      <c r="I1461">
        <f t="shared" si="132"/>
        <v>0</v>
      </c>
      <c r="J1461">
        <f t="shared" si="133"/>
        <v>0</v>
      </c>
      <c r="K1461">
        <f t="shared" si="134"/>
        <v>0</v>
      </c>
      <c r="L1461">
        <f t="shared" si="135"/>
        <v>0</v>
      </c>
      <c r="M1461">
        <f t="shared" si="136"/>
        <v>0</v>
      </c>
      <c r="N1461">
        <f t="shared" si="137"/>
        <v>1</v>
      </c>
    </row>
    <row r="1462" spans="1:14" x14ac:dyDescent="0.35">
      <c r="A1462" t="s">
        <v>1251</v>
      </c>
      <c r="B1462" t="s">
        <v>2523</v>
      </c>
      <c r="C1462" s="7" t="s">
        <v>9</v>
      </c>
      <c r="D1462" t="s">
        <v>55</v>
      </c>
      <c r="E1462" t="s">
        <v>2000</v>
      </c>
      <c r="F1462" t="s">
        <v>1886</v>
      </c>
      <c r="G1462" t="s">
        <v>2524</v>
      </c>
      <c r="H1462" t="s">
        <v>2525</v>
      </c>
      <c r="I1462">
        <f t="shared" si="132"/>
        <v>0</v>
      </c>
      <c r="J1462">
        <f t="shared" si="133"/>
        <v>0</v>
      </c>
      <c r="K1462">
        <f t="shared" si="134"/>
        <v>0</v>
      </c>
      <c r="L1462">
        <f t="shared" si="135"/>
        <v>0</v>
      </c>
      <c r="M1462">
        <f t="shared" si="136"/>
        <v>0</v>
      </c>
      <c r="N1462">
        <f t="shared" si="137"/>
        <v>1</v>
      </c>
    </row>
    <row r="1463" spans="1:14" x14ac:dyDescent="0.35">
      <c r="A1463" t="s">
        <v>1251</v>
      </c>
      <c r="B1463" t="s">
        <v>2523</v>
      </c>
      <c r="C1463" s="7" t="s">
        <v>9</v>
      </c>
      <c r="D1463" t="s">
        <v>55</v>
      </c>
      <c r="E1463" t="s">
        <v>1996</v>
      </c>
      <c r="F1463" t="s">
        <v>1886</v>
      </c>
      <c r="G1463" t="s">
        <v>2524</v>
      </c>
      <c r="H1463" t="s">
        <v>2525</v>
      </c>
      <c r="I1463">
        <f t="shared" si="132"/>
        <v>0</v>
      </c>
      <c r="J1463">
        <f t="shared" si="133"/>
        <v>0</v>
      </c>
      <c r="K1463">
        <f t="shared" si="134"/>
        <v>0</v>
      </c>
      <c r="L1463">
        <f t="shared" si="135"/>
        <v>0</v>
      </c>
      <c r="M1463">
        <f t="shared" si="136"/>
        <v>0</v>
      </c>
      <c r="N1463">
        <f t="shared" si="137"/>
        <v>1</v>
      </c>
    </row>
    <row r="1464" spans="1:14" x14ac:dyDescent="0.35">
      <c r="A1464" t="s">
        <v>1251</v>
      </c>
      <c r="B1464" t="s">
        <v>2523</v>
      </c>
      <c r="C1464" s="7" t="s">
        <v>9</v>
      </c>
      <c r="D1464" t="s">
        <v>55</v>
      </c>
      <c r="E1464" t="s">
        <v>1998</v>
      </c>
      <c r="F1464" t="s">
        <v>1886</v>
      </c>
      <c r="G1464" t="s">
        <v>2524</v>
      </c>
      <c r="H1464" t="s">
        <v>2525</v>
      </c>
      <c r="I1464">
        <f t="shared" si="132"/>
        <v>0</v>
      </c>
      <c r="J1464">
        <f t="shared" si="133"/>
        <v>0</v>
      </c>
      <c r="K1464">
        <f t="shared" si="134"/>
        <v>0</v>
      </c>
      <c r="L1464">
        <f t="shared" si="135"/>
        <v>0</v>
      </c>
      <c r="M1464">
        <f t="shared" si="136"/>
        <v>0</v>
      </c>
      <c r="N1464">
        <f t="shared" si="137"/>
        <v>1</v>
      </c>
    </row>
    <row r="1465" spans="1:14" x14ac:dyDescent="0.35">
      <c r="A1465" t="s">
        <v>1022</v>
      </c>
      <c r="B1465" t="s">
        <v>2526</v>
      </c>
      <c r="C1465" s="7" t="s">
        <v>9</v>
      </c>
      <c r="D1465" t="s">
        <v>276</v>
      </c>
      <c r="E1465" t="s">
        <v>1822</v>
      </c>
      <c r="F1465" t="s">
        <v>1760</v>
      </c>
      <c r="I1465">
        <f t="shared" si="132"/>
        <v>0</v>
      </c>
      <c r="J1465">
        <f t="shared" si="133"/>
        <v>0</v>
      </c>
      <c r="K1465">
        <f t="shared" si="134"/>
        <v>1</v>
      </c>
      <c r="L1465">
        <f t="shared" si="135"/>
        <v>0</v>
      </c>
      <c r="M1465">
        <f t="shared" si="136"/>
        <v>0</v>
      </c>
      <c r="N1465">
        <f t="shared" si="137"/>
        <v>0</v>
      </c>
    </row>
    <row r="1466" spans="1:14" x14ac:dyDescent="0.35">
      <c r="A1466" t="s">
        <v>1022</v>
      </c>
      <c r="B1466" t="s">
        <v>2526</v>
      </c>
      <c r="C1466" s="7" t="s">
        <v>9</v>
      </c>
      <c r="D1466" t="s">
        <v>276</v>
      </c>
      <c r="E1466" t="s">
        <v>1821</v>
      </c>
      <c r="F1466" t="s">
        <v>1760</v>
      </c>
      <c r="I1466">
        <f t="shared" si="132"/>
        <v>0</v>
      </c>
      <c r="J1466">
        <f t="shared" si="133"/>
        <v>0</v>
      </c>
      <c r="K1466">
        <f t="shared" si="134"/>
        <v>1</v>
      </c>
      <c r="L1466">
        <f t="shared" si="135"/>
        <v>0</v>
      </c>
      <c r="M1466">
        <f t="shared" si="136"/>
        <v>0</v>
      </c>
      <c r="N1466">
        <f t="shared" si="137"/>
        <v>0</v>
      </c>
    </row>
    <row r="1467" spans="1:14" x14ac:dyDescent="0.35">
      <c r="A1467" t="s">
        <v>1311</v>
      </c>
      <c r="B1467" t="s">
        <v>2527</v>
      </c>
      <c r="C1467" s="7" t="s">
        <v>9</v>
      </c>
      <c r="D1467" t="s">
        <v>149</v>
      </c>
      <c r="E1467" t="s">
        <v>1961</v>
      </c>
      <c r="F1467" t="s">
        <v>1805</v>
      </c>
      <c r="I1467">
        <f t="shared" si="132"/>
        <v>0</v>
      </c>
      <c r="J1467">
        <f t="shared" si="133"/>
        <v>1</v>
      </c>
      <c r="K1467">
        <f t="shared" si="134"/>
        <v>0</v>
      </c>
      <c r="L1467">
        <f t="shared" si="135"/>
        <v>0</v>
      </c>
      <c r="M1467">
        <f t="shared" si="136"/>
        <v>0</v>
      </c>
      <c r="N1467">
        <f t="shared" si="137"/>
        <v>0</v>
      </c>
    </row>
    <row r="1468" spans="1:14" x14ac:dyDescent="0.35">
      <c r="A1468" t="s">
        <v>1311</v>
      </c>
      <c r="B1468" t="s">
        <v>2527</v>
      </c>
      <c r="C1468" s="7" t="s">
        <v>9</v>
      </c>
      <c r="D1468" t="s">
        <v>149</v>
      </c>
      <c r="E1468" t="s">
        <v>1810</v>
      </c>
      <c r="F1468" t="s">
        <v>1754</v>
      </c>
      <c r="I1468">
        <f t="shared" si="132"/>
        <v>0</v>
      </c>
      <c r="J1468">
        <f t="shared" si="133"/>
        <v>0</v>
      </c>
      <c r="K1468">
        <f t="shared" si="134"/>
        <v>0</v>
      </c>
      <c r="L1468">
        <f t="shared" si="135"/>
        <v>1</v>
      </c>
      <c r="M1468">
        <f t="shared" si="136"/>
        <v>0</v>
      </c>
      <c r="N1468">
        <f t="shared" si="137"/>
        <v>0</v>
      </c>
    </row>
    <row r="1469" spans="1:14" x14ac:dyDescent="0.35">
      <c r="A1469" t="s">
        <v>711</v>
      </c>
      <c r="B1469" t="s">
        <v>2528</v>
      </c>
      <c r="C1469" s="7" t="s">
        <v>9</v>
      </c>
      <c r="D1469" t="s">
        <v>480</v>
      </c>
      <c r="E1469" t="s">
        <v>2279</v>
      </c>
      <c r="F1469" t="s">
        <v>1727</v>
      </c>
      <c r="I1469">
        <f t="shared" si="132"/>
        <v>0</v>
      </c>
      <c r="J1469">
        <f t="shared" si="133"/>
        <v>0</v>
      </c>
      <c r="K1469">
        <f t="shared" si="134"/>
        <v>0</v>
      </c>
      <c r="L1469">
        <f t="shared" si="135"/>
        <v>0</v>
      </c>
      <c r="M1469">
        <f t="shared" si="136"/>
        <v>1</v>
      </c>
      <c r="N1469">
        <f t="shared" si="137"/>
        <v>0</v>
      </c>
    </row>
    <row r="1470" spans="1:14" x14ac:dyDescent="0.35">
      <c r="A1470" t="s">
        <v>410</v>
      </c>
      <c r="B1470" t="s">
        <v>2529</v>
      </c>
      <c r="C1470" s="7" t="s">
        <v>6</v>
      </c>
      <c r="D1470" t="s">
        <v>55</v>
      </c>
      <c r="E1470" t="s">
        <v>1818</v>
      </c>
      <c r="F1470" t="s">
        <v>1760</v>
      </c>
      <c r="I1470">
        <f t="shared" si="132"/>
        <v>0</v>
      </c>
      <c r="J1470">
        <f t="shared" si="133"/>
        <v>0</v>
      </c>
      <c r="K1470">
        <f t="shared" si="134"/>
        <v>1</v>
      </c>
      <c r="L1470">
        <f t="shared" si="135"/>
        <v>0</v>
      </c>
      <c r="M1470">
        <f t="shared" si="136"/>
        <v>0</v>
      </c>
      <c r="N1470">
        <f t="shared" si="137"/>
        <v>0</v>
      </c>
    </row>
    <row r="1471" spans="1:14" x14ac:dyDescent="0.35">
      <c r="A1471" t="s">
        <v>410</v>
      </c>
      <c r="B1471" t="s">
        <v>2529</v>
      </c>
      <c r="C1471" s="7" t="s">
        <v>6</v>
      </c>
      <c r="D1471" t="s">
        <v>55</v>
      </c>
      <c r="E1471" t="s">
        <v>1956</v>
      </c>
      <c r="F1471" t="s">
        <v>1760</v>
      </c>
      <c r="I1471">
        <f t="shared" si="132"/>
        <v>0</v>
      </c>
      <c r="J1471">
        <f t="shared" si="133"/>
        <v>0</v>
      </c>
      <c r="K1471">
        <f t="shared" si="134"/>
        <v>1</v>
      </c>
      <c r="L1471">
        <f t="shared" si="135"/>
        <v>0</v>
      </c>
      <c r="M1471">
        <f t="shared" si="136"/>
        <v>0</v>
      </c>
      <c r="N1471">
        <f t="shared" si="137"/>
        <v>0</v>
      </c>
    </row>
    <row r="1472" spans="1:14" x14ac:dyDescent="0.35">
      <c r="A1472" t="s">
        <v>410</v>
      </c>
      <c r="B1472" t="s">
        <v>2529</v>
      </c>
      <c r="C1472" s="7" t="s">
        <v>6</v>
      </c>
      <c r="D1472" t="s">
        <v>55</v>
      </c>
      <c r="E1472" t="s">
        <v>1856</v>
      </c>
      <c r="F1472" t="s">
        <v>1760</v>
      </c>
      <c r="I1472">
        <f t="shared" si="132"/>
        <v>0</v>
      </c>
      <c r="J1472">
        <f t="shared" si="133"/>
        <v>0</v>
      </c>
      <c r="K1472">
        <f t="shared" si="134"/>
        <v>1</v>
      </c>
      <c r="L1472">
        <f t="shared" si="135"/>
        <v>0</v>
      </c>
      <c r="M1472">
        <f t="shared" si="136"/>
        <v>0</v>
      </c>
      <c r="N1472">
        <f t="shared" si="137"/>
        <v>0</v>
      </c>
    </row>
    <row r="1473" spans="1:14" x14ac:dyDescent="0.35">
      <c r="A1473" t="s">
        <v>1180</v>
      </c>
      <c r="B1473" t="s">
        <v>2530</v>
      </c>
      <c r="C1473" s="7" t="s">
        <v>6</v>
      </c>
      <c r="D1473" t="s">
        <v>1182</v>
      </c>
      <c r="E1473" t="s">
        <v>2308</v>
      </c>
      <c r="F1473" t="s">
        <v>1727</v>
      </c>
      <c r="I1473">
        <f t="shared" si="132"/>
        <v>0</v>
      </c>
      <c r="J1473">
        <f t="shared" si="133"/>
        <v>0</v>
      </c>
      <c r="K1473">
        <f t="shared" si="134"/>
        <v>0</v>
      </c>
      <c r="L1473">
        <f t="shared" si="135"/>
        <v>0</v>
      </c>
      <c r="M1473">
        <f t="shared" si="136"/>
        <v>1</v>
      </c>
      <c r="N1473">
        <f t="shared" si="137"/>
        <v>0</v>
      </c>
    </row>
    <row r="1474" spans="1:14" x14ac:dyDescent="0.35">
      <c r="A1474" t="s">
        <v>1101</v>
      </c>
      <c r="B1474" t="s">
        <v>2531</v>
      </c>
      <c r="C1474" s="7" t="s">
        <v>6</v>
      </c>
      <c r="D1474" t="s">
        <v>55</v>
      </c>
      <c r="E1474" t="s">
        <v>2014</v>
      </c>
      <c r="F1474" t="s">
        <v>1754</v>
      </c>
      <c r="I1474">
        <f t="shared" si="132"/>
        <v>0</v>
      </c>
      <c r="J1474">
        <f t="shared" si="133"/>
        <v>0</v>
      </c>
      <c r="K1474">
        <f t="shared" si="134"/>
        <v>0</v>
      </c>
      <c r="L1474">
        <f t="shared" si="135"/>
        <v>1</v>
      </c>
      <c r="M1474">
        <f t="shared" si="136"/>
        <v>0</v>
      </c>
      <c r="N1474">
        <f t="shared" si="137"/>
        <v>0</v>
      </c>
    </row>
    <row r="1475" spans="1:14" x14ac:dyDescent="0.35">
      <c r="A1475" t="s">
        <v>1101</v>
      </c>
      <c r="B1475" t="s">
        <v>2531</v>
      </c>
      <c r="C1475" s="7" t="s">
        <v>6</v>
      </c>
      <c r="D1475" t="s">
        <v>55</v>
      </c>
      <c r="E1475" t="s">
        <v>2163</v>
      </c>
      <c r="F1475" t="s">
        <v>1805</v>
      </c>
      <c r="I1475">
        <f t="shared" ref="I1475:I1538" si="138">IF($F1475=$F$1,1,0)</f>
        <v>0</v>
      </c>
      <c r="J1475">
        <f t="shared" ref="J1475:J1538" si="139">IF($F1475=$J$1,1,0)</f>
        <v>1</v>
      </c>
      <c r="K1475">
        <f t="shared" ref="K1475:K1538" si="140">IF($F1475=$K$1,1,0)</f>
        <v>0</v>
      </c>
      <c r="L1475">
        <f t="shared" ref="L1475:L1538" si="141">IF($F1475=$L$1,1,0)</f>
        <v>0</v>
      </c>
      <c r="M1475">
        <f t="shared" ref="M1475:M1538" si="142">IF($F1475=$M$1,1,0)</f>
        <v>0</v>
      </c>
      <c r="N1475">
        <f t="shared" ref="N1475:N1538" si="143">IF($G1475&lt;&gt;"",1,0)</f>
        <v>0</v>
      </c>
    </row>
    <row r="1476" spans="1:14" x14ac:dyDescent="0.35">
      <c r="A1476" t="s">
        <v>1589</v>
      </c>
      <c r="B1476" t="s">
        <v>1981</v>
      </c>
      <c r="C1476" s="7" t="s">
        <v>6</v>
      </c>
      <c r="D1476" t="s">
        <v>1697</v>
      </c>
      <c r="E1476" t="s">
        <v>1821</v>
      </c>
      <c r="F1476" t="s">
        <v>1760</v>
      </c>
      <c r="G1476" t="s">
        <v>2532</v>
      </c>
      <c r="H1476" t="s">
        <v>2533</v>
      </c>
      <c r="I1476">
        <f t="shared" si="138"/>
        <v>0</v>
      </c>
      <c r="J1476">
        <f t="shared" si="139"/>
        <v>0</v>
      </c>
      <c r="K1476">
        <f t="shared" si="140"/>
        <v>1</v>
      </c>
      <c r="L1476">
        <f t="shared" si="141"/>
        <v>0</v>
      </c>
      <c r="M1476">
        <f t="shared" si="142"/>
        <v>0</v>
      </c>
      <c r="N1476">
        <f t="shared" si="143"/>
        <v>1</v>
      </c>
    </row>
    <row r="1477" spans="1:14" x14ac:dyDescent="0.35">
      <c r="A1477" t="s">
        <v>1589</v>
      </c>
      <c r="B1477" t="s">
        <v>1981</v>
      </c>
      <c r="C1477" s="7" t="s">
        <v>6</v>
      </c>
      <c r="D1477" t="s">
        <v>1697</v>
      </c>
      <c r="E1477" t="s">
        <v>1972</v>
      </c>
      <c r="F1477" t="s">
        <v>1760</v>
      </c>
      <c r="G1477" t="s">
        <v>2532</v>
      </c>
      <c r="H1477" t="s">
        <v>2533</v>
      </c>
      <c r="I1477">
        <f t="shared" si="138"/>
        <v>0</v>
      </c>
      <c r="J1477">
        <f t="shared" si="139"/>
        <v>0</v>
      </c>
      <c r="K1477">
        <f t="shared" si="140"/>
        <v>1</v>
      </c>
      <c r="L1477">
        <f t="shared" si="141"/>
        <v>0</v>
      </c>
      <c r="M1477">
        <f t="shared" si="142"/>
        <v>0</v>
      </c>
      <c r="N1477">
        <f t="shared" si="143"/>
        <v>1</v>
      </c>
    </row>
    <row r="1478" spans="1:14" x14ac:dyDescent="0.35">
      <c r="A1478" t="s">
        <v>649</v>
      </c>
      <c r="B1478" t="s">
        <v>2534</v>
      </c>
      <c r="C1478" s="7" t="s">
        <v>6</v>
      </c>
      <c r="D1478" t="s">
        <v>480</v>
      </c>
      <c r="E1478" t="s">
        <v>1931</v>
      </c>
      <c r="F1478" t="s">
        <v>1754</v>
      </c>
      <c r="I1478">
        <f t="shared" si="138"/>
        <v>0</v>
      </c>
      <c r="J1478">
        <f t="shared" si="139"/>
        <v>0</v>
      </c>
      <c r="K1478">
        <f t="shared" si="140"/>
        <v>0</v>
      </c>
      <c r="L1478">
        <f t="shared" si="141"/>
        <v>1</v>
      </c>
      <c r="M1478">
        <f t="shared" si="142"/>
        <v>0</v>
      </c>
      <c r="N1478">
        <f t="shared" si="143"/>
        <v>0</v>
      </c>
    </row>
    <row r="1479" spans="1:14" x14ac:dyDescent="0.35">
      <c r="A1479" t="s">
        <v>649</v>
      </c>
      <c r="B1479" t="s">
        <v>2534</v>
      </c>
      <c r="C1479" s="7" t="s">
        <v>6</v>
      </c>
      <c r="D1479" t="s">
        <v>480</v>
      </c>
      <c r="E1479" t="s">
        <v>1928</v>
      </c>
      <c r="F1479" t="s">
        <v>1754</v>
      </c>
      <c r="I1479">
        <f t="shared" si="138"/>
        <v>0</v>
      </c>
      <c r="J1479">
        <f t="shared" si="139"/>
        <v>0</v>
      </c>
      <c r="K1479">
        <f t="shared" si="140"/>
        <v>0</v>
      </c>
      <c r="L1479">
        <f t="shared" si="141"/>
        <v>1</v>
      </c>
      <c r="M1479">
        <f t="shared" si="142"/>
        <v>0</v>
      </c>
      <c r="N1479">
        <f t="shared" si="143"/>
        <v>0</v>
      </c>
    </row>
    <row r="1480" spans="1:14" x14ac:dyDescent="0.35">
      <c r="A1480" t="s">
        <v>649</v>
      </c>
      <c r="B1480" t="s">
        <v>2534</v>
      </c>
      <c r="C1480" s="7" t="s">
        <v>6</v>
      </c>
      <c r="D1480" t="s">
        <v>480</v>
      </c>
      <c r="E1480" t="s">
        <v>1968</v>
      </c>
      <c r="F1480" t="s">
        <v>1760</v>
      </c>
      <c r="I1480">
        <f t="shared" si="138"/>
        <v>0</v>
      </c>
      <c r="J1480">
        <f t="shared" si="139"/>
        <v>0</v>
      </c>
      <c r="K1480">
        <f t="shared" si="140"/>
        <v>1</v>
      </c>
      <c r="L1480">
        <f t="shared" si="141"/>
        <v>0</v>
      </c>
      <c r="M1480">
        <f t="shared" si="142"/>
        <v>0</v>
      </c>
      <c r="N1480">
        <f t="shared" si="143"/>
        <v>0</v>
      </c>
    </row>
    <row r="1481" spans="1:14" x14ac:dyDescent="0.35">
      <c r="A1481" t="s">
        <v>988</v>
      </c>
      <c r="B1481" t="s">
        <v>2535</v>
      </c>
      <c r="C1481" s="7" t="s">
        <v>6</v>
      </c>
      <c r="D1481" t="s">
        <v>92</v>
      </c>
      <c r="E1481" t="s">
        <v>1806</v>
      </c>
      <c r="F1481" t="s">
        <v>1754</v>
      </c>
      <c r="G1481" t="s">
        <v>2536</v>
      </c>
      <c r="H1481" t="s">
        <v>2537</v>
      </c>
      <c r="I1481">
        <f t="shared" si="138"/>
        <v>0</v>
      </c>
      <c r="J1481">
        <f t="shared" si="139"/>
        <v>0</v>
      </c>
      <c r="K1481">
        <f t="shared" si="140"/>
        <v>0</v>
      </c>
      <c r="L1481">
        <f t="shared" si="141"/>
        <v>1</v>
      </c>
      <c r="M1481">
        <f t="shared" si="142"/>
        <v>0</v>
      </c>
      <c r="N1481">
        <f t="shared" si="143"/>
        <v>1</v>
      </c>
    </row>
    <row r="1482" spans="1:14" x14ac:dyDescent="0.35">
      <c r="A1482" t="s">
        <v>988</v>
      </c>
      <c r="B1482" t="s">
        <v>2535</v>
      </c>
      <c r="C1482" s="7" t="s">
        <v>6</v>
      </c>
      <c r="D1482" t="s">
        <v>92</v>
      </c>
      <c r="E1482" t="s">
        <v>1807</v>
      </c>
      <c r="F1482" t="s">
        <v>1754</v>
      </c>
      <c r="G1482" t="s">
        <v>2536</v>
      </c>
      <c r="H1482" t="s">
        <v>2537</v>
      </c>
      <c r="I1482">
        <f t="shared" si="138"/>
        <v>0</v>
      </c>
      <c r="J1482">
        <f t="shared" si="139"/>
        <v>0</v>
      </c>
      <c r="K1482">
        <f t="shared" si="140"/>
        <v>0</v>
      </c>
      <c r="L1482">
        <f t="shared" si="141"/>
        <v>1</v>
      </c>
      <c r="M1482">
        <f t="shared" si="142"/>
        <v>0</v>
      </c>
      <c r="N1482">
        <f t="shared" si="143"/>
        <v>1</v>
      </c>
    </row>
    <row r="1483" spans="1:14" x14ac:dyDescent="0.35">
      <c r="A1483" t="s">
        <v>1402</v>
      </c>
      <c r="B1483" t="s">
        <v>2538</v>
      </c>
      <c r="C1483" s="7" t="s">
        <v>6</v>
      </c>
      <c r="D1483" t="s">
        <v>431</v>
      </c>
      <c r="E1483" t="s">
        <v>1840</v>
      </c>
      <c r="F1483" t="s">
        <v>1760</v>
      </c>
      <c r="I1483">
        <f t="shared" si="138"/>
        <v>0</v>
      </c>
      <c r="J1483">
        <f t="shared" si="139"/>
        <v>0</v>
      </c>
      <c r="K1483">
        <f t="shared" si="140"/>
        <v>1</v>
      </c>
      <c r="L1483">
        <f t="shared" si="141"/>
        <v>0</v>
      </c>
      <c r="M1483">
        <f t="shared" si="142"/>
        <v>0</v>
      </c>
      <c r="N1483">
        <f t="shared" si="143"/>
        <v>0</v>
      </c>
    </row>
    <row r="1484" spans="1:14" x14ac:dyDescent="0.35">
      <c r="A1484" t="s">
        <v>1402</v>
      </c>
      <c r="B1484" t="s">
        <v>2538</v>
      </c>
      <c r="C1484" s="7" t="s">
        <v>6</v>
      </c>
      <c r="D1484" t="s">
        <v>431</v>
      </c>
      <c r="E1484" t="s">
        <v>2003</v>
      </c>
      <c r="F1484" t="s">
        <v>1754</v>
      </c>
      <c r="I1484">
        <f t="shared" si="138"/>
        <v>0</v>
      </c>
      <c r="J1484">
        <f t="shared" si="139"/>
        <v>0</v>
      </c>
      <c r="K1484">
        <f t="shared" si="140"/>
        <v>0</v>
      </c>
      <c r="L1484">
        <f t="shared" si="141"/>
        <v>1</v>
      </c>
      <c r="M1484">
        <f t="shared" si="142"/>
        <v>0</v>
      </c>
      <c r="N1484">
        <f t="shared" si="143"/>
        <v>0</v>
      </c>
    </row>
    <row r="1485" spans="1:14" x14ac:dyDescent="0.35">
      <c r="A1485" t="s">
        <v>1402</v>
      </c>
      <c r="B1485" t="s">
        <v>2538</v>
      </c>
      <c r="C1485" s="7" t="s">
        <v>6</v>
      </c>
      <c r="D1485" t="s">
        <v>431</v>
      </c>
      <c r="E1485" t="s">
        <v>2002</v>
      </c>
      <c r="F1485" t="s">
        <v>1754</v>
      </c>
      <c r="I1485">
        <f t="shared" si="138"/>
        <v>0</v>
      </c>
      <c r="J1485">
        <f t="shared" si="139"/>
        <v>0</v>
      </c>
      <c r="K1485">
        <f t="shared" si="140"/>
        <v>0</v>
      </c>
      <c r="L1485">
        <f t="shared" si="141"/>
        <v>1</v>
      </c>
      <c r="M1485">
        <f t="shared" si="142"/>
        <v>0</v>
      </c>
      <c r="N1485">
        <f t="shared" si="143"/>
        <v>0</v>
      </c>
    </row>
    <row r="1486" spans="1:14" x14ac:dyDescent="0.35">
      <c r="A1486" t="s">
        <v>441</v>
      </c>
      <c r="B1486" t="s">
        <v>2539</v>
      </c>
      <c r="C1486" s="7" t="s">
        <v>6</v>
      </c>
      <c r="D1486" t="s">
        <v>152</v>
      </c>
      <c r="E1486" t="s">
        <v>1806</v>
      </c>
      <c r="F1486" t="s">
        <v>1754</v>
      </c>
      <c r="G1486" t="s">
        <v>2540</v>
      </c>
      <c r="H1486" t="s">
        <v>2541</v>
      </c>
      <c r="I1486">
        <f t="shared" si="138"/>
        <v>0</v>
      </c>
      <c r="J1486">
        <f t="shared" si="139"/>
        <v>0</v>
      </c>
      <c r="K1486">
        <f t="shared" si="140"/>
        <v>0</v>
      </c>
      <c r="L1486">
        <f t="shared" si="141"/>
        <v>1</v>
      </c>
      <c r="M1486">
        <f t="shared" si="142"/>
        <v>0</v>
      </c>
      <c r="N1486">
        <f t="shared" si="143"/>
        <v>1</v>
      </c>
    </row>
    <row r="1487" spans="1:14" x14ac:dyDescent="0.35">
      <c r="A1487" t="s">
        <v>441</v>
      </c>
      <c r="B1487" t="s">
        <v>2539</v>
      </c>
      <c r="C1487" s="7" t="s">
        <v>6</v>
      </c>
      <c r="D1487" t="s">
        <v>152</v>
      </c>
      <c r="E1487" t="s">
        <v>1860</v>
      </c>
      <c r="F1487" t="s">
        <v>1754</v>
      </c>
      <c r="G1487" t="s">
        <v>2540</v>
      </c>
      <c r="H1487" t="s">
        <v>2541</v>
      </c>
      <c r="I1487">
        <f t="shared" si="138"/>
        <v>0</v>
      </c>
      <c r="J1487">
        <f t="shared" si="139"/>
        <v>0</v>
      </c>
      <c r="K1487">
        <f t="shared" si="140"/>
        <v>0</v>
      </c>
      <c r="L1487">
        <f t="shared" si="141"/>
        <v>1</v>
      </c>
      <c r="M1487">
        <f t="shared" si="142"/>
        <v>0</v>
      </c>
      <c r="N1487">
        <f t="shared" si="143"/>
        <v>1</v>
      </c>
    </row>
    <row r="1488" spans="1:14" x14ac:dyDescent="0.35">
      <c r="A1488" t="s">
        <v>441</v>
      </c>
      <c r="B1488" t="s">
        <v>2539</v>
      </c>
      <c r="C1488" s="7" t="s">
        <v>6</v>
      </c>
      <c r="D1488" t="s">
        <v>152</v>
      </c>
      <c r="E1488" t="s">
        <v>1807</v>
      </c>
      <c r="F1488" t="s">
        <v>1754</v>
      </c>
      <c r="G1488" t="s">
        <v>2540</v>
      </c>
      <c r="H1488" t="s">
        <v>2541</v>
      </c>
      <c r="I1488">
        <f t="shared" si="138"/>
        <v>0</v>
      </c>
      <c r="J1488">
        <f t="shared" si="139"/>
        <v>0</v>
      </c>
      <c r="K1488">
        <f t="shared" si="140"/>
        <v>0</v>
      </c>
      <c r="L1488">
        <f t="shared" si="141"/>
        <v>1</v>
      </c>
      <c r="M1488">
        <f t="shared" si="142"/>
        <v>0</v>
      </c>
      <c r="N1488">
        <f t="shared" si="143"/>
        <v>1</v>
      </c>
    </row>
    <row r="1489" spans="1:14" x14ac:dyDescent="0.35">
      <c r="A1489" t="s">
        <v>441</v>
      </c>
      <c r="B1489" t="s">
        <v>2539</v>
      </c>
      <c r="C1489" s="7" t="s">
        <v>6</v>
      </c>
      <c r="D1489" t="s">
        <v>152</v>
      </c>
      <c r="E1489" t="s">
        <v>1828</v>
      </c>
      <c r="F1489" t="s">
        <v>1754</v>
      </c>
      <c r="G1489" t="s">
        <v>2540</v>
      </c>
      <c r="H1489" t="s">
        <v>2541</v>
      </c>
      <c r="I1489">
        <f t="shared" si="138"/>
        <v>0</v>
      </c>
      <c r="J1489">
        <f t="shared" si="139"/>
        <v>0</v>
      </c>
      <c r="K1489">
        <f t="shared" si="140"/>
        <v>0</v>
      </c>
      <c r="L1489">
        <f t="shared" si="141"/>
        <v>1</v>
      </c>
      <c r="M1489">
        <f t="shared" si="142"/>
        <v>0</v>
      </c>
      <c r="N1489">
        <f t="shared" si="143"/>
        <v>1</v>
      </c>
    </row>
    <row r="1490" spans="1:14" x14ac:dyDescent="0.35">
      <c r="A1490" t="s">
        <v>441</v>
      </c>
      <c r="B1490" t="s">
        <v>2539</v>
      </c>
      <c r="C1490" s="7" t="s">
        <v>6</v>
      </c>
      <c r="D1490" t="s">
        <v>152</v>
      </c>
      <c r="E1490" t="s">
        <v>1829</v>
      </c>
      <c r="F1490" t="s">
        <v>1754</v>
      </c>
      <c r="G1490" t="s">
        <v>2540</v>
      </c>
      <c r="H1490" t="s">
        <v>2541</v>
      </c>
      <c r="I1490">
        <f t="shared" si="138"/>
        <v>0</v>
      </c>
      <c r="J1490">
        <f t="shared" si="139"/>
        <v>0</v>
      </c>
      <c r="K1490">
        <f t="shared" si="140"/>
        <v>0</v>
      </c>
      <c r="L1490">
        <f t="shared" si="141"/>
        <v>1</v>
      </c>
      <c r="M1490">
        <f t="shared" si="142"/>
        <v>0</v>
      </c>
      <c r="N1490">
        <f t="shared" si="143"/>
        <v>1</v>
      </c>
    </row>
    <row r="1491" spans="1:14" x14ac:dyDescent="0.35">
      <c r="A1491" t="s">
        <v>1330</v>
      </c>
      <c r="B1491" t="s">
        <v>1786</v>
      </c>
      <c r="C1491" s="7" t="s">
        <v>6</v>
      </c>
      <c r="D1491" t="s">
        <v>1331</v>
      </c>
      <c r="E1491" t="s">
        <v>1938</v>
      </c>
      <c r="F1491" t="s">
        <v>1760</v>
      </c>
      <c r="I1491">
        <f t="shared" si="138"/>
        <v>0</v>
      </c>
      <c r="J1491">
        <f t="shared" si="139"/>
        <v>0</v>
      </c>
      <c r="K1491">
        <f t="shared" si="140"/>
        <v>1</v>
      </c>
      <c r="L1491">
        <f t="shared" si="141"/>
        <v>0</v>
      </c>
      <c r="M1491">
        <f t="shared" si="142"/>
        <v>0</v>
      </c>
      <c r="N1491">
        <f t="shared" si="143"/>
        <v>0</v>
      </c>
    </row>
    <row r="1492" spans="1:14" x14ac:dyDescent="0.35">
      <c r="A1492" t="s">
        <v>1330</v>
      </c>
      <c r="B1492" t="s">
        <v>1786</v>
      </c>
      <c r="C1492" s="7" t="s">
        <v>6</v>
      </c>
      <c r="D1492" t="s">
        <v>1331</v>
      </c>
      <c r="E1492" t="s">
        <v>2199</v>
      </c>
      <c r="F1492" t="s">
        <v>1754</v>
      </c>
      <c r="I1492">
        <f t="shared" si="138"/>
        <v>0</v>
      </c>
      <c r="J1492">
        <f t="shared" si="139"/>
        <v>0</v>
      </c>
      <c r="K1492">
        <f t="shared" si="140"/>
        <v>0</v>
      </c>
      <c r="L1492">
        <f t="shared" si="141"/>
        <v>1</v>
      </c>
      <c r="M1492">
        <f t="shared" si="142"/>
        <v>0</v>
      </c>
      <c r="N1492">
        <f t="shared" si="143"/>
        <v>0</v>
      </c>
    </row>
    <row r="1493" spans="1:14" x14ac:dyDescent="0.35">
      <c r="A1493" t="s">
        <v>1330</v>
      </c>
      <c r="B1493" t="s">
        <v>1786</v>
      </c>
      <c r="C1493" s="7" t="s">
        <v>6</v>
      </c>
      <c r="D1493" t="s">
        <v>1331</v>
      </c>
      <c r="E1493" t="s">
        <v>2182</v>
      </c>
      <c r="F1493" t="s">
        <v>1754</v>
      </c>
      <c r="I1493">
        <f t="shared" si="138"/>
        <v>0</v>
      </c>
      <c r="J1493">
        <f t="shared" si="139"/>
        <v>0</v>
      </c>
      <c r="K1493">
        <f t="shared" si="140"/>
        <v>0</v>
      </c>
      <c r="L1493">
        <f t="shared" si="141"/>
        <v>1</v>
      </c>
      <c r="M1493">
        <f t="shared" si="142"/>
        <v>0</v>
      </c>
      <c r="N1493">
        <f t="shared" si="143"/>
        <v>0</v>
      </c>
    </row>
    <row r="1494" spans="1:14" x14ac:dyDescent="0.35">
      <c r="A1494" t="s">
        <v>1330</v>
      </c>
      <c r="B1494" t="s">
        <v>1786</v>
      </c>
      <c r="C1494" s="7" t="s">
        <v>6</v>
      </c>
      <c r="D1494" t="s">
        <v>1331</v>
      </c>
      <c r="E1494" t="s">
        <v>2542</v>
      </c>
      <c r="F1494" t="s">
        <v>1754</v>
      </c>
      <c r="I1494">
        <f t="shared" si="138"/>
        <v>0</v>
      </c>
      <c r="J1494">
        <f t="shared" si="139"/>
        <v>0</v>
      </c>
      <c r="K1494">
        <f t="shared" si="140"/>
        <v>0</v>
      </c>
      <c r="L1494">
        <f t="shared" si="141"/>
        <v>1</v>
      </c>
      <c r="M1494">
        <f t="shared" si="142"/>
        <v>0</v>
      </c>
      <c r="N1494">
        <f t="shared" si="143"/>
        <v>0</v>
      </c>
    </row>
    <row r="1495" spans="1:14" x14ac:dyDescent="0.35">
      <c r="A1495" t="s">
        <v>1599</v>
      </c>
      <c r="B1495" t="s">
        <v>2543</v>
      </c>
      <c r="C1495" s="7" t="s">
        <v>6</v>
      </c>
      <c r="D1495" t="s">
        <v>447</v>
      </c>
      <c r="E1495" t="s">
        <v>1830</v>
      </c>
      <c r="F1495" t="s">
        <v>1754</v>
      </c>
      <c r="I1495">
        <f t="shared" si="138"/>
        <v>0</v>
      </c>
      <c r="J1495">
        <f t="shared" si="139"/>
        <v>0</v>
      </c>
      <c r="K1495">
        <f t="shared" si="140"/>
        <v>0</v>
      </c>
      <c r="L1495">
        <f t="shared" si="141"/>
        <v>1</v>
      </c>
      <c r="M1495">
        <f t="shared" si="142"/>
        <v>0</v>
      </c>
      <c r="N1495">
        <f t="shared" si="143"/>
        <v>0</v>
      </c>
    </row>
    <row r="1496" spans="1:14" x14ac:dyDescent="0.35">
      <c r="A1496" t="s">
        <v>1599</v>
      </c>
      <c r="B1496" t="s">
        <v>2543</v>
      </c>
      <c r="C1496" s="7" t="s">
        <v>6</v>
      </c>
      <c r="D1496" t="s">
        <v>447</v>
      </c>
      <c r="E1496" t="s">
        <v>1849</v>
      </c>
      <c r="F1496" t="s">
        <v>1754</v>
      </c>
      <c r="I1496">
        <f t="shared" si="138"/>
        <v>0</v>
      </c>
      <c r="J1496">
        <f t="shared" si="139"/>
        <v>0</v>
      </c>
      <c r="K1496">
        <f t="shared" si="140"/>
        <v>0</v>
      </c>
      <c r="L1496">
        <f t="shared" si="141"/>
        <v>1</v>
      </c>
      <c r="M1496">
        <f t="shared" si="142"/>
        <v>0</v>
      </c>
      <c r="N1496">
        <f t="shared" si="143"/>
        <v>0</v>
      </c>
    </row>
    <row r="1497" spans="1:14" x14ac:dyDescent="0.35">
      <c r="A1497" t="s">
        <v>1599</v>
      </c>
      <c r="B1497" t="s">
        <v>2543</v>
      </c>
      <c r="C1497" s="7" t="s">
        <v>6</v>
      </c>
      <c r="D1497" t="s">
        <v>447</v>
      </c>
      <c r="E1497" t="s">
        <v>1877</v>
      </c>
      <c r="F1497" t="s">
        <v>1754</v>
      </c>
      <c r="I1497">
        <f t="shared" si="138"/>
        <v>0</v>
      </c>
      <c r="J1497">
        <f t="shared" si="139"/>
        <v>0</v>
      </c>
      <c r="K1497">
        <f t="shared" si="140"/>
        <v>0</v>
      </c>
      <c r="L1497">
        <f t="shared" si="141"/>
        <v>1</v>
      </c>
      <c r="M1497">
        <f t="shared" si="142"/>
        <v>0</v>
      </c>
      <c r="N1497">
        <f t="shared" si="143"/>
        <v>0</v>
      </c>
    </row>
    <row r="1498" spans="1:14" x14ac:dyDescent="0.35">
      <c r="A1498" t="s">
        <v>1149</v>
      </c>
      <c r="B1498" t="s">
        <v>2544</v>
      </c>
      <c r="C1498" s="7" t="s">
        <v>6</v>
      </c>
      <c r="D1498" t="s">
        <v>51</v>
      </c>
      <c r="E1498" t="s">
        <v>1849</v>
      </c>
      <c r="F1498" t="s">
        <v>1754</v>
      </c>
      <c r="I1498">
        <f t="shared" si="138"/>
        <v>0</v>
      </c>
      <c r="J1498">
        <f t="shared" si="139"/>
        <v>0</v>
      </c>
      <c r="K1498">
        <f t="shared" si="140"/>
        <v>0</v>
      </c>
      <c r="L1498">
        <f t="shared" si="141"/>
        <v>1</v>
      </c>
      <c r="M1498">
        <f t="shared" si="142"/>
        <v>0</v>
      </c>
      <c r="N1498">
        <f t="shared" si="143"/>
        <v>0</v>
      </c>
    </row>
    <row r="1499" spans="1:14" x14ac:dyDescent="0.35">
      <c r="A1499" t="s">
        <v>279</v>
      </c>
      <c r="B1499" t="s">
        <v>2545</v>
      </c>
      <c r="C1499" s="7" t="s">
        <v>6</v>
      </c>
      <c r="D1499" t="s">
        <v>281</v>
      </c>
      <c r="E1499" t="s">
        <v>1821</v>
      </c>
      <c r="F1499" t="s">
        <v>1760</v>
      </c>
      <c r="I1499">
        <f t="shared" si="138"/>
        <v>0</v>
      </c>
      <c r="J1499">
        <f t="shared" si="139"/>
        <v>0</v>
      </c>
      <c r="K1499">
        <f t="shared" si="140"/>
        <v>1</v>
      </c>
      <c r="L1499">
        <f t="shared" si="141"/>
        <v>0</v>
      </c>
      <c r="M1499">
        <f t="shared" si="142"/>
        <v>0</v>
      </c>
      <c r="N1499">
        <f t="shared" si="143"/>
        <v>0</v>
      </c>
    </row>
    <row r="1500" spans="1:14" x14ac:dyDescent="0.35">
      <c r="A1500" t="s">
        <v>279</v>
      </c>
      <c r="B1500" t="s">
        <v>2545</v>
      </c>
      <c r="C1500" s="7" t="s">
        <v>6</v>
      </c>
      <c r="D1500" t="s">
        <v>281</v>
      </c>
      <c r="E1500" t="s">
        <v>1938</v>
      </c>
      <c r="F1500" t="s">
        <v>1760</v>
      </c>
      <c r="I1500">
        <f t="shared" si="138"/>
        <v>0</v>
      </c>
      <c r="J1500">
        <f t="shared" si="139"/>
        <v>0</v>
      </c>
      <c r="K1500">
        <f t="shared" si="140"/>
        <v>1</v>
      </c>
      <c r="L1500">
        <f t="shared" si="141"/>
        <v>0</v>
      </c>
      <c r="M1500">
        <f t="shared" si="142"/>
        <v>0</v>
      </c>
      <c r="N1500">
        <f t="shared" si="143"/>
        <v>0</v>
      </c>
    </row>
    <row r="1501" spans="1:14" x14ac:dyDescent="0.35">
      <c r="A1501" t="s">
        <v>279</v>
      </c>
      <c r="B1501" t="s">
        <v>2545</v>
      </c>
      <c r="C1501" s="7" t="s">
        <v>6</v>
      </c>
      <c r="D1501" t="s">
        <v>281</v>
      </c>
      <c r="E1501" t="s">
        <v>1822</v>
      </c>
      <c r="F1501" t="s">
        <v>1760</v>
      </c>
      <c r="I1501">
        <f t="shared" si="138"/>
        <v>0</v>
      </c>
      <c r="J1501">
        <f t="shared" si="139"/>
        <v>0</v>
      </c>
      <c r="K1501">
        <f t="shared" si="140"/>
        <v>1</v>
      </c>
      <c r="L1501">
        <f t="shared" si="141"/>
        <v>0</v>
      </c>
      <c r="M1501">
        <f t="shared" si="142"/>
        <v>0</v>
      </c>
      <c r="N1501">
        <f t="shared" si="143"/>
        <v>0</v>
      </c>
    </row>
    <row r="1502" spans="1:14" x14ac:dyDescent="0.35">
      <c r="A1502" t="s">
        <v>279</v>
      </c>
      <c r="B1502" t="s">
        <v>2545</v>
      </c>
      <c r="C1502" s="7" t="s">
        <v>6</v>
      </c>
      <c r="D1502" t="s">
        <v>281</v>
      </c>
      <c r="E1502" t="s">
        <v>1823</v>
      </c>
      <c r="F1502" t="s">
        <v>1760</v>
      </c>
      <c r="I1502">
        <f t="shared" si="138"/>
        <v>0</v>
      </c>
      <c r="J1502">
        <f t="shared" si="139"/>
        <v>0</v>
      </c>
      <c r="K1502">
        <f t="shared" si="140"/>
        <v>1</v>
      </c>
      <c r="L1502">
        <f t="shared" si="141"/>
        <v>0</v>
      </c>
      <c r="M1502">
        <f t="shared" si="142"/>
        <v>0</v>
      </c>
      <c r="N1502">
        <f t="shared" si="143"/>
        <v>0</v>
      </c>
    </row>
    <row r="1503" spans="1:14" x14ac:dyDescent="0.35">
      <c r="A1503" t="s">
        <v>274</v>
      </c>
      <c r="B1503" t="s">
        <v>2546</v>
      </c>
      <c r="C1503" s="7" t="s">
        <v>6</v>
      </c>
      <c r="D1503" t="s">
        <v>276</v>
      </c>
      <c r="E1503" t="s">
        <v>2467</v>
      </c>
      <c r="F1503" t="s">
        <v>1754</v>
      </c>
      <c r="G1503" t="s">
        <v>2547</v>
      </c>
      <c r="H1503" t="s">
        <v>1738</v>
      </c>
      <c r="I1503">
        <f t="shared" si="138"/>
        <v>0</v>
      </c>
      <c r="J1503">
        <f t="shared" si="139"/>
        <v>0</v>
      </c>
      <c r="K1503">
        <f t="shared" si="140"/>
        <v>0</v>
      </c>
      <c r="L1503">
        <f t="shared" si="141"/>
        <v>1</v>
      </c>
      <c r="M1503">
        <f t="shared" si="142"/>
        <v>0</v>
      </c>
      <c r="N1503">
        <f t="shared" si="143"/>
        <v>1</v>
      </c>
    </row>
    <row r="1504" spans="1:14" x14ac:dyDescent="0.35">
      <c r="A1504" t="s">
        <v>274</v>
      </c>
      <c r="B1504" t="s">
        <v>2546</v>
      </c>
      <c r="C1504" s="7" t="s">
        <v>6</v>
      </c>
      <c r="D1504" t="s">
        <v>276</v>
      </c>
      <c r="E1504" t="s">
        <v>2548</v>
      </c>
      <c r="F1504" t="s">
        <v>1754</v>
      </c>
      <c r="G1504" t="s">
        <v>2547</v>
      </c>
      <c r="H1504" t="s">
        <v>1738</v>
      </c>
      <c r="I1504">
        <f t="shared" si="138"/>
        <v>0</v>
      </c>
      <c r="J1504">
        <f t="shared" si="139"/>
        <v>0</v>
      </c>
      <c r="K1504">
        <f t="shared" si="140"/>
        <v>0</v>
      </c>
      <c r="L1504">
        <f t="shared" si="141"/>
        <v>1</v>
      </c>
      <c r="M1504">
        <f t="shared" si="142"/>
        <v>0</v>
      </c>
      <c r="N1504">
        <f t="shared" si="143"/>
        <v>1</v>
      </c>
    </row>
    <row r="1505" spans="1:14" x14ac:dyDescent="0.35">
      <c r="A1505" t="s">
        <v>1478</v>
      </c>
      <c r="B1505" t="s">
        <v>2549</v>
      </c>
      <c r="C1505" s="7" t="s">
        <v>6</v>
      </c>
      <c r="D1505" t="s">
        <v>55</v>
      </c>
      <c r="E1505" t="s">
        <v>1892</v>
      </c>
      <c r="F1505" t="s">
        <v>1760</v>
      </c>
      <c r="I1505">
        <f t="shared" si="138"/>
        <v>0</v>
      </c>
      <c r="J1505">
        <f t="shared" si="139"/>
        <v>0</v>
      </c>
      <c r="K1505">
        <f t="shared" si="140"/>
        <v>1</v>
      </c>
      <c r="L1505">
        <f t="shared" si="141"/>
        <v>0</v>
      </c>
      <c r="M1505">
        <f t="shared" si="142"/>
        <v>0</v>
      </c>
      <c r="N1505">
        <f t="shared" si="143"/>
        <v>0</v>
      </c>
    </row>
    <row r="1506" spans="1:14" x14ac:dyDescent="0.35">
      <c r="A1506" t="s">
        <v>1478</v>
      </c>
      <c r="B1506" t="s">
        <v>2549</v>
      </c>
      <c r="C1506" s="7" t="s">
        <v>6</v>
      </c>
      <c r="D1506" t="s">
        <v>55</v>
      </c>
      <c r="E1506" t="s">
        <v>1843</v>
      </c>
      <c r="F1506" t="s">
        <v>1760</v>
      </c>
      <c r="I1506">
        <f t="shared" si="138"/>
        <v>0</v>
      </c>
      <c r="J1506">
        <f t="shared" si="139"/>
        <v>0</v>
      </c>
      <c r="K1506">
        <f t="shared" si="140"/>
        <v>1</v>
      </c>
      <c r="L1506">
        <f t="shared" si="141"/>
        <v>0</v>
      </c>
      <c r="M1506">
        <f t="shared" si="142"/>
        <v>0</v>
      </c>
      <c r="N1506">
        <f t="shared" si="143"/>
        <v>0</v>
      </c>
    </row>
    <row r="1507" spans="1:14" x14ac:dyDescent="0.35">
      <c r="A1507" t="s">
        <v>1478</v>
      </c>
      <c r="B1507" t="s">
        <v>2549</v>
      </c>
      <c r="C1507" s="7" t="s">
        <v>6</v>
      </c>
      <c r="D1507" t="s">
        <v>55</v>
      </c>
      <c r="E1507" t="s">
        <v>1842</v>
      </c>
      <c r="F1507" t="s">
        <v>1760</v>
      </c>
      <c r="I1507">
        <f t="shared" si="138"/>
        <v>0</v>
      </c>
      <c r="J1507">
        <f t="shared" si="139"/>
        <v>0</v>
      </c>
      <c r="K1507">
        <f t="shared" si="140"/>
        <v>1</v>
      </c>
      <c r="L1507">
        <f t="shared" si="141"/>
        <v>0</v>
      </c>
      <c r="M1507">
        <f t="shared" si="142"/>
        <v>0</v>
      </c>
      <c r="N1507">
        <f t="shared" si="143"/>
        <v>0</v>
      </c>
    </row>
    <row r="1508" spans="1:14" x14ac:dyDescent="0.35">
      <c r="A1508" t="s">
        <v>1624</v>
      </c>
      <c r="B1508" t="s">
        <v>2550</v>
      </c>
      <c r="C1508" s="7" t="s">
        <v>6</v>
      </c>
      <c r="D1508" t="s">
        <v>51</v>
      </c>
      <c r="E1508" t="s">
        <v>2121</v>
      </c>
      <c r="F1508" t="s">
        <v>1727</v>
      </c>
      <c r="I1508">
        <f t="shared" si="138"/>
        <v>0</v>
      </c>
      <c r="J1508">
        <f t="shared" si="139"/>
        <v>0</v>
      </c>
      <c r="K1508">
        <f t="shared" si="140"/>
        <v>0</v>
      </c>
      <c r="L1508">
        <f t="shared" si="141"/>
        <v>0</v>
      </c>
      <c r="M1508">
        <f t="shared" si="142"/>
        <v>1</v>
      </c>
      <c r="N1508">
        <f t="shared" si="143"/>
        <v>0</v>
      </c>
    </row>
    <row r="1509" spans="1:14" x14ac:dyDescent="0.35">
      <c r="A1509" t="s">
        <v>1624</v>
      </c>
      <c r="B1509" t="s">
        <v>2550</v>
      </c>
      <c r="C1509" s="7" t="s">
        <v>6</v>
      </c>
      <c r="D1509" t="s">
        <v>51</v>
      </c>
      <c r="E1509" t="s">
        <v>1945</v>
      </c>
      <c r="F1509" t="s">
        <v>1754</v>
      </c>
      <c r="I1509">
        <f t="shared" si="138"/>
        <v>0</v>
      </c>
      <c r="J1509">
        <f t="shared" si="139"/>
        <v>0</v>
      </c>
      <c r="K1509">
        <f t="shared" si="140"/>
        <v>0</v>
      </c>
      <c r="L1509">
        <f t="shared" si="141"/>
        <v>1</v>
      </c>
      <c r="M1509">
        <f t="shared" si="142"/>
        <v>0</v>
      </c>
      <c r="N1509">
        <f t="shared" si="143"/>
        <v>0</v>
      </c>
    </row>
    <row r="1510" spans="1:14" x14ac:dyDescent="0.35">
      <c r="A1510" t="s">
        <v>1624</v>
      </c>
      <c r="B1510" t="s">
        <v>2550</v>
      </c>
      <c r="C1510" s="7" t="s">
        <v>6</v>
      </c>
      <c r="D1510" t="s">
        <v>51</v>
      </c>
      <c r="E1510" t="s">
        <v>2095</v>
      </c>
      <c r="F1510" t="s">
        <v>1754</v>
      </c>
      <c r="I1510">
        <f t="shared" si="138"/>
        <v>0</v>
      </c>
      <c r="J1510">
        <f t="shared" si="139"/>
        <v>0</v>
      </c>
      <c r="K1510">
        <f t="shared" si="140"/>
        <v>0</v>
      </c>
      <c r="L1510">
        <f t="shared" si="141"/>
        <v>1</v>
      </c>
      <c r="M1510">
        <f t="shared" si="142"/>
        <v>0</v>
      </c>
      <c r="N1510">
        <f t="shared" si="143"/>
        <v>0</v>
      </c>
    </row>
    <row r="1511" spans="1:14" x14ac:dyDescent="0.35">
      <c r="A1511" t="s">
        <v>995</v>
      </c>
      <c r="B1511" t="s">
        <v>1787</v>
      </c>
      <c r="C1511" s="7" t="s">
        <v>6</v>
      </c>
      <c r="D1511" t="s">
        <v>55</v>
      </c>
      <c r="E1511" t="s">
        <v>2040</v>
      </c>
      <c r="F1511" t="s">
        <v>1727</v>
      </c>
      <c r="I1511">
        <f t="shared" si="138"/>
        <v>0</v>
      </c>
      <c r="J1511">
        <f t="shared" si="139"/>
        <v>0</v>
      </c>
      <c r="K1511">
        <f t="shared" si="140"/>
        <v>0</v>
      </c>
      <c r="L1511">
        <f t="shared" si="141"/>
        <v>0</v>
      </c>
      <c r="M1511">
        <f t="shared" si="142"/>
        <v>1</v>
      </c>
      <c r="N1511">
        <f t="shared" si="143"/>
        <v>0</v>
      </c>
    </row>
    <row r="1512" spans="1:14" x14ac:dyDescent="0.35">
      <c r="A1512" t="s">
        <v>144</v>
      </c>
      <c r="B1512" t="s">
        <v>2551</v>
      </c>
      <c r="C1512" s="7" t="s">
        <v>6</v>
      </c>
      <c r="D1512" t="s">
        <v>55</v>
      </c>
      <c r="E1512" t="s">
        <v>1894</v>
      </c>
      <c r="F1512" t="s">
        <v>1754</v>
      </c>
      <c r="I1512">
        <f t="shared" si="138"/>
        <v>0</v>
      </c>
      <c r="J1512">
        <f t="shared" si="139"/>
        <v>0</v>
      </c>
      <c r="K1512">
        <f t="shared" si="140"/>
        <v>0</v>
      </c>
      <c r="L1512">
        <f t="shared" si="141"/>
        <v>1</v>
      </c>
      <c r="M1512">
        <f t="shared" si="142"/>
        <v>0</v>
      </c>
      <c r="N1512">
        <f t="shared" si="143"/>
        <v>0</v>
      </c>
    </row>
    <row r="1513" spans="1:14" x14ac:dyDescent="0.35">
      <c r="A1513" t="s">
        <v>144</v>
      </c>
      <c r="B1513" t="s">
        <v>2551</v>
      </c>
      <c r="C1513" s="7" t="s">
        <v>6</v>
      </c>
      <c r="D1513" t="s">
        <v>55</v>
      </c>
      <c r="E1513" t="s">
        <v>1896</v>
      </c>
      <c r="F1513" t="s">
        <v>1754</v>
      </c>
      <c r="I1513">
        <f t="shared" si="138"/>
        <v>0</v>
      </c>
      <c r="J1513">
        <f t="shared" si="139"/>
        <v>0</v>
      </c>
      <c r="K1513">
        <f t="shared" si="140"/>
        <v>0</v>
      </c>
      <c r="L1513">
        <f t="shared" si="141"/>
        <v>1</v>
      </c>
      <c r="M1513">
        <f t="shared" si="142"/>
        <v>0</v>
      </c>
      <c r="N1513">
        <f t="shared" si="143"/>
        <v>0</v>
      </c>
    </row>
    <row r="1514" spans="1:14" x14ac:dyDescent="0.35">
      <c r="A1514" t="s">
        <v>1446</v>
      </c>
      <c r="B1514" t="s">
        <v>2552</v>
      </c>
      <c r="C1514" s="7" t="s">
        <v>6</v>
      </c>
      <c r="D1514" t="s">
        <v>55</v>
      </c>
      <c r="E1514" t="s">
        <v>1956</v>
      </c>
      <c r="F1514" t="s">
        <v>1760</v>
      </c>
      <c r="I1514">
        <f t="shared" si="138"/>
        <v>0</v>
      </c>
      <c r="J1514">
        <f t="shared" si="139"/>
        <v>0</v>
      </c>
      <c r="K1514">
        <f t="shared" si="140"/>
        <v>1</v>
      </c>
      <c r="L1514">
        <f t="shared" si="141"/>
        <v>0</v>
      </c>
      <c r="M1514">
        <f t="shared" si="142"/>
        <v>0</v>
      </c>
      <c r="N1514">
        <f t="shared" si="143"/>
        <v>0</v>
      </c>
    </row>
    <row r="1515" spans="1:14" x14ac:dyDescent="0.35">
      <c r="A1515" t="s">
        <v>1446</v>
      </c>
      <c r="B1515" t="s">
        <v>2552</v>
      </c>
      <c r="C1515" s="7" t="s">
        <v>6</v>
      </c>
      <c r="D1515" t="s">
        <v>55</v>
      </c>
      <c r="E1515" t="s">
        <v>1856</v>
      </c>
      <c r="F1515" t="s">
        <v>1760</v>
      </c>
      <c r="I1515">
        <f t="shared" si="138"/>
        <v>0</v>
      </c>
      <c r="J1515">
        <f t="shared" si="139"/>
        <v>0</v>
      </c>
      <c r="K1515">
        <f t="shared" si="140"/>
        <v>1</v>
      </c>
      <c r="L1515">
        <f t="shared" si="141"/>
        <v>0</v>
      </c>
      <c r="M1515">
        <f t="shared" si="142"/>
        <v>0</v>
      </c>
      <c r="N1515">
        <f t="shared" si="143"/>
        <v>0</v>
      </c>
    </row>
    <row r="1516" spans="1:14" x14ac:dyDescent="0.35">
      <c r="A1516" t="s">
        <v>485</v>
      </c>
      <c r="B1516" t="s">
        <v>2553</v>
      </c>
      <c r="C1516" s="7" t="s">
        <v>6</v>
      </c>
      <c r="D1516" t="s">
        <v>487</v>
      </c>
      <c r="E1516" t="s">
        <v>2048</v>
      </c>
      <c r="F1516" t="s">
        <v>1727</v>
      </c>
      <c r="I1516">
        <f t="shared" si="138"/>
        <v>0</v>
      </c>
      <c r="J1516">
        <f t="shared" si="139"/>
        <v>0</v>
      </c>
      <c r="K1516">
        <f t="shared" si="140"/>
        <v>0</v>
      </c>
      <c r="L1516">
        <f t="shared" si="141"/>
        <v>0</v>
      </c>
      <c r="M1516">
        <f t="shared" si="142"/>
        <v>1</v>
      </c>
      <c r="N1516">
        <f t="shared" si="143"/>
        <v>0</v>
      </c>
    </row>
    <row r="1517" spans="1:14" x14ac:dyDescent="0.35">
      <c r="A1517" t="s">
        <v>485</v>
      </c>
      <c r="B1517" t="s">
        <v>2553</v>
      </c>
      <c r="C1517" s="7" t="s">
        <v>6</v>
      </c>
      <c r="D1517" t="s">
        <v>487</v>
      </c>
      <c r="E1517" t="s">
        <v>1910</v>
      </c>
      <c r="F1517" t="s">
        <v>1754</v>
      </c>
      <c r="I1517">
        <f t="shared" si="138"/>
        <v>0</v>
      </c>
      <c r="J1517">
        <f t="shared" si="139"/>
        <v>0</v>
      </c>
      <c r="K1517">
        <f t="shared" si="140"/>
        <v>0</v>
      </c>
      <c r="L1517">
        <f t="shared" si="141"/>
        <v>1</v>
      </c>
      <c r="M1517">
        <f t="shared" si="142"/>
        <v>0</v>
      </c>
      <c r="N1517">
        <f t="shared" si="143"/>
        <v>0</v>
      </c>
    </row>
    <row r="1518" spans="1:14" x14ac:dyDescent="0.35">
      <c r="A1518" t="s">
        <v>485</v>
      </c>
      <c r="B1518" t="s">
        <v>2553</v>
      </c>
      <c r="C1518" s="7" t="s">
        <v>6</v>
      </c>
      <c r="D1518" t="s">
        <v>487</v>
      </c>
      <c r="E1518" t="s">
        <v>1911</v>
      </c>
      <c r="F1518" t="s">
        <v>1754</v>
      </c>
      <c r="I1518">
        <f t="shared" si="138"/>
        <v>0</v>
      </c>
      <c r="J1518">
        <f t="shared" si="139"/>
        <v>0</v>
      </c>
      <c r="K1518">
        <f t="shared" si="140"/>
        <v>0</v>
      </c>
      <c r="L1518">
        <f t="shared" si="141"/>
        <v>1</v>
      </c>
      <c r="M1518">
        <f t="shared" si="142"/>
        <v>0</v>
      </c>
      <c r="N1518">
        <f t="shared" si="143"/>
        <v>0</v>
      </c>
    </row>
    <row r="1519" spans="1:14" x14ac:dyDescent="0.35">
      <c r="A1519" t="s">
        <v>768</v>
      </c>
      <c r="B1519" t="s">
        <v>2554</v>
      </c>
      <c r="C1519" s="7" t="s">
        <v>6</v>
      </c>
      <c r="D1519" t="s">
        <v>155</v>
      </c>
      <c r="E1519" t="s">
        <v>1810</v>
      </c>
      <c r="F1519" t="s">
        <v>1754</v>
      </c>
      <c r="G1519" t="s">
        <v>2444</v>
      </c>
      <c r="H1519" t="s">
        <v>2445</v>
      </c>
      <c r="I1519">
        <f t="shared" si="138"/>
        <v>0</v>
      </c>
      <c r="J1519">
        <f t="shared" si="139"/>
        <v>0</v>
      </c>
      <c r="K1519">
        <f t="shared" si="140"/>
        <v>0</v>
      </c>
      <c r="L1519">
        <f t="shared" si="141"/>
        <v>1</v>
      </c>
      <c r="M1519">
        <f t="shared" si="142"/>
        <v>0</v>
      </c>
      <c r="N1519">
        <f t="shared" si="143"/>
        <v>1</v>
      </c>
    </row>
    <row r="1520" spans="1:14" x14ac:dyDescent="0.35">
      <c r="A1520" t="s">
        <v>768</v>
      </c>
      <c r="B1520" t="s">
        <v>2554</v>
      </c>
      <c r="C1520" s="7" t="s">
        <v>6</v>
      </c>
      <c r="D1520" t="s">
        <v>155</v>
      </c>
      <c r="E1520" t="s">
        <v>1822</v>
      </c>
      <c r="F1520" t="s">
        <v>1760</v>
      </c>
      <c r="G1520" t="s">
        <v>2444</v>
      </c>
      <c r="H1520" t="s">
        <v>2445</v>
      </c>
      <c r="I1520">
        <f t="shared" si="138"/>
        <v>0</v>
      </c>
      <c r="J1520">
        <f t="shared" si="139"/>
        <v>0</v>
      </c>
      <c r="K1520">
        <f t="shared" si="140"/>
        <v>1</v>
      </c>
      <c r="L1520">
        <f t="shared" si="141"/>
        <v>0</v>
      </c>
      <c r="M1520">
        <f t="shared" si="142"/>
        <v>0</v>
      </c>
      <c r="N1520">
        <f t="shared" si="143"/>
        <v>1</v>
      </c>
    </row>
    <row r="1521" spans="1:14" x14ac:dyDescent="0.35">
      <c r="A1521" t="s">
        <v>357</v>
      </c>
      <c r="B1521" t="s">
        <v>2555</v>
      </c>
      <c r="C1521" s="7" t="s">
        <v>6</v>
      </c>
      <c r="D1521" t="s">
        <v>55</v>
      </c>
      <c r="E1521" t="s">
        <v>2053</v>
      </c>
      <c r="F1521" t="s">
        <v>1805</v>
      </c>
      <c r="I1521">
        <f t="shared" si="138"/>
        <v>0</v>
      </c>
      <c r="J1521">
        <f t="shared" si="139"/>
        <v>1</v>
      </c>
      <c r="K1521">
        <f t="shared" si="140"/>
        <v>0</v>
      </c>
      <c r="L1521">
        <f t="shared" si="141"/>
        <v>0</v>
      </c>
      <c r="M1521">
        <f t="shared" si="142"/>
        <v>0</v>
      </c>
      <c r="N1521">
        <f t="shared" si="143"/>
        <v>0</v>
      </c>
    </row>
    <row r="1522" spans="1:14" x14ac:dyDescent="0.35">
      <c r="A1522" t="s">
        <v>357</v>
      </c>
      <c r="B1522" t="s">
        <v>2555</v>
      </c>
      <c r="C1522" s="7" t="s">
        <v>6</v>
      </c>
      <c r="D1522" t="s">
        <v>55</v>
      </c>
      <c r="E1522" t="s">
        <v>1953</v>
      </c>
      <c r="F1522" t="s">
        <v>1754</v>
      </c>
      <c r="I1522">
        <f t="shared" si="138"/>
        <v>0</v>
      </c>
      <c r="J1522">
        <f t="shared" si="139"/>
        <v>0</v>
      </c>
      <c r="K1522">
        <f t="shared" si="140"/>
        <v>0</v>
      </c>
      <c r="L1522">
        <f t="shared" si="141"/>
        <v>1</v>
      </c>
      <c r="M1522">
        <f t="shared" si="142"/>
        <v>0</v>
      </c>
      <c r="N1522">
        <f t="shared" si="143"/>
        <v>0</v>
      </c>
    </row>
    <row r="1523" spans="1:14" x14ac:dyDescent="0.35">
      <c r="A1523" t="s">
        <v>357</v>
      </c>
      <c r="B1523" t="s">
        <v>2555</v>
      </c>
      <c r="C1523" s="7" t="s">
        <v>6</v>
      </c>
      <c r="D1523" t="s">
        <v>55</v>
      </c>
      <c r="E1523" t="s">
        <v>1951</v>
      </c>
      <c r="F1523" t="s">
        <v>1754</v>
      </c>
      <c r="I1523">
        <f t="shared" si="138"/>
        <v>0</v>
      </c>
      <c r="J1523">
        <f t="shared" si="139"/>
        <v>0</v>
      </c>
      <c r="K1523">
        <f t="shared" si="140"/>
        <v>0</v>
      </c>
      <c r="L1523">
        <f t="shared" si="141"/>
        <v>1</v>
      </c>
      <c r="M1523">
        <f t="shared" si="142"/>
        <v>0</v>
      </c>
      <c r="N1523">
        <f t="shared" si="143"/>
        <v>0</v>
      </c>
    </row>
    <row r="1524" spans="1:14" x14ac:dyDescent="0.35">
      <c r="A1524" t="s">
        <v>1433</v>
      </c>
      <c r="B1524" t="s">
        <v>2556</v>
      </c>
      <c r="C1524" s="7" t="s">
        <v>6</v>
      </c>
      <c r="D1524" t="s">
        <v>55</v>
      </c>
      <c r="E1524" t="s">
        <v>1807</v>
      </c>
      <c r="F1524" t="s">
        <v>1754</v>
      </c>
      <c r="I1524">
        <f t="shared" si="138"/>
        <v>0</v>
      </c>
      <c r="J1524">
        <f t="shared" si="139"/>
        <v>0</v>
      </c>
      <c r="K1524">
        <f t="shared" si="140"/>
        <v>0</v>
      </c>
      <c r="L1524">
        <f t="shared" si="141"/>
        <v>1</v>
      </c>
      <c r="M1524">
        <f t="shared" si="142"/>
        <v>0</v>
      </c>
      <c r="N1524">
        <f t="shared" si="143"/>
        <v>0</v>
      </c>
    </row>
    <row r="1525" spans="1:14" x14ac:dyDescent="0.35">
      <c r="A1525" t="s">
        <v>1433</v>
      </c>
      <c r="B1525" t="s">
        <v>2556</v>
      </c>
      <c r="C1525" s="7" t="s">
        <v>6</v>
      </c>
      <c r="D1525" t="s">
        <v>55</v>
      </c>
      <c r="E1525" t="s">
        <v>1811</v>
      </c>
      <c r="F1525" t="s">
        <v>1754</v>
      </c>
      <c r="I1525">
        <f t="shared" si="138"/>
        <v>0</v>
      </c>
      <c r="J1525">
        <f t="shared" si="139"/>
        <v>0</v>
      </c>
      <c r="K1525">
        <f t="shared" si="140"/>
        <v>0</v>
      </c>
      <c r="L1525">
        <f t="shared" si="141"/>
        <v>1</v>
      </c>
      <c r="M1525">
        <f t="shared" si="142"/>
        <v>0</v>
      </c>
      <c r="N1525">
        <f t="shared" si="143"/>
        <v>0</v>
      </c>
    </row>
    <row r="1526" spans="1:14" x14ac:dyDescent="0.35">
      <c r="A1526" t="s">
        <v>1433</v>
      </c>
      <c r="B1526" t="s">
        <v>2556</v>
      </c>
      <c r="C1526" s="7" t="s">
        <v>6</v>
      </c>
      <c r="D1526" t="s">
        <v>55</v>
      </c>
      <c r="E1526" t="s">
        <v>1806</v>
      </c>
      <c r="F1526" t="s">
        <v>1754</v>
      </c>
      <c r="I1526">
        <f t="shared" si="138"/>
        <v>0</v>
      </c>
      <c r="J1526">
        <f t="shared" si="139"/>
        <v>0</v>
      </c>
      <c r="K1526">
        <f t="shared" si="140"/>
        <v>0</v>
      </c>
      <c r="L1526">
        <f t="shared" si="141"/>
        <v>1</v>
      </c>
      <c r="M1526">
        <f t="shared" si="142"/>
        <v>0</v>
      </c>
      <c r="N1526">
        <f t="shared" si="143"/>
        <v>0</v>
      </c>
    </row>
    <row r="1527" spans="1:14" x14ac:dyDescent="0.35">
      <c r="A1527" t="s">
        <v>613</v>
      </c>
      <c r="B1527" t="s">
        <v>2557</v>
      </c>
      <c r="C1527" s="7" t="s">
        <v>6</v>
      </c>
      <c r="D1527" t="s">
        <v>51</v>
      </c>
      <c r="E1527" t="s">
        <v>1917</v>
      </c>
      <c r="F1527" t="s">
        <v>1754</v>
      </c>
      <c r="I1527">
        <f t="shared" si="138"/>
        <v>0</v>
      </c>
      <c r="J1527">
        <f t="shared" si="139"/>
        <v>0</v>
      </c>
      <c r="K1527">
        <f t="shared" si="140"/>
        <v>0</v>
      </c>
      <c r="L1527">
        <f t="shared" si="141"/>
        <v>1</v>
      </c>
      <c r="M1527">
        <f t="shared" si="142"/>
        <v>0</v>
      </c>
      <c r="N1527">
        <f t="shared" si="143"/>
        <v>0</v>
      </c>
    </row>
    <row r="1528" spans="1:14" x14ac:dyDescent="0.35">
      <c r="A1528" t="s">
        <v>1130</v>
      </c>
      <c r="B1528" t="s">
        <v>2558</v>
      </c>
      <c r="C1528" s="7" t="s">
        <v>6</v>
      </c>
      <c r="D1528" t="s">
        <v>100</v>
      </c>
      <c r="E1528" t="s">
        <v>1910</v>
      </c>
      <c r="F1528" t="s">
        <v>1754</v>
      </c>
      <c r="I1528">
        <f t="shared" si="138"/>
        <v>0</v>
      </c>
      <c r="J1528">
        <f t="shared" si="139"/>
        <v>0</v>
      </c>
      <c r="K1528">
        <f t="shared" si="140"/>
        <v>0</v>
      </c>
      <c r="L1528">
        <f t="shared" si="141"/>
        <v>1</v>
      </c>
      <c r="M1528">
        <f t="shared" si="142"/>
        <v>0</v>
      </c>
      <c r="N1528">
        <f t="shared" si="143"/>
        <v>0</v>
      </c>
    </row>
    <row r="1529" spans="1:14" x14ac:dyDescent="0.35">
      <c r="A1529" t="s">
        <v>1130</v>
      </c>
      <c r="B1529" t="s">
        <v>2558</v>
      </c>
      <c r="C1529" s="7" t="s">
        <v>6</v>
      </c>
      <c r="D1529" t="s">
        <v>100</v>
      </c>
      <c r="E1529" t="s">
        <v>1911</v>
      </c>
      <c r="F1529" t="s">
        <v>1754</v>
      </c>
      <c r="I1529">
        <f t="shared" si="138"/>
        <v>0</v>
      </c>
      <c r="J1529">
        <f t="shared" si="139"/>
        <v>0</v>
      </c>
      <c r="K1529">
        <f t="shared" si="140"/>
        <v>0</v>
      </c>
      <c r="L1529">
        <f t="shared" si="141"/>
        <v>1</v>
      </c>
      <c r="M1529">
        <f t="shared" si="142"/>
        <v>0</v>
      </c>
      <c r="N1529">
        <f t="shared" si="143"/>
        <v>0</v>
      </c>
    </row>
    <row r="1530" spans="1:14" x14ac:dyDescent="0.35">
      <c r="A1530" t="s">
        <v>61</v>
      </c>
      <c r="B1530" t="s">
        <v>2559</v>
      </c>
      <c r="C1530" s="7" t="s">
        <v>6</v>
      </c>
      <c r="D1530" t="s">
        <v>55</v>
      </c>
      <c r="E1530" t="s">
        <v>2101</v>
      </c>
      <c r="F1530" t="s">
        <v>1805</v>
      </c>
      <c r="I1530">
        <f t="shared" si="138"/>
        <v>0</v>
      </c>
      <c r="J1530">
        <f t="shared" si="139"/>
        <v>1</v>
      </c>
      <c r="K1530">
        <f t="shared" si="140"/>
        <v>0</v>
      </c>
      <c r="L1530">
        <f t="shared" si="141"/>
        <v>0</v>
      </c>
      <c r="M1530">
        <f t="shared" si="142"/>
        <v>0</v>
      </c>
      <c r="N1530">
        <f t="shared" si="143"/>
        <v>0</v>
      </c>
    </row>
    <row r="1531" spans="1:14" x14ac:dyDescent="0.35">
      <c r="A1531" t="s">
        <v>640</v>
      </c>
      <c r="B1531" t="s">
        <v>2560</v>
      </c>
      <c r="C1531" s="7" t="s">
        <v>6</v>
      </c>
      <c r="D1531" t="s">
        <v>276</v>
      </c>
      <c r="E1531" t="s">
        <v>1889</v>
      </c>
      <c r="F1531" t="s">
        <v>1754</v>
      </c>
      <c r="I1531">
        <f t="shared" si="138"/>
        <v>0</v>
      </c>
      <c r="J1531">
        <f t="shared" si="139"/>
        <v>0</v>
      </c>
      <c r="K1531">
        <f t="shared" si="140"/>
        <v>0</v>
      </c>
      <c r="L1531">
        <f t="shared" si="141"/>
        <v>1</v>
      </c>
      <c r="M1531">
        <f t="shared" si="142"/>
        <v>0</v>
      </c>
      <c r="N1531">
        <f t="shared" si="143"/>
        <v>0</v>
      </c>
    </row>
    <row r="1532" spans="1:14" x14ac:dyDescent="0.35">
      <c r="A1532" t="s">
        <v>640</v>
      </c>
      <c r="B1532" t="s">
        <v>2560</v>
      </c>
      <c r="C1532" s="7" t="s">
        <v>6</v>
      </c>
      <c r="D1532" t="s">
        <v>276</v>
      </c>
      <c r="E1532" t="s">
        <v>1888</v>
      </c>
      <c r="F1532" t="s">
        <v>1754</v>
      </c>
      <c r="I1532">
        <f t="shared" si="138"/>
        <v>0</v>
      </c>
      <c r="J1532">
        <f t="shared" si="139"/>
        <v>0</v>
      </c>
      <c r="K1532">
        <f t="shared" si="140"/>
        <v>0</v>
      </c>
      <c r="L1532">
        <f t="shared" si="141"/>
        <v>1</v>
      </c>
      <c r="M1532">
        <f t="shared" si="142"/>
        <v>0</v>
      </c>
      <c r="N1532">
        <f t="shared" si="143"/>
        <v>0</v>
      </c>
    </row>
    <row r="1533" spans="1:14" x14ac:dyDescent="0.35">
      <c r="A1533" t="s">
        <v>640</v>
      </c>
      <c r="B1533" t="s">
        <v>2560</v>
      </c>
      <c r="C1533" s="7" t="s">
        <v>6</v>
      </c>
      <c r="D1533" t="s">
        <v>276</v>
      </c>
      <c r="E1533" t="s">
        <v>1941</v>
      </c>
      <c r="F1533" t="s">
        <v>1754</v>
      </c>
      <c r="I1533">
        <f t="shared" si="138"/>
        <v>0</v>
      </c>
      <c r="J1533">
        <f t="shared" si="139"/>
        <v>0</v>
      </c>
      <c r="K1533">
        <f t="shared" si="140"/>
        <v>0</v>
      </c>
      <c r="L1533">
        <f t="shared" si="141"/>
        <v>1</v>
      </c>
      <c r="M1533">
        <f t="shared" si="142"/>
        <v>0</v>
      </c>
      <c r="N1533">
        <f t="shared" si="143"/>
        <v>0</v>
      </c>
    </row>
    <row r="1534" spans="1:14" x14ac:dyDescent="0.35">
      <c r="A1534" t="s">
        <v>640</v>
      </c>
      <c r="B1534" t="s">
        <v>2560</v>
      </c>
      <c r="C1534" s="7" t="s">
        <v>6</v>
      </c>
      <c r="D1534" t="s">
        <v>276</v>
      </c>
      <c r="E1534" t="s">
        <v>1940</v>
      </c>
      <c r="F1534" t="s">
        <v>1754</v>
      </c>
      <c r="I1534">
        <f t="shared" si="138"/>
        <v>0</v>
      </c>
      <c r="J1534">
        <f t="shared" si="139"/>
        <v>0</v>
      </c>
      <c r="K1534">
        <f t="shared" si="140"/>
        <v>0</v>
      </c>
      <c r="L1534">
        <f t="shared" si="141"/>
        <v>1</v>
      </c>
      <c r="M1534">
        <f t="shared" si="142"/>
        <v>0</v>
      </c>
      <c r="N1534">
        <f t="shared" si="143"/>
        <v>0</v>
      </c>
    </row>
    <row r="1535" spans="1:14" x14ac:dyDescent="0.35">
      <c r="A1535" t="s">
        <v>654</v>
      </c>
      <c r="B1535" t="s">
        <v>2561</v>
      </c>
      <c r="C1535" s="7" t="s">
        <v>6</v>
      </c>
      <c r="D1535" t="s">
        <v>97</v>
      </c>
      <c r="E1535" t="s">
        <v>1968</v>
      </c>
      <c r="F1535" t="s">
        <v>1760</v>
      </c>
      <c r="I1535">
        <f t="shared" si="138"/>
        <v>0</v>
      </c>
      <c r="J1535">
        <f t="shared" si="139"/>
        <v>0</v>
      </c>
      <c r="K1535">
        <f t="shared" si="140"/>
        <v>1</v>
      </c>
      <c r="L1535">
        <f t="shared" si="141"/>
        <v>0</v>
      </c>
      <c r="M1535">
        <f t="shared" si="142"/>
        <v>0</v>
      </c>
      <c r="N1535">
        <f t="shared" si="143"/>
        <v>0</v>
      </c>
    </row>
    <row r="1536" spans="1:14" x14ac:dyDescent="0.35">
      <c r="A1536" t="s">
        <v>654</v>
      </c>
      <c r="B1536" t="s">
        <v>2561</v>
      </c>
      <c r="C1536" s="7" t="s">
        <v>6</v>
      </c>
      <c r="D1536" t="s">
        <v>97</v>
      </c>
      <c r="E1536" t="s">
        <v>1815</v>
      </c>
      <c r="F1536" t="s">
        <v>1754</v>
      </c>
      <c r="I1536">
        <f t="shared" si="138"/>
        <v>0</v>
      </c>
      <c r="J1536">
        <f t="shared" si="139"/>
        <v>0</v>
      </c>
      <c r="K1536">
        <f t="shared" si="140"/>
        <v>0</v>
      </c>
      <c r="L1536">
        <f t="shared" si="141"/>
        <v>1</v>
      </c>
      <c r="M1536">
        <f t="shared" si="142"/>
        <v>0</v>
      </c>
      <c r="N1536">
        <f t="shared" si="143"/>
        <v>0</v>
      </c>
    </row>
    <row r="1537" spans="1:14" x14ac:dyDescent="0.35">
      <c r="A1537" t="s">
        <v>654</v>
      </c>
      <c r="B1537" t="s">
        <v>2561</v>
      </c>
      <c r="C1537" s="7" t="s">
        <v>6</v>
      </c>
      <c r="D1537" t="s">
        <v>97</v>
      </c>
      <c r="E1537" t="s">
        <v>1817</v>
      </c>
      <c r="F1537" t="s">
        <v>1754</v>
      </c>
      <c r="I1537">
        <f t="shared" si="138"/>
        <v>0</v>
      </c>
      <c r="J1537">
        <f t="shared" si="139"/>
        <v>0</v>
      </c>
      <c r="K1537">
        <f t="shared" si="140"/>
        <v>0</v>
      </c>
      <c r="L1537">
        <f t="shared" si="141"/>
        <v>1</v>
      </c>
      <c r="M1537">
        <f t="shared" si="142"/>
        <v>0</v>
      </c>
      <c r="N1537">
        <f t="shared" si="143"/>
        <v>0</v>
      </c>
    </row>
    <row r="1538" spans="1:14" x14ac:dyDescent="0.35">
      <c r="A1538" t="s">
        <v>654</v>
      </c>
      <c r="B1538" t="s">
        <v>2561</v>
      </c>
      <c r="C1538" s="7" t="s">
        <v>6</v>
      </c>
      <c r="D1538" t="s">
        <v>97</v>
      </c>
      <c r="E1538" t="s">
        <v>1813</v>
      </c>
      <c r="F1538" t="s">
        <v>1760</v>
      </c>
      <c r="I1538">
        <f t="shared" si="138"/>
        <v>0</v>
      </c>
      <c r="J1538">
        <f t="shared" si="139"/>
        <v>0</v>
      </c>
      <c r="K1538">
        <f t="shared" si="140"/>
        <v>1</v>
      </c>
      <c r="L1538">
        <f t="shared" si="141"/>
        <v>0</v>
      </c>
      <c r="M1538">
        <f t="shared" si="142"/>
        <v>0</v>
      </c>
      <c r="N1538">
        <f t="shared" si="143"/>
        <v>0</v>
      </c>
    </row>
    <row r="1539" spans="1:14" x14ac:dyDescent="0.35">
      <c r="A1539" t="s">
        <v>654</v>
      </c>
      <c r="B1539" t="s">
        <v>2561</v>
      </c>
      <c r="C1539" s="7" t="s">
        <v>6</v>
      </c>
      <c r="D1539" t="s">
        <v>97</v>
      </c>
      <c r="E1539" t="s">
        <v>1818</v>
      </c>
      <c r="F1539" t="s">
        <v>1760</v>
      </c>
      <c r="I1539">
        <f t="shared" ref="I1539:I1602" si="144">IF($F1539=$F$1,1,0)</f>
        <v>0</v>
      </c>
      <c r="J1539">
        <f t="shared" ref="J1539:J1602" si="145">IF($F1539=$J$1,1,0)</f>
        <v>0</v>
      </c>
      <c r="K1539">
        <f t="shared" ref="K1539:K1602" si="146">IF($F1539=$K$1,1,0)</f>
        <v>1</v>
      </c>
      <c r="L1539">
        <f t="shared" ref="L1539:L1602" si="147">IF($F1539=$L$1,1,0)</f>
        <v>0</v>
      </c>
      <c r="M1539">
        <f t="shared" ref="M1539:M1602" si="148">IF($F1539=$M$1,1,0)</f>
        <v>0</v>
      </c>
      <c r="N1539">
        <f t="shared" ref="N1539:N1602" si="149">IF($G1539&lt;&gt;"",1,0)</f>
        <v>0</v>
      </c>
    </row>
    <row r="1540" spans="1:14" x14ac:dyDescent="0.35">
      <c r="A1540" t="s">
        <v>654</v>
      </c>
      <c r="B1540" t="s">
        <v>2561</v>
      </c>
      <c r="C1540" s="7" t="s">
        <v>6</v>
      </c>
      <c r="D1540" t="s">
        <v>97</v>
      </c>
      <c r="E1540" t="s">
        <v>1816</v>
      </c>
      <c r="F1540" t="s">
        <v>1760</v>
      </c>
      <c r="I1540">
        <f t="shared" si="144"/>
        <v>0</v>
      </c>
      <c r="J1540">
        <f t="shared" si="145"/>
        <v>0</v>
      </c>
      <c r="K1540">
        <f t="shared" si="146"/>
        <v>1</v>
      </c>
      <c r="L1540">
        <f t="shared" si="147"/>
        <v>0</v>
      </c>
      <c r="M1540">
        <f t="shared" si="148"/>
        <v>0</v>
      </c>
      <c r="N1540">
        <f t="shared" si="149"/>
        <v>0</v>
      </c>
    </row>
    <row r="1541" spans="1:14" x14ac:dyDescent="0.35">
      <c r="A1541" t="s">
        <v>654</v>
      </c>
      <c r="B1541" t="s">
        <v>2561</v>
      </c>
      <c r="C1541" s="7" t="s">
        <v>6</v>
      </c>
      <c r="D1541" t="s">
        <v>97</v>
      </c>
      <c r="E1541" t="s">
        <v>1819</v>
      </c>
      <c r="F1541" t="s">
        <v>1760</v>
      </c>
      <c r="I1541">
        <f t="shared" si="144"/>
        <v>0</v>
      </c>
      <c r="J1541">
        <f t="shared" si="145"/>
        <v>0</v>
      </c>
      <c r="K1541">
        <f t="shared" si="146"/>
        <v>1</v>
      </c>
      <c r="L1541">
        <f t="shared" si="147"/>
        <v>0</v>
      </c>
      <c r="M1541">
        <f t="shared" si="148"/>
        <v>0</v>
      </c>
      <c r="N1541">
        <f t="shared" si="149"/>
        <v>0</v>
      </c>
    </row>
    <row r="1542" spans="1:14" x14ac:dyDescent="0.35">
      <c r="A1542" t="s">
        <v>654</v>
      </c>
      <c r="B1542" t="s">
        <v>2561</v>
      </c>
      <c r="C1542" s="7" t="s">
        <v>6</v>
      </c>
      <c r="D1542" t="s">
        <v>97</v>
      </c>
      <c r="E1542" t="s">
        <v>1814</v>
      </c>
      <c r="F1542" t="s">
        <v>1760</v>
      </c>
      <c r="I1542">
        <f t="shared" si="144"/>
        <v>0</v>
      </c>
      <c r="J1542">
        <f t="shared" si="145"/>
        <v>0</v>
      </c>
      <c r="K1542">
        <f t="shared" si="146"/>
        <v>1</v>
      </c>
      <c r="L1542">
        <f t="shared" si="147"/>
        <v>0</v>
      </c>
      <c r="M1542">
        <f t="shared" si="148"/>
        <v>0</v>
      </c>
      <c r="N1542">
        <f t="shared" si="149"/>
        <v>0</v>
      </c>
    </row>
    <row r="1543" spans="1:14" x14ac:dyDescent="0.35">
      <c r="A1543" t="s">
        <v>947</v>
      </c>
      <c r="B1543" t="s">
        <v>2562</v>
      </c>
      <c r="C1543" s="7" t="s">
        <v>6</v>
      </c>
      <c r="D1543" t="s">
        <v>55</v>
      </c>
      <c r="E1543" t="s">
        <v>1945</v>
      </c>
      <c r="F1543" t="s">
        <v>1754</v>
      </c>
      <c r="I1543">
        <f t="shared" si="144"/>
        <v>0</v>
      </c>
      <c r="J1543">
        <f t="shared" si="145"/>
        <v>0</v>
      </c>
      <c r="K1543">
        <f t="shared" si="146"/>
        <v>0</v>
      </c>
      <c r="L1543">
        <f t="shared" si="147"/>
        <v>1</v>
      </c>
      <c r="M1543">
        <f t="shared" si="148"/>
        <v>0</v>
      </c>
      <c r="N1543">
        <f t="shared" si="149"/>
        <v>0</v>
      </c>
    </row>
    <row r="1544" spans="1:14" x14ac:dyDescent="0.35">
      <c r="A1544" t="s">
        <v>947</v>
      </c>
      <c r="B1544" t="s">
        <v>2562</v>
      </c>
      <c r="C1544" s="7" t="s">
        <v>6</v>
      </c>
      <c r="D1544" t="s">
        <v>55</v>
      </c>
      <c r="E1544" t="s">
        <v>1944</v>
      </c>
      <c r="F1544" t="s">
        <v>1754</v>
      </c>
      <c r="I1544">
        <f t="shared" si="144"/>
        <v>0</v>
      </c>
      <c r="J1544">
        <f t="shared" si="145"/>
        <v>0</v>
      </c>
      <c r="K1544">
        <f t="shared" si="146"/>
        <v>0</v>
      </c>
      <c r="L1544">
        <f t="shared" si="147"/>
        <v>1</v>
      </c>
      <c r="M1544">
        <f t="shared" si="148"/>
        <v>0</v>
      </c>
      <c r="N1544">
        <f t="shared" si="149"/>
        <v>0</v>
      </c>
    </row>
    <row r="1545" spans="1:14" x14ac:dyDescent="0.35">
      <c r="A1545" t="s">
        <v>947</v>
      </c>
      <c r="B1545" t="s">
        <v>2562</v>
      </c>
      <c r="C1545" s="7" t="s">
        <v>6</v>
      </c>
      <c r="D1545" t="s">
        <v>55</v>
      </c>
      <c r="E1545" t="s">
        <v>1911</v>
      </c>
      <c r="F1545" t="s">
        <v>1754</v>
      </c>
      <c r="I1545">
        <f t="shared" si="144"/>
        <v>0</v>
      </c>
      <c r="J1545">
        <f t="shared" si="145"/>
        <v>0</v>
      </c>
      <c r="K1545">
        <f t="shared" si="146"/>
        <v>0</v>
      </c>
      <c r="L1545">
        <f t="shared" si="147"/>
        <v>1</v>
      </c>
      <c r="M1545">
        <f t="shared" si="148"/>
        <v>0</v>
      </c>
      <c r="N1545">
        <f t="shared" si="149"/>
        <v>0</v>
      </c>
    </row>
    <row r="1546" spans="1:14" x14ac:dyDescent="0.35">
      <c r="A1546" t="s">
        <v>947</v>
      </c>
      <c r="B1546" t="s">
        <v>2562</v>
      </c>
      <c r="C1546" s="7" t="s">
        <v>6</v>
      </c>
      <c r="D1546" t="s">
        <v>55</v>
      </c>
      <c r="E1546" t="s">
        <v>1910</v>
      </c>
      <c r="F1546" t="s">
        <v>1754</v>
      </c>
      <c r="I1546">
        <f t="shared" si="144"/>
        <v>0</v>
      </c>
      <c r="J1546">
        <f t="shared" si="145"/>
        <v>0</v>
      </c>
      <c r="K1546">
        <f t="shared" si="146"/>
        <v>0</v>
      </c>
      <c r="L1546">
        <f t="shared" si="147"/>
        <v>1</v>
      </c>
      <c r="M1546">
        <f t="shared" si="148"/>
        <v>0</v>
      </c>
      <c r="N1546">
        <f t="shared" si="149"/>
        <v>0</v>
      </c>
    </row>
    <row r="1547" spans="1:14" x14ac:dyDescent="0.35">
      <c r="A1547" t="s">
        <v>1610</v>
      </c>
      <c r="B1547" t="s">
        <v>2563</v>
      </c>
      <c r="C1547" s="7" t="s">
        <v>6</v>
      </c>
      <c r="D1547" t="s">
        <v>92</v>
      </c>
      <c r="E1547" t="s">
        <v>1815</v>
      </c>
      <c r="F1547" t="s">
        <v>1754</v>
      </c>
      <c r="G1547" t="s">
        <v>2564</v>
      </c>
      <c r="H1547" t="s">
        <v>2565</v>
      </c>
      <c r="I1547">
        <f t="shared" si="144"/>
        <v>0</v>
      </c>
      <c r="J1547">
        <f t="shared" si="145"/>
        <v>0</v>
      </c>
      <c r="K1547">
        <f t="shared" si="146"/>
        <v>0</v>
      </c>
      <c r="L1547">
        <f t="shared" si="147"/>
        <v>1</v>
      </c>
      <c r="M1547">
        <f t="shared" si="148"/>
        <v>0</v>
      </c>
      <c r="N1547">
        <f t="shared" si="149"/>
        <v>1</v>
      </c>
    </row>
    <row r="1548" spans="1:14" x14ac:dyDescent="0.35">
      <c r="A1548" t="s">
        <v>1610</v>
      </c>
      <c r="B1548" t="s">
        <v>2563</v>
      </c>
      <c r="C1548" s="7" t="s">
        <v>6</v>
      </c>
      <c r="D1548" t="s">
        <v>92</v>
      </c>
      <c r="E1548" t="s">
        <v>1806</v>
      </c>
      <c r="F1548" t="s">
        <v>1754</v>
      </c>
      <c r="G1548" t="s">
        <v>2564</v>
      </c>
      <c r="H1548" t="s">
        <v>2565</v>
      </c>
      <c r="I1548">
        <f t="shared" si="144"/>
        <v>0</v>
      </c>
      <c r="J1548">
        <f t="shared" si="145"/>
        <v>0</v>
      </c>
      <c r="K1548">
        <f t="shared" si="146"/>
        <v>0</v>
      </c>
      <c r="L1548">
        <f t="shared" si="147"/>
        <v>1</v>
      </c>
      <c r="M1548">
        <f t="shared" si="148"/>
        <v>0</v>
      </c>
      <c r="N1548">
        <f t="shared" si="149"/>
        <v>1</v>
      </c>
    </row>
    <row r="1549" spans="1:14" x14ac:dyDescent="0.35">
      <c r="A1549" t="s">
        <v>1610</v>
      </c>
      <c r="B1549" t="s">
        <v>2563</v>
      </c>
      <c r="C1549" s="7" t="s">
        <v>6</v>
      </c>
      <c r="D1549" t="s">
        <v>92</v>
      </c>
      <c r="E1549" t="s">
        <v>2566</v>
      </c>
      <c r="F1549" t="s">
        <v>1754</v>
      </c>
      <c r="G1549" t="s">
        <v>2564</v>
      </c>
      <c r="H1549" t="s">
        <v>2565</v>
      </c>
      <c r="I1549">
        <f t="shared" si="144"/>
        <v>0</v>
      </c>
      <c r="J1549">
        <f t="shared" si="145"/>
        <v>0</v>
      </c>
      <c r="K1549">
        <f t="shared" si="146"/>
        <v>0</v>
      </c>
      <c r="L1549">
        <f t="shared" si="147"/>
        <v>1</v>
      </c>
      <c r="M1549">
        <f t="shared" si="148"/>
        <v>0</v>
      </c>
      <c r="N1549">
        <f t="shared" si="149"/>
        <v>1</v>
      </c>
    </row>
    <row r="1550" spans="1:14" x14ac:dyDescent="0.35">
      <c r="A1550" t="s">
        <v>1610</v>
      </c>
      <c r="B1550" t="s">
        <v>2563</v>
      </c>
      <c r="C1550" s="7" t="s">
        <v>6</v>
      </c>
      <c r="D1550" t="s">
        <v>92</v>
      </c>
      <c r="E1550" t="s">
        <v>1894</v>
      </c>
      <c r="F1550" t="s">
        <v>1754</v>
      </c>
      <c r="G1550" t="s">
        <v>2564</v>
      </c>
      <c r="H1550" t="s">
        <v>2565</v>
      </c>
      <c r="I1550">
        <f t="shared" si="144"/>
        <v>0</v>
      </c>
      <c r="J1550">
        <f t="shared" si="145"/>
        <v>0</v>
      </c>
      <c r="K1550">
        <f t="shared" si="146"/>
        <v>0</v>
      </c>
      <c r="L1550">
        <f t="shared" si="147"/>
        <v>1</v>
      </c>
      <c r="M1550">
        <f t="shared" si="148"/>
        <v>0</v>
      </c>
      <c r="N1550">
        <f t="shared" si="149"/>
        <v>1</v>
      </c>
    </row>
    <row r="1551" spans="1:14" x14ac:dyDescent="0.35">
      <c r="A1551" t="s">
        <v>1610</v>
      </c>
      <c r="B1551" t="s">
        <v>2563</v>
      </c>
      <c r="C1551" s="7" t="s">
        <v>6</v>
      </c>
      <c r="D1551" t="s">
        <v>92</v>
      </c>
      <c r="E1551" t="s">
        <v>2567</v>
      </c>
      <c r="F1551" t="s">
        <v>1727</v>
      </c>
      <c r="G1551" t="s">
        <v>2564</v>
      </c>
      <c r="H1551" t="s">
        <v>2565</v>
      </c>
      <c r="I1551">
        <f t="shared" si="144"/>
        <v>0</v>
      </c>
      <c r="J1551">
        <f t="shared" si="145"/>
        <v>0</v>
      </c>
      <c r="K1551">
        <f t="shared" si="146"/>
        <v>0</v>
      </c>
      <c r="L1551">
        <f t="shared" si="147"/>
        <v>0</v>
      </c>
      <c r="M1551">
        <f t="shared" si="148"/>
        <v>1</v>
      </c>
      <c r="N1551">
        <f t="shared" si="149"/>
        <v>1</v>
      </c>
    </row>
    <row r="1552" spans="1:14" x14ac:dyDescent="0.35">
      <c r="A1552" t="s">
        <v>1610</v>
      </c>
      <c r="B1552" t="s">
        <v>2563</v>
      </c>
      <c r="C1552" s="7" t="s">
        <v>6</v>
      </c>
      <c r="D1552" t="s">
        <v>92</v>
      </c>
      <c r="E1552" t="s">
        <v>1828</v>
      </c>
      <c r="F1552" t="s">
        <v>1754</v>
      </c>
      <c r="G1552" t="s">
        <v>2564</v>
      </c>
      <c r="H1552" t="s">
        <v>2565</v>
      </c>
      <c r="I1552">
        <f t="shared" si="144"/>
        <v>0</v>
      </c>
      <c r="J1552">
        <f t="shared" si="145"/>
        <v>0</v>
      </c>
      <c r="K1552">
        <f t="shared" si="146"/>
        <v>0</v>
      </c>
      <c r="L1552">
        <f t="shared" si="147"/>
        <v>1</v>
      </c>
      <c r="M1552">
        <f t="shared" si="148"/>
        <v>0</v>
      </c>
      <c r="N1552">
        <f t="shared" si="149"/>
        <v>1</v>
      </c>
    </row>
    <row r="1553" spans="1:14" x14ac:dyDescent="0.35">
      <c r="A1553" t="s">
        <v>1610</v>
      </c>
      <c r="B1553" t="s">
        <v>2563</v>
      </c>
      <c r="C1553" s="7" t="s">
        <v>6</v>
      </c>
      <c r="D1553" t="s">
        <v>92</v>
      </c>
      <c r="E1553" t="s">
        <v>2002</v>
      </c>
      <c r="F1553" t="s">
        <v>1754</v>
      </c>
      <c r="G1553" t="s">
        <v>2564</v>
      </c>
      <c r="H1553" t="s">
        <v>2565</v>
      </c>
      <c r="I1553">
        <f t="shared" si="144"/>
        <v>0</v>
      </c>
      <c r="J1553">
        <f t="shared" si="145"/>
        <v>0</v>
      </c>
      <c r="K1553">
        <f t="shared" si="146"/>
        <v>0</v>
      </c>
      <c r="L1553">
        <f t="shared" si="147"/>
        <v>1</v>
      </c>
      <c r="M1553">
        <f t="shared" si="148"/>
        <v>0</v>
      </c>
      <c r="N1553">
        <f t="shared" si="149"/>
        <v>1</v>
      </c>
    </row>
    <row r="1554" spans="1:14" x14ac:dyDescent="0.35">
      <c r="A1554" t="s">
        <v>1610</v>
      </c>
      <c r="B1554" t="s">
        <v>2563</v>
      </c>
      <c r="C1554" s="7" t="s">
        <v>6</v>
      </c>
      <c r="D1554" t="s">
        <v>92</v>
      </c>
      <c r="E1554" t="s">
        <v>1817</v>
      </c>
      <c r="F1554" t="s">
        <v>1754</v>
      </c>
      <c r="G1554" t="s">
        <v>2564</v>
      </c>
      <c r="H1554" t="s">
        <v>2565</v>
      </c>
      <c r="I1554">
        <f t="shared" si="144"/>
        <v>0</v>
      </c>
      <c r="J1554">
        <f t="shared" si="145"/>
        <v>0</v>
      </c>
      <c r="K1554">
        <f t="shared" si="146"/>
        <v>0</v>
      </c>
      <c r="L1554">
        <f t="shared" si="147"/>
        <v>1</v>
      </c>
      <c r="M1554">
        <f t="shared" si="148"/>
        <v>0</v>
      </c>
      <c r="N1554">
        <f t="shared" si="149"/>
        <v>1</v>
      </c>
    </row>
    <row r="1555" spans="1:14" x14ac:dyDescent="0.35">
      <c r="A1555" t="s">
        <v>1610</v>
      </c>
      <c r="B1555" t="s">
        <v>2563</v>
      </c>
      <c r="C1555" s="7" t="s">
        <v>6</v>
      </c>
      <c r="D1555" t="s">
        <v>92</v>
      </c>
      <c r="E1555" t="s">
        <v>2568</v>
      </c>
      <c r="F1555" t="s">
        <v>1727</v>
      </c>
      <c r="G1555" t="s">
        <v>2564</v>
      </c>
      <c r="H1555" t="s">
        <v>2565</v>
      </c>
      <c r="I1555">
        <f t="shared" si="144"/>
        <v>0</v>
      </c>
      <c r="J1555">
        <f t="shared" si="145"/>
        <v>0</v>
      </c>
      <c r="K1555">
        <f t="shared" si="146"/>
        <v>0</v>
      </c>
      <c r="L1555">
        <f t="shared" si="147"/>
        <v>0</v>
      </c>
      <c r="M1555">
        <f t="shared" si="148"/>
        <v>1</v>
      </c>
      <c r="N1555">
        <f t="shared" si="149"/>
        <v>1</v>
      </c>
    </row>
    <row r="1556" spans="1:14" x14ac:dyDescent="0.35">
      <c r="A1556" t="s">
        <v>1610</v>
      </c>
      <c r="B1556" t="s">
        <v>2563</v>
      </c>
      <c r="C1556" s="7" t="s">
        <v>6</v>
      </c>
      <c r="D1556" t="s">
        <v>92</v>
      </c>
      <c r="E1556" t="s">
        <v>2569</v>
      </c>
      <c r="F1556" t="s">
        <v>1760</v>
      </c>
      <c r="G1556" t="s">
        <v>2564</v>
      </c>
      <c r="H1556" t="s">
        <v>2565</v>
      </c>
      <c r="I1556">
        <f t="shared" si="144"/>
        <v>0</v>
      </c>
      <c r="J1556">
        <f t="shared" si="145"/>
        <v>0</v>
      </c>
      <c r="K1556">
        <f t="shared" si="146"/>
        <v>1</v>
      </c>
      <c r="L1556">
        <f t="shared" si="147"/>
        <v>0</v>
      </c>
      <c r="M1556">
        <f t="shared" si="148"/>
        <v>0</v>
      </c>
      <c r="N1556">
        <f t="shared" si="149"/>
        <v>1</v>
      </c>
    </row>
    <row r="1557" spans="1:14" x14ac:dyDescent="0.35">
      <c r="A1557" t="s">
        <v>1610</v>
      </c>
      <c r="B1557" t="s">
        <v>2563</v>
      </c>
      <c r="C1557" s="7" t="s">
        <v>6</v>
      </c>
      <c r="D1557" t="s">
        <v>92</v>
      </c>
      <c r="E1557" t="s">
        <v>2261</v>
      </c>
      <c r="F1557" t="s">
        <v>1754</v>
      </c>
      <c r="G1557" t="s">
        <v>2564</v>
      </c>
      <c r="H1557" t="s">
        <v>2565</v>
      </c>
      <c r="I1557">
        <f t="shared" si="144"/>
        <v>0</v>
      </c>
      <c r="J1557">
        <f t="shared" si="145"/>
        <v>0</v>
      </c>
      <c r="K1557">
        <f t="shared" si="146"/>
        <v>0</v>
      </c>
      <c r="L1557">
        <f t="shared" si="147"/>
        <v>1</v>
      </c>
      <c r="M1557">
        <f t="shared" si="148"/>
        <v>0</v>
      </c>
      <c r="N1557">
        <f t="shared" si="149"/>
        <v>1</v>
      </c>
    </row>
    <row r="1558" spans="1:14" x14ac:dyDescent="0.35">
      <c r="A1558" t="s">
        <v>1610</v>
      </c>
      <c r="B1558" t="s">
        <v>2563</v>
      </c>
      <c r="C1558" s="7" t="s">
        <v>9</v>
      </c>
      <c r="D1558" t="s">
        <v>92</v>
      </c>
      <c r="E1558" t="s">
        <v>1807</v>
      </c>
      <c r="F1558" t="s">
        <v>1754</v>
      </c>
      <c r="G1558" t="s">
        <v>2564</v>
      </c>
      <c r="H1558" t="s">
        <v>2565</v>
      </c>
      <c r="I1558">
        <f t="shared" si="144"/>
        <v>0</v>
      </c>
      <c r="J1558">
        <f t="shared" si="145"/>
        <v>0</v>
      </c>
      <c r="K1558">
        <f t="shared" si="146"/>
        <v>0</v>
      </c>
      <c r="L1558">
        <f t="shared" si="147"/>
        <v>1</v>
      </c>
      <c r="M1558">
        <f t="shared" si="148"/>
        <v>0</v>
      </c>
      <c r="N1558">
        <f t="shared" si="149"/>
        <v>1</v>
      </c>
    </row>
    <row r="1559" spans="1:14" x14ac:dyDescent="0.35">
      <c r="A1559" t="s">
        <v>1610</v>
      </c>
      <c r="B1559" t="s">
        <v>2563</v>
      </c>
      <c r="C1559" s="7" t="s">
        <v>9</v>
      </c>
      <c r="D1559" t="s">
        <v>92</v>
      </c>
      <c r="E1559" t="s">
        <v>1896</v>
      </c>
      <c r="F1559" t="s">
        <v>1754</v>
      </c>
      <c r="G1559" t="s">
        <v>2564</v>
      </c>
      <c r="H1559" t="s">
        <v>2565</v>
      </c>
      <c r="I1559">
        <f t="shared" si="144"/>
        <v>0</v>
      </c>
      <c r="J1559">
        <f t="shared" si="145"/>
        <v>0</v>
      </c>
      <c r="K1559">
        <f t="shared" si="146"/>
        <v>0</v>
      </c>
      <c r="L1559">
        <f t="shared" si="147"/>
        <v>1</v>
      </c>
      <c r="M1559">
        <f t="shared" si="148"/>
        <v>0</v>
      </c>
      <c r="N1559">
        <f t="shared" si="149"/>
        <v>1</v>
      </c>
    </row>
    <row r="1560" spans="1:14" x14ac:dyDescent="0.35">
      <c r="A1560" t="s">
        <v>1610</v>
      </c>
      <c r="B1560" t="s">
        <v>2563</v>
      </c>
      <c r="C1560" s="7" t="s">
        <v>9</v>
      </c>
      <c r="D1560" t="s">
        <v>92</v>
      </c>
      <c r="E1560" t="s">
        <v>2003</v>
      </c>
      <c r="F1560" t="s">
        <v>1754</v>
      </c>
      <c r="G1560" t="s">
        <v>2564</v>
      </c>
      <c r="H1560" t="s">
        <v>2565</v>
      </c>
      <c r="I1560">
        <f t="shared" si="144"/>
        <v>0</v>
      </c>
      <c r="J1560">
        <f t="shared" si="145"/>
        <v>0</v>
      </c>
      <c r="K1560">
        <f t="shared" si="146"/>
        <v>0</v>
      </c>
      <c r="L1560">
        <f t="shared" si="147"/>
        <v>1</v>
      </c>
      <c r="M1560">
        <f t="shared" si="148"/>
        <v>0</v>
      </c>
      <c r="N1560">
        <f t="shared" si="149"/>
        <v>1</v>
      </c>
    </row>
    <row r="1561" spans="1:14" x14ac:dyDescent="0.35">
      <c r="A1561" t="s">
        <v>397</v>
      </c>
      <c r="B1561" t="s">
        <v>1788</v>
      </c>
      <c r="C1561" s="7" t="s">
        <v>9</v>
      </c>
      <c r="D1561" t="s">
        <v>55</v>
      </c>
      <c r="E1561" t="s">
        <v>1828</v>
      </c>
      <c r="F1561" t="s">
        <v>1754</v>
      </c>
      <c r="I1561">
        <f t="shared" si="144"/>
        <v>0</v>
      </c>
      <c r="J1561">
        <f t="shared" si="145"/>
        <v>0</v>
      </c>
      <c r="K1561">
        <f t="shared" si="146"/>
        <v>0</v>
      </c>
      <c r="L1561">
        <f t="shared" si="147"/>
        <v>1</v>
      </c>
      <c r="M1561">
        <f t="shared" si="148"/>
        <v>0</v>
      </c>
      <c r="N1561">
        <f t="shared" si="149"/>
        <v>0</v>
      </c>
    </row>
    <row r="1562" spans="1:14" x14ac:dyDescent="0.35">
      <c r="A1562" t="s">
        <v>397</v>
      </c>
      <c r="B1562" t="s">
        <v>1788</v>
      </c>
      <c r="C1562" s="7" t="s">
        <v>9</v>
      </c>
      <c r="D1562" t="s">
        <v>55</v>
      </c>
      <c r="E1562" t="s">
        <v>2175</v>
      </c>
      <c r="F1562" t="s">
        <v>1727</v>
      </c>
      <c r="I1562">
        <f t="shared" si="144"/>
        <v>0</v>
      </c>
      <c r="J1562">
        <f t="shared" si="145"/>
        <v>0</v>
      </c>
      <c r="K1562">
        <f t="shared" si="146"/>
        <v>0</v>
      </c>
      <c r="L1562">
        <f t="shared" si="147"/>
        <v>0</v>
      </c>
      <c r="M1562">
        <f t="shared" si="148"/>
        <v>1</v>
      </c>
      <c r="N1562">
        <f t="shared" si="149"/>
        <v>0</v>
      </c>
    </row>
    <row r="1563" spans="1:14" x14ac:dyDescent="0.35">
      <c r="A1563" t="s">
        <v>976</v>
      </c>
      <c r="B1563" t="s">
        <v>2570</v>
      </c>
      <c r="C1563" s="7" t="s">
        <v>9</v>
      </c>
      <c r="D1563" t="s">
        <v>51</v>
      </c>
      <c r="E1563" t="s">
        <v>1846</v>
      </c>
      <c r="F1563" t="s">
        <v>1760</v>
      </c>
      <c r="G1563" t="s">
        <v>2571</v>
      </c>
      <c r="H1563" t="s">
        <v>2073</v>
      </c>
      <c r="I1563">
        <f t="shared" si="144"/>
        <v>0</v>
      </c>
      <c r="J1563">
        <f t="shared" si="145"/>
        <v>0</v>
      </c>
      <c r="K1563">
        <f t="shared" si="146"/>
        <v>1</v>
      </c>
      <c r="L1563">
        <f t="shared" si="147"/>
        <v>0</v>
      </c>
      <c r="M1563">
        <f t="shared" si="148"/>
        <v>0</v>
      </c>
      <c r="N1563">
        <f t="shared" si="149"/>
        <v>1</v>
      </c>
    </row>
    <row r="1564" spans="1:14" x14ac:dyDescent="0.35">
      <c r="A1564" t="s">
        <v>976</v>
      </c>
      <c r="B1564" t="s">
        <v>2570</v>
      </c>
      <c r="C1564" s="7" t="s">
        <v>9</v>
      </c>
      <c r="D1564" t="s">
        <v>51</v>
      </c>
      <c r="E1564" t="s">
        <v>1840</v>
      </c>
      <c r="F1564" t="s">
        <v>1760</v>
      </c>
      <c r="G1564" t="s">
        <v>2571</v>
      </c>
      <c r="H1564" t="s">
        <v>2073</v>
      </c>
      <c r="I1564">
        <f t="shared" si="144"/>
        <v>0</v>
      </c>
      <c r="J1564">
        <f t="shared" si="145"/>
        <v>0</v>
      </c>
      <c r="K1564">
        <f t="shared" si="146"/>
        <v>1</v>
      </c>
      <c r="L1564">
        <f t="shared" si="147"/>
        <v>0</v>
      </c>
      <c r="M1564">
        <f t="shared" si="148"/>
        <v>0</v>
      </c>
      <c r="N1564">
        <f t="shared" si="149"/>
        <v>1</v>
      </c>
    </row>
    <row r="1565" spans="1:14" x14ac:dyDescent="0.35">
      <c r="A1565" t="s">
        <v>1267</v>
      </c>
      <c r="B1565" t="s">
        <v>2572</v>
      </c>
      <c r="C1565" s="7" t="s">
        <v>9</v>
      </c>
      <c r="D1565" t="s">
        <v>55</v>
      </c>
      <c r="E1565" t="s">
        <v>2064</v>
      </c>
      <c r="F1565" t="s">
        <v>1727</v>
      </c>
      <c r="G1565" t="s">
        <v>2573</v>
      </c>
      <c r="H1565" t="s">
        <v>2574</v>
      </c>
      <c r="I1565">
        <f t="shared" si="144"/>
        <v>0</v>
      </c>
      <c r="J1565">
        <f t="shared" si="145"/>
        <v>0</v>
      </c>
      <c r="K1565">
        <f t="shared" si="146"/>
        <v>0</v>
      </c>
      <c r="L1565">
        <f t="shared" si="147"/>
        <v>0</v>
      </c>
      <c r="M1565">
        <f t="shared" si="148"/>
        <v>1</v>
      </c>
      <c r="N1565">
        <f t="shared" si="149"/>
        <v>1</v>
      </c>
    </row>
    <row r="1566" spans="1:14" x14ac:dyDescent="0.35">
      <c r="A1566" t="s">
        <v>1267</v>
      </c>
      <c r="B1566" t="s">
        <v>2572</v>
      </c>
      <c r="C1566" s="7" t="s">
        <v>9</v>
      </c>
      <c r="D1566" t="s">
        <v>55</v>
      </c>
      <c r="E1566" t="s">
        <v>1946</v>
      </c>
      <c r="F1566" t="s">
        <v>1754</v>
      </c>
      <c r="G1566" t="s">
        <v>2573</v>
      </c>
      <c r="H1566" t="s">
        <v>2574</v>
      </c>
      <c r="I1566">
        <f t="shared" si="144"/>
        <v>0</v>
      </c>
      <c r="J1566">
        <f t="shared" si="145"/>
        <v>0</v>
      </c>
      <c r="K1566">
        <f t="shared" si="146"/>
        <v>0</v>
      </c>
      <c r="L1566">
        <f t="shared" si="147"/>
        <v>1</v>
      </c>
      <c r="M1566">
        <f t="shared" si="148"/>
        <v>0</v>
      </c>
      <c r="N1566">
        <f t="shared" si="149"/>
        <v>1</v>
      </c>
    </row>
    <row r="1567" spans="1:14" x14ac:dyDescent="0.35">
      <c r="A1567" t="s">
        <v>1267</v>
      </c>
      <c r="B1567" t="s">
        <v>2572</v>
      </c>
      <c r="C1567" s="7" t="s">
        <v>9</v>
      </c>
      <c r="D1567" t="s">
        <v>55</v>
      </c>
      <c r="E1567" t="s">
        <v>1810</v>
      </c>
      <c r="F1567" t="s">
        <v>1754</v>
      </c>
      <c r="G1567" t="s">
        <v>2573</v>
      </c>
      <c r="H1567" t="s">
        <v>2574</v>
      </c>
      <c r="I1567">
        <f t="shared" si="144"/>
        <v>0</v>
      </c>
      <c r="J1567">
        <f t="shared" si="145"/>
        <v>0</v>
      </c>
      <c r="K1567">
        <f t="shared" si="146"/>
        <v>0</v>
      </c>
      <c r="L1567">
        <f t="shared" si="147"/>
        <v>1</v>
      </c>
      <c r="M1567">
        <f t="shared" si="148"/>
        <v>0</v>
      </c>
      <c r="N1567">
        <f t="shared" si="149"/>
        <v>1</v>
      </c>
    </row>
    <row r="1568" spans="1:14" x14ac:dyDescent="0.35">
      <c r="A1568" t="s">
        <v>1267</v>
      </c>
      <c r="B1568" t="s">
        <v>2572</v>
      </c>
      <c r="C1568" s="7" t="s">
        <v>9</v>
      </c>
      <c r="D1568" t="s">
        <v>55</v>
      </c>
      <c r="E1568" t="s">
        <v>2224</v>
      </c>
      <c r="F1568" t="s">
        <v>1727</v>
      </c>
      <c r="G1568" t="s">
        <v>2573</v>
      </c>
      <c r="H1568" t="s">
        <v>2574</v>
      </c>
      <c r="I1568">
        <f t="shared" si="144"/>
        <v>0</v>
      </c>
      <c r="J1568">
        <f t="shared" si="145"/>
        <v>0</v>
      </c>
      <c r="K1568">
        <f t="shared" si="146"/>
        <v>0</v>
      </c>
      <c r="L1568">
        <f t="shared" si="147"/>
        <v>0</v>
      </c>
      <c r="M1568">
        <f t="shared" si="148"/>
        <v>1</v>
      </c>
      <c r="N1568">
        <f t="shared" si="149"/>
        <v>1</v>
      </c>
    </row>
    <row r="1569" spans="1:14" x14ac:dyDescent="0.35">
      <c r="A1569" t="s">
        <v>98</v>
      </c>
      <c r="B1569" t="s">
        <v>2575</v>
      </c>
      <c r="C1569" s="7" t="s">
        <v>9</v>
      </c>
      <c r="D1569" t="s">
        <v>100</v>
      </c>
      <c r="E1569" t="s">
        <v>1849</v>
      </c>
      <c r="F1569" t="s">
        <v>1754</v>
      </c>
      <c r="I1569">
        <f t="shared" si="144"/>
        <v>0</v>
      </c>
      <c r="J1569">
        <f t="shared" si="145"/>
        <v>0</v>
      </c>
      <c r="K1569">
        <f t="shared" si="146"/>
        <v>0</v>
      </c>
      <c r="L1569">
        <f t="shared" si="147"/>
        <v>1</v>
      </c>
      <c r="M1569">
        <f t="shared" si="148"/>
        <v>0</v>
      </c>
      <c r="N1569">
        <f t="shared" si="149"/>
        <v>0</v>
      </c>
    </row>
    <row r="1570" spans="1:14" x14ac:dyDescent="0.35">
      <c r="A1570" t="s">
        <v>371</v>
      </c>
      <c r="B1570" t="s">
        <v>2576</v>
      </c>
      <c r="C1570" s="7" t="s">
        <v>9</v>
      </c>
      <c r="D1570" t="s">
        <v>51</v>
      </c>
      <c r="E1570" t="s">
        <v>1840</v>
      </c>
      <c r="F1570" t="s">
        <v>1760</v>
      </c>
      <c r="G1570" t="s">
        <v>2577</v>
      </c>
      <c r="H1570" t="s">
        <v>2578</v>
      </c>
      <c r="I1570">
        <f t="shared" si="144"/>
        <v>0</v>
      </c>
      <c r="J1570">
        <f t="shared" si="145"/>
        <v>0</v>
      </c>
      <c r="K1570">
        <f t="shared" si="146"/>
        <v>1</v>
      </c>
      <c r="L1570">
        <f t="shared" si="147"/>
        <v>0</v>
      </c>
      <c r="M1570">
        <f t="shared" si="148"/>
        <v>0</v>
      </c>
      <c r="N1570">
        <f t="shared" si="149"/>
        <v>1</v>
      </c>
    </row>
    <row r="1571" spans="1:14" x14ac:dyDescent="0.35">
      <c r="A1571" t="s">
        <v>371</v>
      </c>
      <c r="B1571" t="s">
        <v>2576</v>
      </c>
      <c r="C1571" s="7" t="s">
        <v>9</v>
      </c>
      <c r="D1571" t="s">
        <v>51</v>
      </c>
      <c r="E1571" t="s">
        <v>1822</v>
      </c>
      <c r="F1571" t="s">
        <v>1760</v>
      </c>
      <c r="G1571" t="s">
        <v>2577</v>
      </c>
      <c r="H1571" t="s">
        <v>2578</v>
      </c>
      <c r="I1571">
        <f t="shared" si="144"/>
        <v>0</v>
      </c>
      <c r="J1571">
        <f t="shared" si="145"/>
        <v>0</v>
      </c>
      <c r="K1571">
        <f t="shared" si="146"/>
        <v>1</v>
      </c>
      <c r="L1571">
        <f t="shared" si="147"/>
        <v>0</v>
      </c>
      <c r="M1571">
        <f t="shared" si="148"/>
        <v>0</v>
      </c>
      <c r="N1571">
        <f t="shared" si="149"/>
        <v>1</v>
      </c>
    </row>
    <row r="1572" spans="1:14" x14ac:dyDescent="0.35">
      <c r="A1572" t="s">
        <v>371</v>
      </c>
      <c r="B1572" t="s">
        <v>2576</v>
      </c>
      <c r="C1572" s="7" t="s">
        <v>9</v>
      </c>
      <c r="D1572" t="s">
        <v>51</v>
      </c>
      <c r="E1572" t="s">
        <v>1821</v>
      </c>
      <c r="F1572" t="s">
        <v>1760</v>
      </c>
      <c r="G1572" t="s">
        <v>2577</v>
      </c>
      <c r="H1572" t="s">
        <v>2578</v>
      </c>
      <c r="I1572">
        <f t="shared" si="144"/>
        <v>0</v>
      </c>
      <c r="J1572">
        <f t="shared" si="145"/>
        <v>0</v>
      </c>
      <c r="K1572">
        <f t="shared" si="146"/>
        <v>1</v>
      </c>
      <c r="L1572">
        <f t="shared" si="147"/>
        <v>0</v>
      </c>
      <c r="M1572">
        <f t="shared" si="148"/>
        <v>0</v>
      </c>
      <c r="N1572">
        <f t="shared" si="149"/>
        <v>1</v>
      </c>
    </row>
    <row r="1573" spans="1:14" x14ac:dyDescent="0.35">
      <c r="A1573" t="s">
        <v>1238</v>
      </c>
      <c r="B1573" t="s">
        <v>1789</v>
      </c>
      <c r="C1573" s="7" t="s">
        <v>9</v>
      </c>
      <c r="D1573" t="s">
        <v>1239</v>
      </c>
      <c r="E1573" t="s">
        <v>2106</v>
      </c>
      <c r="F1573" t="s">
        <v>1805</v>
      </c>
      <c r="I1573">
        <f t="shared" si="144"/>
        <v>0</v>
      </c>
      <c r="J1573">
        <f t="shared" si="145"/>
        <v>1</v>
      </c>
      <c r="K1573">
        <f t="shared" si="146"/>
        <v>0</v>
      </c>
      <c r="L1573">
        <f t="shared" si="147"/>
        <v>0</v>
      </c>
      <c r="M1573">
        <f t="shared" si="148"/>
        <v>0</v>
      </c>
      <c r="N1573">
        <f t="shared" si="149"/>
        <v>0</v>
      </c>
    </row>
    <row r="1574" spans="1:14" x14ac:dyDescent="0.35">
      <c r="A1574" t="s">
        <v>1238</v>
      </c>
      <c r="B1574" t="s">
        <v>1789</v>
      </c>
      <c r="C1574" s="7" t="s">
        <v>9</v>
      </c>
      <c r="D1574" t="s">
        <v>1239</v>
      </c>
      <c r="E1574" t="s">
        <v>1810</v>
      </c>
      <c r="F1574" t="s">
        <v>1754</v>
      </c>
      <c r="I1574">
        <f t="shared" si="144"/>
        <v>0</v>
      </c>
      <c r="J1574">
        <f t="shared" si="145"/>
        <v>0</v>
      </c>
      <c r="K1574">
        <f t="shared" si="146"/>
        <v>0</v>
      </c>
      <c r="L1574">
        <f t="shared" si="147"/>
        <v>1</v>
      </c>
      <c r="M1574">
        <f t="shared" si="148"/>
        <v>0</v>
      </c>
      <c r="N1574">
        <f t="shared" si="149"/>
        <v>0</v>
      </c>
    </row>
    <row r="1575" spans="1:14" x14ac:dyDescent="0.35">
      <c r="A1575" t="s">
        <v>1238</v>
      </c>
      <c r="B1575" t="s">
        <v>1789</v>
      </c>
      <c r="C1575" s="7" t="s">
        <v>9</v>
      </c>
      <c r="D1575" t="s">
        <v>1239</v>
      </c>
      <c r="E1575" t="s">
        <v>1953</v>
      </c>
      <c r="F1575" t="s">
        <v>1754</v>
      </c>
      <c r="I1575">
        <f t="shared" si="144"/>
        <v>0</v>
      </c>
      <c r="J1575">
        <f t="shared" si="145"/>
        <v>0</v>
      </c>
      <c r="K1575">
        <f t="shared" si="146"/>
        <v>0</v>
      </c>
      <c r="L1575">
        <f t="shared" si="147"/>
        <v>1</v>
      </c>
      <c r="M1575">
        <f t="shared" si="148"/>
        <v>0</v>
      </c>
      <c r="N1575">
        <f t="shared" si="149"/>
        <v>0</v>
      </c>
    </row>
    <row r="1576" spans="1:14" x14ac:dyDescent="0.35">
      <c r="A1576" t="s">
        <v>1238</v>
      </c>
      <c r="B1576" t="s">
        <v>1789</v>
      </c>
      <c r="C1576" s="7" t="s">
        <v>6</v>
      </c>
      <c r="D1576" t="s">
        <v>1239</v>
      </c>
      <c r="E1576" t="s">
        <v>1951</v>
      </c>
      <c r="F1576" t="s">
        <v>1754</v>
      </c>
      <c r="I1576">
        <f t="shared" si="144"/>
        <v>0</v>
      </c>
      <c r="J1576">
        <f t="shared" si="145"/>
        <v>0</v>
      </c>
      <c r="K1576">
        <f t="shared" si="146"/>
        <v>0</v>
      </c>
      <c r="L1576">
        <f t="shared" si="147"/>
        <v>1</v>
      </c>
      <c r="M1576">
        <f t="shared" si="148"/>
        <v>0</v>
      </c>
      <c r="N1576">
        <f t="shared" si="149"/>
        <v>0</v>
      </c>
    </row>
    <row r="1577" spans="1:14" x14ac:dyDescent="0.35">
      <c r="A1577" t="s">
        <v>1238</v>
      </c>
      <c r="B1577" t="s">
        <v>1789</v>
      </c>
      <c r="C1577" s="7" t="s">
        <v>6</v>
      </c>
      <c r="D1577" t="s">
        <v>1239</v>
      </c>
      <c r="E1577" t="s">
        <v>1825</v>
      </c>
      <c r="F1577" t="s">
        <v>1754</v>
      </c>
      <c r="I1577">
        <f t="shared" si="144"/>
        <v>0</v>
      </c>
      <c r="J1577">
        <f t="shared" si="145"/>
        <v>0</v>
      </c>
      <c r="K1577">
        <f t="shared" si="146"/>
        <v>0</v>
      </c>
      <c r="L1577">
        <f t="shared" si="147"/>
        <v>1</v>
      </c>
      <c r="M1577">
        <f t="shared" si="148"/>
        <v>0</v>
      </c>
      <c r="N1577">
        <f t="shared" si="149"/>
        <v>0</v>
      </c>
    </row>
    <row r="1578" spans="1:14" x14ac:dyDescent="0.35">
      <c r="A1578" t="s">
        <v>1238</v>
      </c>
      <c r="B1578" t="s">
        <v>1789</v>
      </c>
      <c r="C1578" s="7" t="s">
        <v>6</v>
      </c>
      <c r="D1578" t="s">
        <v>1239</v>
      </c>
      <c r="E1578" t="s">
        <v>1826</v>
      </c>
      <c r="F1578" t="s">
        <v>1754</v>
      </c>
      <c r="I1578">
        <f t="shared" si="144"/>
        <v>0</v>
      </c>
      <c r="J1578">
        <f t="shared" si="145"/>
        <v>0</v>
      </c>
      <c r="K1578">
        <f t="shared" si="146"/>
        <v>0</v>
      </c>
      <c r="L1578">
        <f t="shared" si="147"/>
        <v>1</v>
      </c>
      <c r="M1578">
        <f t="shared" si="148"/>
        <v>0</v>
      </c>
      <c r="N1578">
        <f t="shared" si="149"/>
        <v>0</v>
      </c>
    </row>
    <row r="1579" spans="1:14" x14ac:dyDescent="0.35">
      <c r="A1579" t="s">
        <v>1103</v>
      </c>
      <c r="B1579" t="s">
        <v>2579</v>
      </c>
      <c r="C1579" s="7" t="s">
        <v>6</v>
      </c>
      <c r="D1579" t="s">
        <v>1105</v>
      </c>
      <c r="E1579" t="s">
        <v>1894</v>
      </c>
      <c r="F1579" t="s">
        <v>1754</v>
      </c>
      <c r="I1579">
        <f t="shared" si="144"/>
        <v>0</v>
      </c>
      <c r="J1579">
        <f t="shared" si="145"/>
        <v>0</v>
      </c>
      <c r="K1579">
        <f t="shared" si="146"/>
        <v>0</v>
      </c>
      <c r="L1579">
        <f t="shared" si="147"/>
        <v>1</v>
      </c>
      <c r="M1579">
        <f t="shared" si="148"/>
        <v>0</v>
      </c>
      <c r="N1579">
        <f t="shared" si="149"/>
        <v>0</v>
      </c>
    </row>
    <row r="1580" spans="1:14" x14ac:dyDescent="0.35">
      <c r="A1580" t="s">
        <v>1103</v>
      </c>
      <c r="B1580" t="s">
        <v>2579</v>
      </c>
      <c r="C1580" s="7" t="s">
        <v>6</v>
      </c>
      <c r="D1580" t="s">
        <v>1105</v>
      </c>
      <c r="E1580" t="s">
        <v>1847</v>
      </c>
      <c r="F1580" t="s">
        <v>1754</v>
      </c>
      <c r="I1580">
        <f t="shared" si="144"/>
        <v>0</v>
      </c>
      <c r="J1580">
        <f t="shared" si="145"/>
        <v>0</v>
      </c>
      <c r="K1580">
        <f t="shared" si="146"/>
        <v>0</v>
      </c>
      <c r="L1580">
        <f t="shared" si="147"/>
        <v>1</v>
      </c>
      <c r="M1580">
        <f t="shared" si="148"/>
        <v>0</v>
      </c>
      <c r="N1580">
        <f t="shared" si="149"/>
        <v>0</v>
      </c>
    </row>
    <row r="1581" spans="1:14" x14ac:dyDescent="0.35">
      <c r="A1581" t="s">
        <v>1103</v>
      </c>
      <c r="B1581" t="s">
        <v>2579</v>
      </c>
      <c r="C1581" s="7" t="s">
        <v>6</v>
      </c>
      <c r="D1581" t="s">
        <v>1105</v>
      </c>
      <c r="E1581" t="s">
        <v>1896</v>
      </c>
      <c r="F1581" t="s">
        <v>1754</v>
      </c>
      <c r="I1581">
        <f t="shared" si="144"/>
        <v>0</v>
      </c>
      <c r="J1581">
        <f t="shared" si="145"/>
        <v>0</v>
      </c>
      <c r="K1581">
        <f t="shared" si="146"/>
        <v>0</v>
      </c>
      <c r="L1581">
        <f t="shared" si="147"/>
        <v>1</v>
      </c>
      <c r="M1581">
        <f t="shared" si="148"/>
        <v>0</v>
      </c>
      <c r="N1581">
        <f t="shared" si="149"/>
        <v>0</v>
      </c>
    </row>
    <row r="1582" spans="1:14" x14ac:dyDescent="0.35">
      <c r="A1582" t="s">
        <v>1103</v>
      </c>
      <c r="B1582" t="s">
        <v>2579</v>
      </c>
      <c r="C1582" s="7" t="s">
        <v>10</v>
      </c>
      <c r="D1582" t="s">
        <v>1105</v>
      </c>
      <c r="E1582" t="s">
        <v>1845</v>
      </c>
      <c r="F1582" t="s">
        <v>1754</v>
      </c>
      <c r="I1582">
        <f t="shared" si="144"/>
        <v>0</v>
      </c>
      <c r="J1582">
        <f t="shared" si="145"/>
        <v>0</v>
      </c>
      <c r="K1582">
        <f t="shared" si="146"/>
        <v>0</v>
      </c>
      <c r="L1582">
        <f t="shared" si="147"/>
        <v>1</v>
      </c>
      <c r="M1582">
        <f t="shared" si="148"/>
        <v>0</v>
      </c>
      <c r="N1582">
        <f t="shared" si="149"/>
        <v>0</v>
      </c>
    </row>
    <row r="1583" spans="1:14" x14ac:dyDescent="0.35">
      <c r="A1583" t="s">
        <v>1707</v>
      </c>
      <c r="B1583" t="s">
        <v>2580</v>
      </c>
      <c r="C1583" s="7" t="s">
        <v>10</v>
      </c>
      <c r="D1583" t="s">
        <v>55</v>
      </c>
      <c r="E1583" t="s">
        <v>1860</v>
      </c>
      <c r="F1583" t="s">
        <v>1754</v>
      </c>
      <c r="G1583" t="s">
        <v>2581</v>
      </c>
      <c r="H1583" t="s">
        <v>2318</v>
      </c>
      <c r="I1583">
        <f t="shared" si="144"/>
        <v>0</v>
      </c>
      <c r="J1583">
        <f t="shared" si="145"/>
        <v>0</v>
      </c>
      <c r="K1583">
        <f t="shared" si="146"/>
        <v>0</v>
      </c>
      <c r="L1583">
        <f t="shared" si="147"/>
        <v>1</v>
      </c>
      <c r="M1583">
        <f t="shared" si="148"/>
        <v>0</v>
      </c>
      <c r="N1583">
        <f t="shared" si="149"/>
        <v>1</v>
      </c>
    </row>
    <row r="1584" spans="1:14" x14ac:dyDescent="0.35">
      <c r="A1584" t="s">
        <v>1707</v>
      </c>
      <c r="B1584" t="s">
        <v>2580</v>
      </c>
      <c r="C1584" s="7" t="s">
        <v>10</v>
      </c>
      <c r="D1584" t="s">
        <v>55</v>
      </c>
      <c r="E1584" t="s">
        <v>1829</v>
      </c>
      <c r="F1584" t="s">
        <v>1754</v>
      </c>
      <c r="G1584" t="s">
        <v>2581</v>
      </c>
      <c r="H1584" t="s">
        <v>2318</v>
      </c>
      <c r="I1584">
        <f t="shared" si="144"/>
        <v>0</v>
      </c>
      <c r="J1584">
        <f t="shared" si="145"/>
        <v>0</v>
      </c>
      <c r="K1584">
        <f t="shared" si="146"/>
        <v>0</v>
      </c>
      <c r="L1584">
        <f t="shared" si="147"/>
        <v>1</v>
      </c>
      <c r="M1584">
        <f t="shared" si="148"/>
        <v>0</v>
      </c>
      <c r="N1584">
        <f t="shared" si="149"/>
        <v>1</v>
      </c>
    </row>
    <row r="1585" spans="1:14" x14ac:dyDescent="0.35">
      <c r="A1585" t="s">
        <v>1707</v>
      </c>
      <c r="B1585" t="s">
        <v>2580</v>
      </c>
      <c r="C1585" s="7" t="s">
        <v>10</v>
      </c>
      <c r="D1585" t="s">
        <v>55</v>
      </c>
      <c r="E1585" t="s">
        <v>1828</v>
      </c>
      <c r="F1585" t="s">
        <v>1754</v>
      </c>
      <c r="G1585" t="s">
        <v>2581</v>
      </c>
      <c r="H1585" t="s">
        <v>2318</v>
      </c>
      <c r="I1585">
        <f t="shared" si="144"/>
        <v>0</v>
      </c>
      <c r="J1585">
        <f t="shared" si="145"/>
        <v>0</v>
      </c>
      <c r="K1585">
        <f t="shared" si="146"/>
        <v>0</v>
      </c>
      <c r="L1585">
        <f t="shared" si="147"/>
        <v>1</v>
      </c>
      <c r="M1585">
        <f t="shared" si="148"/>
        <v>0</v>
      </c>
      <c r="N1585">
        <f t="shared" si="149"/>
        <v>1</v>
      </c>
    </row>
    <row r="1586" spans="1:14" x14ac:dyDescent="0.35">
      <c r="A1586" t="s">
        <v>1707</v>
      </c>
      <c r="B1586" t="s">
        <v>2580</v>
      </c>
      <c r="C1586" s="7" t="s">
        <v>10</v>
      </c>
      <c r="D1586" t="s">
        <v>55</v>
      </c>
      <c r="E1586" t="s">
        <v>1806</v>
      </c>
      <c r="F1586" t="s">
        <v>1754</v>
      </c>
      <c r="G1586" t="s">
        <v>2581</v>
      </c>
      <c r="H1586" t="s">
        <v>2318</v>
      </c>
      <c r="I1586">
        <f t="shared" si="144"/>
        <v>0</v>
      </c>
      <c r="J1586">
        <f t="shared" si="145"/>
        <v>0</v>
      </c>
      <c r="K1586">
        <f t="shared" si="146"/>
        <v>0</v>
      </c>
      <c r="L1586">
        <f t="shared" si="147"/>
        <v>1</v>
      </c>
      <c r="M1586">
        <f t="shared" si="148"/>
        <v>0</v>
      </c>
      <c r="N1586">
        <f t="shared" si="149"/>
        <v>1</v>
      </c>
    </row>
    <row r="1587" spans="1:14" x14ac:dyDescent="0.35">
      <c r="A1587" t="s">
        <v>1707</v>
      </c>
      <c r="B1587" t="s">
        <v>2580</v>
      </c>
      <c r="C1587" s="7" t="s">
        <v>10</v>
      </c>
      <c r="D1587" t="s">
        <v>55</v>
      </c>
      <c r="E1587" t="s">
        <v>1807</v>
      </c>
      <c r="F1587" t="s">
        <v>1754</v>
      </c>
      <c r="G1587" t="s">
        <v>2581</v>
      </c>
      <c r="H1587" t="s">
        <v>2318</v>
      </c>
      <c r="I1587">
        <f t="shared" si="144"/>
        <v>0</v>
      </c>
      <c r="J1587">
        <f t="shared" si="145"/>
        <v>0</v>
      </c>
      <c r="K1587">
        <f t="shared" si="146"/>
        <v>0</v>
      </c>
      <c r="L1587">
        <f t="shared" si="147"/>
        <v>1</v>
      </c>
      <c r="M1587">
        <f t="shared" si="148"/>
        <v>0</v>
      </c>
      <c r="N1587">
        <f t="shared" si="149"/>
        <v>1</v>
      </c>
    </row>
    <row r="1588" spans="1:14" x14ac:dyDescent="0.35">
      <c r="A1588" t="s">
        <v>1298</v>
      </c>
      <c r="B1588" t="s">
        <v>2582</v>
      </c>
      <c r="C1588" s="7" t="s">
        <v>10</v>
      </c>
      <c r="D1588" t="s">
        <v>152</v>
      </c>
      <c r="E1588" t="s">
        <v>2199</v>
      </c>
      <c r="F1588" t="s">
        <v>1754</v>
      </c>
      <c r="I1588">
        <f t="shared" si="144"/>
        <v>0</v>
      </c>
      <c r="J1588">
        <f t="shared" si="145"/>
        <v>0</v>
      </c>
      <c r="K1588">
        <f t="shared" si="146"/>
        <v>0</v>
      </c>
      <c r="L1588">
        <f t="shared" si="147"/>
        <v>1</v>
      </c>
      <c r="M1588">
        <f t="shared" si="148"/>
        <v>0</v>
      </c>
      <c r="N1588">
        <f t="shared" si="149"/>
        <v>0</v>
      </c>
    </row>
    <row r="1589" spans="1:14" x14ac:dyDescent="0.35">
      <c r="A1589" t="s">
        <v>1298</v>
      </c>
      <c r="B1589" t="s">
        <v>2582</v>
      </c>
      <c r="C1589" s="7" t="s">
        <v>10</v>
      </c>
      <c r="D1589" t="s">
        <v>152</v>
      </c>
      <c r="E1589" t="s">
        <v>1811</v>
      </c>
      <c r="F1589" t="s">
        <v>1754</v>
      </c>
      <c r="I1589">
        <f t="shared" si="144"/>
        <v>0</v>
      </c>
      <c r="J1589">
        <f t="shared" si="145"/>
        <v>0</v>
      </c>
      <c r="K1589">
        <f t="shared" si="146"/>
        <v>0</v>
      </c>
      <c r="L1589">
        <f t="shared" si="147"/>
        <v>1</v>
      </c>
      <c r="M1589">
        <f t="shared" si="148"/>
        <v>0</v>
      </c>
      <c r="N1589">
        <f t="shared" si="149"/>
        <v>0</v>
      </c>
    </row>
    <row r="1590" spans="1:14" x14ac:dyDescent="0.35">
      <c r="A1590" t="s">
        <v>1298</v>
      </c>
      <c r="B1590" t="s">
        <v>2582</v>
      </c>
      <c r="C1590" s="7" t="s">
        <v>10</v>
      </c>
      <c r="D1590" t="s">
        <v>152</v>
      </c>
      <c r="E1590" t="s">
        <v>2542</v>
      </c>
      <c r="F1590" t="s">
        <v>1754</v>
      </c>
      <c r="I1590">
        <f t="shared" si="144"/>
        <v>0</v>
      </c>
      <c r="J1590">
        <f t="shared" si="145"/>
        <v>0</v>
      </c>
      <c r="K1590">
        <f t="shared" si="146"/>
        <v>0</v>
      </c>
      <c r="L1590">
        <f t="shared" si="147"/>
        <v>1</v>
      </c>
      <c r="M1590">
        <f t="shared" si="148"/>
        <v>0</v>
      </c>
      <c r="N1590">
        <f t="shared" si="149"/>
        <v>0</v>
      </c>
    </row>
    <row r="1591" spans="1:14" x14ac:dyDescent="0.35">
      <c r="A1591" t="s">
        <v>722</v>
      </c>
      <c r="B1591" t="s">
        <v>2583</v>
      </c>
      <c r="C1591" s="7" t="s">
        <v>10</v>
      </c>
      <c r="D1591" t="s">
        <v>111</v>
      </c>
      <c r="E1591" t="s">
        <v>1829</v>
      </c>
      <c r="F1591" t="s">
        <v>1754</v>
      </c>
      <c r="I1591">
        <f t="shared" si="144"/>
        <v>0</v>
      </c>
      <c r="J1591">
        <f t="shared" si="145"/>
        <v>0</v>
      </c>
      <c r="K1591">
        <f t="shared" si="146"/>
        <v>0</v>
      </c>
      <c r="L1591">
        <f t="shared" si="147"/>
        <v>1</v>
      </c>
      <c r="M1591">
        <f t="shared" si="148"/>
        <v>0</v>
      </c>
      <c r="N1591">
        <f t="shared" si="149"/>
        <v>0</v>
      </c>
    </row>
    <row r="1592" spans="1:14" x14ac:dyDescent="0.35">
      <c r="A1592" t="s">
        <v>722</v>
      </c>
      <c r="B1592" t="s">
        <v>2583</v>
      </c>
      <c r="C1592" s="7" t="s">
        <v>10</v>
      </c>
      <c r="D1592" t="s">
        <v>111</v>
      </c>
      <c r="E1592" t="s">
        <v>1845</v>
      </c>
      <c r="F1592" t="s">
        <v>1754</v>
      </c>
      <c r="I1592">
        <f t="shared" si="144"/>
        <v>0</v>
      </c>
      <c r="J1592">
        <f t="shared" si="145"/>
        <v>0</v>
      </c>
      <c r="K1592">
        <f t="shared" si="146"/>
        <v>0</v>
      </c>
      <c r="L1592">
        <f t="shared" si="147"/>
        <v>1</v>
      </c>
      <c r="M1592">
        <f t="shared" si="148"/>
        <v>0</v>
      </c>
      <c r="N1592">
        <f t="shared" si="149"/>
        <v>0</v>
      </c>
    </row>
    <row r="1593" spans="1:14" x14ac:dyDescent="0.35">
      <c r="A1593" t="s">
        <v>722</v>
      </c>
      <c r="B1593" t="s">
        <v>2583</v>
      </c>
      <c r="C1593" s="7" t="s">
        <v>10</v>
      </c>
      <c r="D1593" t="s">
        <v>111</v>
      </c>
      <c r="E1593" t="s">
        <v>1847</v>
      </c>
      <c r="F1593" t="s">
        <v>1754</v>
      </c>
      <c r="I1593">
        <f t="shared" si="144"/>
        <v>0</v>
      </c>
      <c r="J1593">
        <f t="shared" si="145"/>
        <v>0</v>
      </c>
      <c r="K1593">
        <f t="shared" si="146"/>
        <v>0</v>
      </c>
      <c r="L1593">
        <f t="shared" si="147"/>
        <v>1</v>
      </c>
      <c r="M1593">
        <f t="shared" si="148"/>
        <v>0</v>
      </c>
      <c r="N1593">
        <f t="shared" si="149"/>
        <v>0</v>
      </c>
    </row>
    <row r="1594" spans="1:14" x14ac:dyDescent="0.35">
      <c r="A1594" t="s">
        <v>722</v>
      </c>
      <c r="B1594" t="s">
        <v>2583</v>
      </c>
      <c r="C1594" s="7" t="s">
        <v>10</v>
      </c>
      <c r="D1594" t="s">
        <v>111</v>
      </c>
      <c r="E1594" t="s">
        <v>1849</v>
      </c>
      <c r="F1594" t="s">
        <v>1754</v>
      </c>
      <c r="I1594">
        <f t="shared" si="144"/>
        <v>0</v>
      </c>
      <c r="J1594">
        <f t="shared" si="145"/>
        <v>0</v>
      </c>
      <c r="K1594">
        <f t="shared" si="146"/>
        <v>0</v>
      </c>
      <c r="L1594">
        <f t="shared" si="147"/>
        <v>1</v>
      </c>
      <c r="M1594">
        <f t="shared" si="148"/>
        <v>0</v>
      </c>
      <c r="N1594">
        <f t="shared" si="149"/>
        <v>0</v>
      </c>
    </row>
    <row r="1595" spans="1:14" x14ac:dyDescent="0.35">
      <c r="A1595" t="s">
        <v>722</v>
      </c>
      <c r="B1595" t="s">
        <v>2583</v>
      </c>
      <c r="C1595" s="7" t="s">
        <v>10</v>
      </c>
      <c r="D1595" t="s">
        <v>111</v>
      </c>
      <c r="E1595" t="s">
        <v>1822</v>
      </c>
      <c r="F1595" t="s">
        <v>1760</v>
      </c>
      <c r="I1595">
        <f t="shared" si="144"/>
        <v>0</v>
      </c>
      <c r="J1595">
        <f t="shared" si="145"/>
        <v>0</v>
      </c>
      <c r="K1595">
        <f t="shared" si="146"/>
        <v>1</v>
      </c>
      <c r="L1595">
        <f t="shared" si="147"/>
        <v>0</v>
      </c>
      <c r="M1595">
        <f t="shared" si="148"/>
        <v>0</v>
      </c>
      <c r="N1595">
        <f t="shared" si="149"/>
        <v>0</v>
      </c>
    </row>
    <row r="1596" spans="1:14" x14ac:dyDescent="0.35">
      <c r="A1596" t="s">
        <v>722</v>
      </c>
      <c r="B1596" t="s">
        <v>2583</v>
      </c>
      <c r="C1596" s="7" t="s">
        <v>10</v>
      </c>
      <c r="D1596" t="s">
        <v>111</v>
      </c>
      <c r="E1596" t="s">
        <v>1821</v>
      </c>
      <c r="F1596" t="s">
        <v>1760</v>
      </c>
      <c r="I1596">
        <f t="shared" si="144"/>
        <v>0</v>
      </c>
      <c r="J1596">
        <f t="shared" si="145"/>
        <v>0</v>
      </c>
      <c r="K1596">
        <f t="shared" si="146"/>
        <v>1</v>
      </c>
      <c r="L1596">
        <f t="shared" si="147"/>
        <v>0</v>
      </c>
      <c r="M1596">
        <f t="shared" si="148"/>
        <v>0</v>
      </c>
      <c r="N1596">
        <f t="shared" si="149"/>
        <v>0</v>
      </c>
    </row>
    <row r="1597" spans="1:14" x14ac:dyDescent="0.35">
      <c r="A1597" t="s">
        <v>207</v>
      </c>
      <c r="B1597" t="s">
        <v>2584</v>
      </c>
      <c r="C1597" s="7" t="s">
        <v>10</v>
      </c>
      <c r="D1597" t="s">
        <v>55</v>
      </c>
      <c r="E1597" t="s">
        <v>1910</v>
      </c>
      <c r="F1597" t="s">
        <v>1754</v>
      </c>
      <c r="I1597">
        <f t="shared" si="144"/>
        <v>0</v>
      </c>
      <c r="J1597">
        <f t="shared" si="145"/>
        <v>0</v>
      </c>
      <c r="K1597">
        <f t="shared" si="146"/>
        <v>0</v>
      </c>
      <c r="L1597">
        <f t="shared" si="147"/>
        <v>1</v>
      </c>
      <c r="M1597">
        <f t="shared" si="148"/>
        <v>0</v>
      </c>
      <c r="N1597">
        <f t="shared" si="149"/>
        <v>0</v>
      </c>
    </row>
    <row r="1598" spans="1:14" x14ac:dyDescent="0.35">
      <c r="A1598" t="s">
        <v>207</v>
      </c>
      <c r="B1598" t="s">
        <v>2584</v>
      </c>
      <c r="C1598" s="7" t="s">
        <v>10</v>
      </c>
      <c r="D1598" t="s">
        <v>55</v>
      </c>
      <c r="E1598" t="s">
        <v>1988</v>
      </c>
      <c r="F1598" t="s">
        <v>1805</v>
      </c>
      <c r="I1598">
        <f t="shared" si="144"/>
        <v>0</v>
      </c>
      <c r="J1598">
        <f t="shared" si="145"/>
        <v>1</v>
      </c>
      <c r="K1598">
        <f t="shared" si="146"/>
        <v>0</v>
      </c>
      <c r="L1598">
        <f t="shared" si="147"/>
        <v>0</v>
      </c>
      <c r="M1598">
        <f t="shared" si="148"/>
        <v>0</v>
      </c>
      <c r="N1598">
        <f t="shared" si="149"/>
        <v>0</v>
      </c>
    </row>
    <row r="1599" spans="1:14" x14ac:dyDescent="0.35">
      <c r="A1599" t="s">
        <v>207</v>
      </c>
      <c r="B1599" t="s">
        <v>2584</v>
      </c>
      <c r="C1599" s="7" t="s">
        <v>10</v>
      </c>
      <c r="D1599" t="s">
        <v>55</v>
      </c>
      <c r="E1599" t="s">
        <v>1911</v>
      </c>
      <c r="F1599" t="s">
        <v>1754</v>
      </c>
      <c r="I1599">
        <f t="shared" si="144"/>
        <v>0</v>
      </c>
      <c r="J1599">
        <f t="shared" si="145"/>
        <v>0</v>
      </c>
      <c r="K1599">
        <f t="shared" si="146"/>
        <v>0</v>
      </c>
      <c r="L1599">
        <f t="shared" si="147"/>
        <v>1</v>
      </c>
      <c r="M1599">
        <f t="shared" si="148"/>
        <v>0</v>
      </c>
      <c r="N1599">
        <f t="shared" si="149"/>
        <v>0</v>
      </c>
    </row>
    <row r="1600" spans="1:14" x14ac:dyDescent="0.35">
      <c r="A1600" t="s">
        <v>1411</v>
      </c>
      <c r="B1600" t="s">
        <v>2585</v>
      </c>
      <c r="C1600" s="7" t="s">
        <v>10</v>
      </c>
      <c r="D1600" t="s">
        <v>55</v>
      </c>
      <c r="E1600" t="s">
        <v>1936</v>
      </c>
      <c r="F1600" t="s">
        <v>1760</v>
      </c>
      <c r="I1600">
        <f t="shared" si="144"/>
        <v>0</v>
      </c>
      <c r="J1600">
        <f t="shared" si="145"/>
        <v>0</v>
      </c>
      <c r="K1600">
        <f t="shared" si="146"/>
        <v>1</v>
      </c>
      <c r="L1600">
        <f t="shared" si="147"/>
        <v>0</v>
      </c>
      <c r="M1600">
        <f t="shared" si="148"/>
        <v>0</v>
      </c>
      <c r="N1600">
        <f t="shared" si="149"/>
        <v>0</v>
      </c>
    </row>
    <row r="1601" spans="1:14" x14ac:dyDescent="0.35">
      <c r="A1601" t="s">
        <v>802</v>
      </c>
      <c r="B1601" t="s">
        <v>2586</v>
      </c>
      <c r="C1601" s="7" t="s">
        <v>10</v>
      </c>
      <c r="D1601" t="s">
        <v>92</v>
      </c>
      <c r="E1601" t="s">
        <v>2097</v>
      </c>
      <c r="F1601" t="s">
        <v>1727</v>
      </c>
      <c r="I1601">
        <f t="shared" si="144"/>
        <v>0</v>
      </c>
      <c r="J1601">
        <f t="shared" si="145"/>
        <v>0</v>
      </c>
      <c r="K1601">
        <f t="shared" si="146"/>
        <v>0</v>
      </c>
      <c r="L1601">
        <f t="shared" si="147"/>
        <v>0</v>
      </c>
      <c r="M1601">
        <f t="shared" si="148"/>
        <v>1</v>
      </c>
      <c r="N1601">
        <f t="shared" si="149"/>
        <v>0</v>
      </c>
    </row>
    <row r="1602" spans="1:14" x14ac:dyDescent="0.35">
      <c r="A1602" t="s">
        <v>802</v>
      </c>
      <c r="B1602" t="s">
        <v>2586</v>
      </c>
      <c r="C1602" s="7" t="s">
        <v>10</v>
      </c>
      <c r="D1602" t="s">
        <v>92</v>
      </c>
      <c r="E1602" t="s">
        <v>2587</v>
      </c>
      <c r="F1602" t="s">
        <v>1727</v>
      </c>
      <c r="I1602">
        <f t="shared" si="144"/>
        <v>0</v>
      </c>
      <c r="J1602">
        <f t="shared" si="145"/>
        <v>0</v>
      </c>
      <c r="K1602">
        <f t="shared" si="146"/>
        <v>0</v>
      </c>
      <c r="L1602">
        <f t="shared" si="147"/>
        <v>0</v>
      </c>
      <c r="M1602">
        <f t="shared" si="148"/>
        <v>1</v>
      </c>
      <c r="N1602">
        <f t="shared" si="149"/>
        <v>0</v>
      </c>
    </row>
    <row r="1603" spans="1:14" x14ac:dyDescent="0.35">
      <c r="A1603" t="s">
        <v>993</v>
      </c>
      <c r="B1603" t="s">
        <v>2588</v>
      </c>
      <c r="C1603" s="7" t="s">
        <v>10</v>
      </c>
      <c r="D1603" t="s">
        <v>276</v>
      </c>
      <c r="E1603" t="s">
        <v>1889</v>
      </c>
      <c r="F1603" t="s">
        <v>1754</v>
      </c>
      <c r="I1603">
        <f t="shared" ref="I1603:I1666" si="150">IF($F1603=$F$1,1,0)</f>
        <v>0</v>
      </c>
      <c r="J1603">
        <f t="shared" ref="J1603:J1666" si="151">IF($F1603=$J$1,1,0)</f>
        <v>0</v>
      </c>
      <c r="K1603">
        <f t="shared" ref="K1603:K1666" si="152">IF($F1603=$K$1,1,0)</f>
        <v>0</v>
      </c>
      <c r="L1603">
        <f t="shared" ref="L1603:L1666" si="153">IF($F1603=$L$1,1,0)</f>
        <v>1</v>
      </c>
      <c r="M1603">
        <f t="shared" ref="M1603:M1666" si="154">IF($F1603=$M$1,1,0)</f>
        <v>0</v>
      </c>
      <c r="N1603">
        <f t="shared" ref="N1603:N1666" si="155">IF($G1603&lt;&gt;"",1,0)</f>
        <v>0</v>
      </c>
    </row>
    <row r="1604" spans="1:14" x14ac:dyDescent="0.35">
      <c r="A1604" t="s">
        <v>993</v>
      </c>
      <c r="B1604" t="s">
        <v>2588</v>
      </c>
      <c r="C1604" s="7" t="s">
        <v>10</v>
      </c>
      <c r="D1604" t="s">
        <v>276</v>
      </c>
      <c r="E1604" t="s">
        <v>1888</v>
      </c>
      <c r="F1604" t="s">
        <v>1754</v>
      </c>
      <c r="I1604">
        <f t="shared" si="150"/>
        <v>0</v>
      </c>
      <c r="J1604">
        <f t="shared" si="151"/>
        <v>0</v>
      </c>
      <c r="K1604">
        <f t="shared" si="152"/>
        <v>0</v>
      </c>
      <c r="L1604">
        <f t="shared" si="153"/>
        <v>1</v>
      </c>
      <c r="M1604">
        <f t="shared" si="154"/>
        <v>0</v>
      </c>
      <c r="N1604">
        <f t="shared" si="155"/>
        <v>0</v>
      </c>
    </row>
    <row r="1605" spans="1:14" x14ac:dyDescent="0.35">
      <c r="A1605" t="s">
        <v>993</v>
      </c>
      <c r="B1605" t="s">
        <v>2588</v>
      </c>
      <c r="C1605" s="7" t="s">
        <v>10</v>
      </c>
      <c r="D1605" t="s">
        <v>276</v>
      </c>
      <c r="E1605" t="s">
        <v>1941</v>
      </c>
      <c r="F1605" t="s">
        <v>1754</v>
      </c>
      <c r="I1605">
        <f t="shared" si="150"/>
        <v>0</v>
      </c>
      <c r="J1605">
        <f t="shared" si="151"/>
        <v>0</v>
      </c>
      <c r="K1605">
        <f t="shared" si="152"/>
        <v>0</v>
      </c>
      <c r="L1605">
        <f t="shared" si="153"/>
        <v>1</v>
      </c>
      <c r="M1605">
        <f t="shared" si="154"/>
        <v>0</v>
      </c>
      <c r="N1605">
        <f t="shared" si="155"/>
        <v>0</v>
      </c>
    </row>
    <row r="1606" spans="1:14" x14ac:dyDescent="0.35">
      <c r="A1606" t="s">
        <v>993</v>
      </c>
      <c r="B1606" t="s">
        <v>2588</v>
      </c>
      <c r="C1606" s="7" t="s">
        <v>10</v>
      </c>
      <c r="D1606" t="s">
        <v>276</v>
      </c>
      <c r="E1606" t="s">
        <v>1940</v>
      </c>
      <c r="F1606" t="s">
        <v>1754</v>
      </c>
      <c r="I1606">
        <f t="shared" si="150"/>
        <v>0</v>
      </c>
      <c r="J1606">
        <f t="shared" si="151"/>
        <v>0</v>
      </c>
      <c r="K1606">
        <f t="shared" si="152"/>
        <v>0</v>
      </c>
      <c r="L1606">
        <f t="shared" si="153"/>
        <v>1</v>
      </c>
      <c r="M1606">
        <f t="shared" si="154"/>
        <v>0</v>
      </c>
      <c r="N1606">
        <f t="shared" si="155"/>
        <v>0</v>
      </c>
    </row>
    <row r="1607" spans="1:14" x14ac:dyDescent="0.35">
      <c r="A1607" t="s">
        <v>993</v>
      </c>
      <c r="B1607" t="s">
        <v>2588</v>
      </c>
      <c r="C1607" s="7" t="s">
        <v>10</v>
      </c>
      <c r="D1607" t="s">
        <v>276</v>
      </c>
      <c r="E1607" t="s">
        <v>1815</v>
      </c>
      <c r="F1607" t="s">
        <v>1754</v>
      </c>
      <c r="I1607">
        <f t="shared" si="150"/>
        <v>0</v>
      </c>
      <c r="J1607">
        <f t="shared" si="151"/>
        <v>0</v>
      </c>
      <c r="K1607">
        <f t="shared" si="152"/>
        <v>0</v>
      </c>
      <c r="L1607">
        <f t="shared" si="153"/>
        <v>1</v>
      </c>
      <c r="M1607">
        <f t="shared" si="154"/>
        <v>0</v>
      </c>
      <c r="N1607">
        <f t="shared" si="155"/>
        <v>0</v>
      </c>
    </row>
    <row r="1608" spans="1:14" x14ac:dyDescent="0.35">
      <c r="A1608" t="s">
        <v>993</v>
      </c>
      <c r="B1608" t="s">
        <v>2588</v>
      </c>
      <c r="C1608" s="7" t="s">
        <v>10</v>
      </c>
      <c r="D1608" t="s">
        <v>276</v>
      </c>
      <c r="E1608" t="s">
        <v>1817</v>
      </c>
      <c r="F1608" t="s">
        <v>1754</v>
      </c>
      <c r="I1608">
        <f t="shared" si="150"/>
        <v>0</v>
      </c>
      <c r="J1608">
        <f t="shared" si="151"/>
        <v>0</v>
      </c>
      <c r="K1608">
        <f t="shared" si="152"/>
        <v>0</v>
      </c>
      <c r="L1608">
        <f t="shared" si="153"/>
        <v>1</v>
      </c>
      <c r="M1608">
        <f t="shared" si="154"/>
        <v>0</v>
      </c>
      <c r="N1608">
        <f t="shared" si="155"/>
        <v>0</v>
      </c>
    </row>
    <row r="1609" spans="1:14" x14ac:dyDescent="0.35">
      <c r="A1609" t="s">
        <v>257</v>
      </c>
      <c r="B1609" t="s">
        <v>2589</v>
      </c>
      <c r="C1609" s="7" t="s">
        <v>10</v>
      </c>
      <c r="D1609" t="s">
        <v>100</v>
      </c>
      <c r="E1609" t="s">
        <v>1840</v>
      </c>
      <c r="F1609" t="s">
        <v>1760</v>
      </c>
      <c r="I1609">
        <f t="shared" si="150"/>
        <v>0</v>
      </c>
      <c r="J1609">
        <f t="shared" si="151"/>
        <v>0</v>
      </c>
      <c r="K1609">
        <f t="shared" si="152"/>
        <v>1</v>
      </c>
      <c r="L1609">
        <f t="shared" si="153"/>
        <v>0</v>
      </c>
      <c r="M1609">
        <f t="shared" si="154"/>
        <v>0</v>
      </c>
      <c r="N1609">
        <f t="shared" si="155"/>
        <v>0</v>
      </c>
    </row>
    <row r="1610" spans="1:14" x14ac:dyDescent="0.35">
      <c r="A1610" t="s">
        <v>257</v>
      </c>
      <c r="B1610" t="s">
        <v>2589</v>
      </c>
      <c r="C1610" s="7" t="s">
        <v>10</v>
      </c>
      <c r="D1610" t="s">
        <v>100</v>
      </c>
      <c r="E1610" t="s">
        <v>1806</v>
      </c>
      <c r="F1610" t="s">
        <v>1754</v>
      </c>
      <c r="I1610">
        <f t="shared" si="150"/>
        <v>0</v>
      </c>
      <c r="J1610">
        <f t="shared" si="151"/>
        <v>0</v>
      </c>
      <c r="K1610">
        <f t="shared" si="152"/>
        <v>0</v>
      </c>
      <c r="L1610">
        <f t="shared" si="153"/>
        <v>1</v>
      </c>
      <c r="M1610">
        <f t="shared" si="154"/>
        <v>0</v>
      </c>
      <c r="N1610">
        <f t="shared" si="155"/>
        <v>0</v>
      </c>
    </row>
    <row r="1611" spans="1:14" x14ac:dyDescent="0.35">
      <c r="A1611" t="s">
        <v>257</v>
      </c>
      <c r="B1611" t="s">
        <v>2589</v>
      </c>
      <c r="C1611" s="7" t="s">
        <v>10</v>
      </c>
      <c r="D1611" t="s">
        <v>100</v>
      </c>
      <c r="E1611" t="s">
        <v>1807</v>
      </c>
      <c r="F1611" t="s">
        <v>1754</v>
      </c>
      <c r="I1611">
        <f t="shared" si="150"/>
        <v>0</v>
      </c>
      <c r="J1611">
        <f t="shared" si="151"/>
        <v>0</v>
      </c>
      <c r="K1611">
        <f t="shared" si="152"/>
        <v>0</v>
      </c>
      <c r="L1611">
        <f t="shared" si="153"/>
        <v>1</v>
      </c>
      <c r="M1611">
        <f t="shared" si="154"/>
        <v>0</v>
      </c>
      <c r="N1611">
        <f t="shared" si="155"/>
        <v>0</v>
      </c>
    </row>
    <row r="1612" spans="1:14" x14ac:dyDescent="0.35">
      <c r="A1612" t="s">
        <v>257</v>
      </c>
      <c r="B1612" t="s">
        <v>2589</v>
      </c>
      <c r="C1612" s="7" t="s">
        <v>10</v>
      </c>
      <c r="D1612" t="s">
        <v>100</v>
      </c>
      <c r="E1612" t="s">
        <v>1961</v>
      </c>
      <c r="F1612" t="s">
        <v>1805</v>
      </c>
      <c r="I1612">
        <f t="shared" si="150"/>
        <v>0</v>
      </c>
      <c r="J1612">
        <f t="shared" si="151"/>
        <v>1</v>
      </c>
      <c r="K1612">
        <f t="shared" si="152"/>
        <v>0</v>
      </c>
      <c r="L1612">
        <f t="shared" si="153"/>
        <v>0</v>
      </c>
      <c r="M1612">
        <f t="shared" si="154"/>
        <v>0</v>
      </c>
      <c r="N1612">
        <f t="shared" si="155"/>
        <v>0</v>
      </c>
    </row>
    <row r="1613" spans="1:14" x14ac:dyDescent="0.35">
      <c r="A1613" t="s">
        <v>1027</v>
      </c>
      <c r="B1613" t="s">
        <v>2590</v>
      </c>
      <c r="C1613" s="7" t="s">
        <v>10</v>
      </c>
      <c r="D1613" t="s">
        <v>55</v>
      </c>
      <c r="E1613" t="s">
        <v>1896</v>
      </c>
      <c r="F1613" t="s">
        <v>1754</v>
      </c>
      <c r="G1613" t="s">
        <v>2591</v>
      </c>
      <c r="H1613" t="s">
        <v>2342</v>
      </c>
      <c r="I1613">
        <f t="shared" si="150"/>
        <v>0</v>
      </c>
      <c r="J1613">
        <f t="shared" si="151"/>
        <v>0</v>
      </c>
      <c r="K1613">
        <f t="shared" si="152"/>
        <v>0</v>
      </c>
      <c r="L1613">
        <f t="shared" si="153"/>
        <v>1</v>
      </c>
      <c r="M1613">
        <f t="shared" si="154"/>
        <v>0</v>
      </c>
      <c r="N1613">
        <f t="shared" si="155"/>
        <v>1</v>
      </c>
    </row>
    <row r="1614" spans="1:14" x14ac:dyDescent="0.35">
      <c r="A1614" t="s">
        <v>1027</v>
      </c>
      <c r="B1614" t="s">
        <v>2590</v>
      </c>
      <c r="C1614" s="7" t="s">
        <v>10</v>
      </c>
      <c r="D1614" t="s">
        <v>55</v>
      </c>
      <c r="E1614" t="s">
        <v>2261</v>
      </c>
      <c r="F1614" t="s">
        <v>1754</v>
      </c>
      <c r="G1614" t="s">
        <v>2591</v>
      </c>
      <c r="H1614" t="s">
        <v>2342</v>
      </c>
      <c r="I1614">
        <f t="shared" si="150"/>
        <v>0</v>
      </c>
      <c r="J1614">
        <f t="shared" si="151"/>
        <v>0</v>
      </c>
      <c r="K1614">
        <f t="shared" si="152"/>
        <v>0</v>
      </c>
      <c r="L1614">
        <f t="shared" si="153"/>
        <v>1</v>
      </c>
      <c r="M1614">
        <f t="shared" si="154"/>
        <v>0</v>
      </c>
      <c r="N1614">
        <f t="shared" si="155"/>
        <v>1</v>
      </c>
    </row>
    <row r="1615" spans="1:14" x14ac:dyDescent="0.35">
      <c r="A1615" t="s">
        <v>1027</v>
      </c>
      <c r="B1615" t="s">
        <v>2590</v>
      </c>
      <c r="C1615" s="7" t="s">
        <v>10</v>
      </c>
      <c r="D1615" t="s">
        <v>55</v>
      </c>
      <c r="E1615" t="s">
        <v>1894</v>
      </c>
      <c r="F1615" t="s">
        <v>1754</v>
      </c>
      <c r="G1615" t="s">
        <v>2591</v>
      </c>
      <c r="H1615" t="s">
        <v>2342</v>
      </c>
      <c r="I1615">
        <f t="shared" si="150"/>
        <v>0</v>
      </c>
      <c r="J1615">
        <f t="shared" si="151"/>
        <v>0</v>
      </c>
      <c r="K1615">
        <f t="shared" si="152"/>
        <v>0</v>
      </c>
      <c r="L1615">
        <f t="shared" si="153"/>
        <v>1</v>
      </c>
      <c r="M1615">
        <f t="shared" si="154"/>
        <v>0</v>
      </c>
      <c r="N1615">
        <f t="shared" si="155"/>
        <v>1</v>
      </c>
    </row>
    <row r="1616" spans="1:14" x14ac:dyDescent="0.35">
      <c r="A1616" t="s">
        <v>1027</v>
      </c>
      <c r="B1616" t="s">
        <v>2590</v>
      </c>
      <c r="C1616" s="7" t="s">
        <v>10</v>
      </c>
      <c r="D1616" t="s">
        <v>55</v>
      </c>
      <c r="E1616" t="s">
        <v>1966</v>
      </c>
      <c r="F1616" t="s">
        <v>1754</v>
      </c>
      <c r="G1616" t="s">
        <v>2591</v>
      </c>
      <c r="H1616" t="s">
        <v>2342</v>
      </c>
      <c r="I1616">
        <f t="shared" si="150"/>
        <v>0</v>
      </c>
      <c r="J1616">
        <f t="shared" si="151"/>
        <v>0</v>
      </c>
      <c r="K1616">
        <f t="shared" si="152"/>
        <v>0</v>
      </c>
      <c r="L1616">
        <f t="shared" si="153"/>
        <v>1</v>
      </c>
      <c r="M1616">
        <f t="shared" si="154"/>
        <v>0</v>
      </c>
      <c r="N1616">
        <f t="shared" si="155"/>
        <v>1</v>
      </c>
    </row>
    <row r="1617" spans="1:14" x14ac:dyDescent="0.35">
      <c r="A1617" t="s">
        <v>1027</v>
      </c>
      <c r="B1617" t="s">
        <v>2590</v>
      </c>
      <c r="C1617" s="7" t="s">
        <v>10</v>
      </c>
      <c r="D1617" t="s">
        <v>55</v>
      </c>
      <c r="E1617" t="s">
        <v>1892</v>
      </c>
      <c r="F1617" t="s">
        <v>1760</v>
      </c>
      <c r="G1617" t="s">
        <v>2591</v>
      </c>
      <c r="H1617" t="s">
        <v>2342</v>
      </c>
      <c r="I1617">
        <f t="shared" si="150"/>
        <v>0</v>
      </c>
      <c r="J1617">
        <f t="shared" si="151"/>
        <v>0</v>
      </c>
      <c r="K1617">
        <f t="shared" si="152"/>
        <v>1</v>
      </c>
      <c r="L1617">
        <f t="shared" si="153"/>
        <v>0</v>
      </c>
      <c r="M1617">
        <f t="shared" si="154"/>
        <v>0</v>
      </c>
      <c r="N1617">
        <f t="shared" si="155"/>
        <v>1</v>
      </c>
    </row>
    <row r="1618" spans="1:14" x14ac:dyDescent="0.35">
      <c r="A1618" t="s">
        <v>1027</v>
      </c>
      <c r="B1618" t="s">
        <v>2590</v>
      </c>
      <c r="C1618" s="7" t="s">
        <v>10</v>
      </c>
      <c r="D1618" t="s">
        <v>55</v>
      </c>
      <c r="E1618" t="s">
        <v>1872</v>
      </c>
      <c r="F1618" t="s">
        <v>1727</v>
      </c>
      <c r="G1618" t="s">
        <v>2591</v>
      </c>
      <c r="H1618" t="s">
        <v>2342</v>
      </c>
      <c r="I1618">
        <f t="shared" si="150"/>
        <v>0</v>
      </c>
      <c r="J1618">
        <f t="shared" si="151"/>
        <v>0</v>
      </c>
      <c r="K1618">
        <f t="shared" si="152"/>
        <v>0</v>
      </c>
      <c r="L1618">
        <f t="shared" si="153"/>
        <v>0</v>
      </c>
      <c r="M1618">
        <f t="shared" si="154"/>
        <v>1</v>
      </c>
      <c r="N1618">
        <f t="shared" si="155"/>
        <v>1</v>
      </c>
    </row>
    <row r="1619" spans="1:14" x14ac:dyDescent="0.35">
      <c r="A1619" t="s">
        <v>1027</v>
      </c>
      <c r="B1619" t="s">
        <v>2590</v>
      </c>
      <c r="C1619" s="7" t="s">
        <v>10</v>
      </c>
      <c r="D1619" t="s">
        <v>55</v>
      </c>
      <c r="E1619" t="s">
        <v>1898</v>
      </c>
      <c r="F1619" t="s">
        <v>1727</v>
      </c>
      <c r="G1619" t="s">
        <v>2591</v>
      </c>
      <c r="H1619" t="s">
        <v>2342</v>
      </c>
      <c r="I1619">
        <f t="shared" si="150"/>
        <v>0</v>
      </c>
      <c r="J1619">
        <f t="shared" si="151"/>
        <v>0</v>
      </c>
      <c r="K1619">
        <f t="shared" si="152"/>
        <v>0</v>
      </c>
      <c r="L1619">
        <f t="shared" si="153"/>
        <v>0</v>
      </c>
      <c r="M1619">
        <f t="shared" si="154"/>
        <v>1</v>
      </c>
      <c r="N1619">
        <f t="shared" si="155"/>
        <v>1</v>
      </c>
    </row>
    <row r="1620" spans="1:14" x14ac:dyDescent="0.35">
      <c r="A1620" t="s">
        <v>588</v>
      </c>
      <c r="B1620" t="s">
        <v>2592</v>
      </c>
      <c r="C1620" s="7" t="s">
        <v>10</v>
      </c>
      <c r="D1620" t="s">
        <v>55</v>
      </c>
      <c r="E1620" t="s">
        <v>2000</v>
      </c>
      <c r="F1620" t="s">
        <v>1886</v>
      </c>
      <c r="I1620">
        <f t="shared" si="150"/>
        <v>0</v>
      </c>
      <c r="J1620">
        <f t="shared" si="151"/>
        <v>0</v>
      </c>
      <c r="K1620">
        <f t="shared" si="152"/>
        <v>0</v>
      </c>
      <c r="L1620">
        <f t="shared" si="153"/>
        <v>0</v>
      </c>
      <c r="M1620">
        <f t="shared" si="154"/>
        <v>0</v>
      </c>
      <c r="N1620">
        <f t="shared" si="155"/>
        <v>0</v>
      </c>
    </row>
    <row r="1621" spans="1:14" x14ac:dyDescent="0.35">
      <c r="A1621" t="s">
        <v>588</v>
      </c>
      <c r="B1621" t="s">
        <v>2592</v>
      </c>
      <c r="C1621" s="7" t="s">
        <v>10</v>
      </c>
      <c r="D1621" t="s">
        <v>55</v>
      </c>
      <c r="E1621" t="s">
        <v>1998</v>
      </c>
      <c r="F1621" t="s">
        <v>1886</v>
      </c>
      <c r="I1621">
        <f t="shared" si="150"/>
        <v>0</v>
      </c>
      <c r="J1621">
        <f t="shared" si="151"/>
        <v>0</v>
      </c>
      <c r="K1621">
        <f t="shared" si="152"/>
        <v>0</v>
      </c>
      <c r="L1621">
        <f t="shared" si="153"/>
        <v>0</v>
      </c>
      <c r="M1621">
        <f t="shared" si="154"/>
        <v>0</v>
      </c>
      <c r="N1621">
        <f t="shared" si="155"/>
        <v>0</v>
      </c>
    </row>
    <row r="1622" spans="1:14" x14ac:dyDescent="0.35">
      <c r="A1622" t="s">
        <v>588</v>
      </c>
      <c r="B1622" t="s">
        <v>2592</v>
      </c>
      <c r="C1622" s="7" t="s">
        <v>10</v>
      </c>
      <c r="D1622" t="s">
        <v>55</v>
      </c>
      <c r="E1622" t="s">
        <v>1997</v>
      </c>
      <c r="F1622" t="s">
        <v>1886</v>
      </c>
      <c r="I1622">
        <f t="shared" si="150"/>
        <v>0</v>
      </c>
      <c r="J1622">
        <f t="shared" si="151"/>
        <v>0</v>
      </c>
      <c r="K1622">
        <f t="shared" si="152"/>
        <v>0</v>
      </c>
      <c r="L1622">
        <f t="shared" si="153"/>
        <v>0</v>
      </c>
      <c r="M1622">
        <f t="shared" si="154"/>
        <v>0</v>
      </c>
      <c r="N1622">
        <f t="shared" si="155"/>
        <v>0</v>
      </c>
    </row>
    <row r="1623" spans="1:14" x14ac:dyDescent="0.35">
      <c r="A1623" t="s">
        <v>565</v>
      </c>
      <c r="B1623" t="s">
        <v>2593</v>
      </c>
      <c r="C1623" s="7" t="s">
        <v>10</v>
      </c>
      <c r="D1623" t="s">
        <v>55</v>
      </c>
      <c r="E1623" t="s">
        <v>2053</v>
      </c>
      <c r="F1623" t="s">
        <v>1805</v>
      </c>
      <c r="I1623">
        <f t="shared" si="150"/>
        <v>0</v>
      </c>
      <c r="J1623">
        <f t="shared" si="151"/>
        <v>1</v>
      </c>
      <c r="K1623">
        <f t="shared" si="152"/>
        <v>0</v>
      </c>
      <c r="L1623">
        <f t="shared" si="153"/>
        <v>0</v>
      </c>
      <c r="M1623">
        <f t="shared" si="154"/>
        <v>0</v>
      </c>
      <c r="N1623">
        <f t="shared" si="155"/>
        <v>0</v>
      </c>
    </row>
    <row r="1624" spans="1:14" x14ac:dyDescent="0.35">
      <c r="A1624" t="s">
        <v>565</v>
      </c>
      <c r="B1624" t="s">
        <v>2593</v>
      </c>
      <c r="C1624" s="7" t="s">
        <v>6</v>
      </c>
      <c r="D1624" t="s">
        <v>55</v>
      </c>
      <c r="E1624" t="s">
        <v>2121</v>
      </c>
      <c r="F1624" t="s">
        <v>1727</v>
      </c>
      <c r="I1624">
        <f t="shared" si="150"/>
        <v>0</v>
      </c>
      <c r="J1624">
        <f t="shared" si="151"/>
        <v>0</v>
      </c>
      <c r="K1624">
        <f t="shared" si="152"/>
        <v>0</v>
      </c>
      <c r="L1624">
        <f t="shared" si="153"/>
        <v>0</v>
      </c>
      <c r="M1624">
        <f t="shared" si="154"/>
        <v>1</v>
      </c>
      <c r="N1624">
        <f t="shared" si="155"/>
        <v>0</v>
      </c>
    </row>
    <row r="1625" spans="1:14" x14ac:dyDescent="0.35">
      <c r="A1625" t="s">
        <v>1563</v>
      </c>
      <c r="B1625" t="s">
        <v>2594</v>
      </c>
      <c r="C1625" s="7" t="s">
        <v>6</v>
      </c>
      <c r="D1625" t="s">
        <v>1565</v>
      </c>
      <c r="E1625" t="s">
        <v>2250</v>
      </c>
      <c r="F1625" t="s">
        <v>1886</v>
      </c>
      <c r="I1625">
        <f t="shared" si="150"/>
        <v>0</v>
      </c>
      <c r="J1625">
        <f t="shared" si="151"/>
        <v>0</v>
      </c>
      <c r="K1625">
        <f t="shared" si="152"/>
        <v>0</v>
      </c>
      <c r="L1625">
        <f t="shared" si="153"/>
        <v>0</v>
      </c>
      <c r="M1625">
        <f t="shared" si="154"/>
        <v>0</v>
      </c>
      <c r="N1625">
        <f t="shared" si="155"/>
        <v>0</v>
      </c>
    </row>
    <row r="1626" spans="1:14" x14ac:dyDescent="0.35">
      <c r="A1626" t="s">
        <v>94</v>
      </c>
      <c r="B1626" t="s">
        <v>2595</v>
      </c>
      <c r="C1626" s="7" t="s">
        <v>6</v>
      </c>
      <c r="D1626" t="s">
        <v>97</v>
      </c>
      <c r="E1626" t="s">
        <v>2182</v>
      </c>
      <c r="F1626" t="s">
        <v>1754</v>
      </c>
      <c r="G1626" t="s">
        <v>2596</v>
      </c>
      <c r="H1626" t="s">
        <v>2597</v>
      </c>
      <c r="I1626">
        <f t="shared" si="150"/>
        <v>0</v>
      </c>
      <c r="J1626">
        <f t="shared" si="151"/>
        <v>0</v>
      </c>
      <c r="K1626">
        <f t="shared" si="152"/>
        <v>0</v>
      </c>
      <c r="L1626">
        <f t="shared" si="153"/>
        <v>1</v>
      </c>
      <c r="M1626">
        <f t="shared" si="154"/>
        <v>0</v>
      </c>
      <c r="N1626">
        <f t="shared" si="155"/>
        <v>1</v>
      </c>
    </row>
    <row r="1627" spans="1:14" x14ac:dyDescent="0.35">
      <c r="A1627" t="s">
        <v>94</v>
      </c>
      <c r="B1627" t="s">
        <v>2595</v>
      </c>
      <c r="C1627" s="7" t="s">
        <v>6</v>
      </c>
      <c r="D1627" t="s">
        <v>97</v>
      </c>
      <c r="E1627" t="s">
        <v>2095</v>
      </c>
      <c r="F1627" t="s">
        <v>1754</v>
      </c>
      <c r="G1627" t="s">
        <v>2596</v>
      </c>
      <c r="H1627" t="s">
        <v>2597</v>
      </c>
      <c r="I1627">
        <f t="shared" si="150"/>
        <v>0</v>
      </c>
      <c r="J1627">
        <f t="shared" si="151"/>
        <v>0</v>
      </c>
      <c r="K1627">
        <f t="shared" si="152"/>
        <v>0</v>
      </c>
      <c r="L1627">
        <f t="shared" si="153"/>
        <v>1</v>
      </c>
      <c r="M1627">
        <f t="shared" si="154"/>
        <v>0</v>
      </c>
      <c r="N1627">
        <f t="shared" si="155"/>
        <v>1</v>
      </c>
    </row>
    <row r="1628" spans="1:14" x14ac:dyDescent="0.35">
      <c r="A1628" t="s">
        <v>94</v>
      </c>
      <c r="B1628" t="s">
        <v>2595</v>
      </c>
      <c r="C1628" s="7" t="s">
        <v>6</v>
      </c>
      <c r="D1628" t="s">
        <v>97</v>
      </c>
      <c r="E1628" t="s">
        <v>1829</v>
      </c>
      <c r="F1628" t="s">
        <v>1754</v>
      </c>
      <c r="G1628" t="s">
        <v>2596</v>
      </c>
      <c r="H1628" t="s">
        <v>2597</v>
      </c>
      <c r="I1628">
        <f t="shared" si="150"/>
        <v>0</v>
      </c>
      <c r="J1628">
        <f t="shared" si="151"/>
        <v>0</v>
      </c>
      <c r="K1628">
        <f t="shared" si="152"/>
        <v>0</v>
      </c>
      <c r="L1628">
        <f t="shared" si="153"/>
        <v>1</v>
      </c>
      <c r="M1628">
        <f t="shared" si="154"/>
        <v>0</v>
      </c>
      <c r="N1628">
        <f t="shared" si="155"/>
        <v>1</v>
      </c>
    </row>
    <row r="1629" spans="1:14" x14ac:dyDescent="0.35">
      <c r="A1629" t="s">
        <v>874</v>
      </c>
      <c r="B1629" t="s">
        <v>2598</v>
      </c>
      <c r="C1629" s="7" t="s">
        <v>6</v>
      </c>
      <c r="D1629" t="s">
        <v>876</v>
      </c>
      <c r="E1629" t="s">
        <v>1885</v>
      </c>
      <c r="F1629" t="s">
        <v>1886</v>
      </c>
      <c r="I1629">
        <f t="shared" si="150"/>
        <v>0</v>
      </c>
      <c r="J1629">
        <f t="shared" si="151"/>
        <v>0</v>
      </c>
      <c r="K1629">
        <f t="shared" si="152"/>
        <v>0</v>
      </c>
      <c r="L1629">
        <f t="shared" si="153"/>
        <v>0</v>
      </c>
      <c r="M1629">
        <f t="shared" si="154"/>
        <v>0</v>
      </c>
      <c r="N1629">
        <f t="shared" si="155"/>
        <v>0</v>
      </c>
    </row>
    <row r="1630" spans="1:14" x14ac:dyDescent="0.35">
      <c r="A1630" t="s">
        <v>661</v>
      </c>
      <c r="B1630" t="s">
        <v>2599</v>
      </c>
      <c r="C1630" s="7" t="s">
        <v>6</v>
      </c>
      <c r="D1630" t="s">
        <v>100</v>
      </c>
      <c r="E1630" t="s">
        <v>1992</v>
      </c>
      <c r="F1630" t="s">
        <v>1754</v>
      </c>
      <c r="I1630">
        <f t="shared" si="150"/>
        <v>0</v>
      </c>
      <c r="J1630">
        <f t="shared" si="151"/>
        <v>0</v>
      </c>
      <c r="K1630">
        <f t="shared" si="152"/>
        <v>0</v>
      </c>
      <c r="L1630">
        <f t="shared" si="153"/>
        <v>1</v>
      </c>
      <c r="M1630">
        <f t="shared" si="154"/>
        <v>0</v>
      </c>
      <c r="N1630">
        <f t="shared" si="155"/>
        <v>0</v>
      </c>
    </row>
    <row r="1631" spans="1:14" x14ac:dyDescent="0.35">
      <c r="A1631" t="s">
        <v>661</v>
      </c>
      <c r="B1631" t="s">
        <v>2599</v>
      </c>
      <c r="C1631" s="7" t="s">
        <v>6</v>
      </c>
      <c r="D1631" t="s">
        <v>100</v>
      </c>
      <c r="E1631" t="s">
        <v>1832</v>
      </c>
      <c r="F1631" t="s">
        <v>1754</v>
      </c>
      <c r="I1631">
        <f t="shared" si="150"/>
        <v>0</v>
      </c>
      <c r="J1631">
        <f t="shared" si="151"/>
        <v>0</v>
      </c>
      <c r="K1631">
        <f t="shared" si="152"/>
        <v>0</v>
      </c>
      <c r="L1631">
        <f t="shared" si="153"/>
        <v>1</v>
      </c>
      <c r="M1631">
        <f t="shared" si="154"/>
        <v>0</v>
      </c>
      <c r="N1631">
        <f t="shared" si="155"/>
        <v>0</v>
      </c>
    </row>
    <row r="1632" spans="1:14" x14ac:dyDescent="0.35">
      <c r="A1632" t="s">
        <v>661</v>
      </c>
      <c r="B1632" t="s">
        <v>2599</v>
      </c>
      <c r="C1632" s="7" t="s">
        <v>6</v>
      </c>
      <c r="D1632" t="s">
        <v>100</v>
      </c>
      <c r="E1632" t="s">
        <v>1836</v>
      </c>
      <c r="F1632" t="s">
        <v>1754</v>
      </c>
      <c r="I1632">
        <f t="shared" si="150"/>
        <v>0</v>
      </c>
      <c r="J1632">
        <f t="shared" si="151"/>
        <v>0</v>
      </c>
      <c r="K1632">
        <f t="shared" si="152"/>
        <v>0</v>
      </c>
      <c r="L1632">
        <f t="shared" si="153"/>
        <v>1</v>
      </c>
      <c r="M1632">
        <f t="shared" si="154"/>
        <v>0</v>
      </c>
      <c r="N1632">
        <f t="shared" si="155"/>
        <v>0</v>
      </c>
    </row>
    <row r="1633" spans="1:14" x14ac:dyDescent="0.35">
      <c r="A1633" t="s">
        <v>661</v>
      </c>
      <c r="B1633" t="s">
        <v>2599</v>
      </c>
      <c r="C1633" s="7" t="s">
        <v>6</v>
      </c>
      <c r="D1633" t="s">
        <v>100</v>
      </c>
      <c r="E1633" t="s">
        <v>1993</v>
      </c>
      <c r="F1633" t="s">
        <v>1754</v>
      </c>
      <c r="I1633">
        <f t="shared" si="150"/>
        <v>0</v>
      </c>
      <c r="J1633">
        <f t="shared" si="151"/>
        <v>0</v>
      </c>
      <c r="K1633">
        <f t="shared" si="152"/>
        <v>0</v>
      </c>
      <c r="L1633">
        <f t="shared" si="153"/>
        <v>1</v>
      </c>
      <c r="M1633">
        <f t="shared" si="154"/>
        <v>0</v>
      </c>
      <c r="N1633">
        <f t="shared" si="155"/>
        <v>0</v>
      </c>
    </row>
    <row r="1634" spans="1:14" x14ac:dyDescent="0.35">
      <c r="A1634" t="s">
        <v>727</v>
      </c>
      <c r="B1634" t="s">
        <v>2600</v>
      </c>
      <c r="C1634" s="7" t="s">
        <v>6</v>
      </c>
      <c r="D1634" t="s">
        <v>55</v>
      </c>
      <c r="E1634" t="s">
        <v>1843</v>
      </c>
      <c r="F1634" t="s">
        <v>1760</v>
      </c>
      <c r="I1634">
        <f t="shared" si="150"/>
        <v>0</v>
      </c>
      <c r="J1634">
        <f t="shared" si="151"/>
        <v>0</v>
      </c>
      <c r="K1634">
        <f t="shared" si="152"/>
        <v>1</v>
      </c>
      <c r="L1634">
        <f t="shared" si="153"/>
        <v>0</v>
      </c>
      <c r="M1634">
        <f t="shared" si="154"/>
        <v>0</v>
      </c>
      <c r="N1634">
        <f t="shared" si="155"/>
        <v>0</v>
      </c>
    </row>
    <row r="1635" spans="1:14" x14ac:dyDescent="0.35">
      <c r="A1635" t="s">
        <v>727</v>
      </c>
      <c r="B1635" t="s">
        <v>2600</v>
      </c>
      <c r="C1635" s="7" t="s">
        <v>6</v>
      </c>
      <c r="D1635" t="s">
        <v>55</v>
      </c>
      <c r="E1635" t="s">
        <v>1841</v>
      </c>
      <c r="F1635" t="s">
        <v>1760</v>
      </c>
      <c r="I1635">
        <f t="shared" si="150"/>
        <v>0</v>
      </c>
      <c r="J1635">
        <f t="shared" si="151"/>
        <v>0</v>
      </c>
      <c r="K1635">
        <f t="shared" si="152"/>
        <v>1</v>
      </c>
      <c r="L1635">
        <f t="shared" si="153"/>
        <v>0</v>
      </c>
      <c r="M1635">
        <f t="shared" si="154"/>
        <v>0</v>
      </c>
      <c r="N1635">
        <f t="shared" si="155"/>
        <v>0</v>
      </c>
    </row>
    <row r="1636" spans="1:14" x14ac:dyDescent="0.35">
      <c r="A1636" t="s">
        <v>727</v>
      </c>
      <c r="B1636" t="s">
        <v>2600</v>
      </c>
      <c r="C1636" s="7" t="s">
        <v>6</v>
      </c>
      <c r="D1636" t="s">
        <v>55</v>
      </c>
      <c r="E1636" t="s">
        <v>1842</v>
      </c>
      <c r="F1636" t="s">
        <v>1760</v>
      </c>
      <c r="I1636">
        <f t="shared" si="150"/>
        <v>0</v>
      </c>
      <c r="J1636">
        <f t="shared" si="151"/>
        <v>0</v>
      </c>
      <c r="K1636">
        <f t="shared" si="152"/>
        <v>1</v>
      </c>
      <c r="L1636">
        <f t="shared" si="153"/>
        <v>0</v>
      </c>
      <c r="M1636">
        <f t="shared" si="154"/>
        <v>0</v>
      </c>
      <c r="N1636">
        <f t="shared" si="155"/>
        <v>0</v>
      </c>
    </row>
    <row r="1637" spans="1:14" x14ac:dyDescent="0.35">
      <c r="A1637" t="s">
        <v>727</v>
      </c>
      <c r="B1637" t="s">
        <v>2600</v>
      </c>
      <c r="C1637" s="7" t="s">
        <v>6</v>
      </c>
      <c r="D1637" t="s">
        <v>55</v>
      </c>
      <c r="E1637" t="s">
        <v>1842</v>
      </c>
      <c r="F1637" t="s">
        <v>1760</v>
      </c>
      <c r="I1637">
        <f t="shared" si="150"/>
        <v>0</v>
      </c>
      <c r="J1637">
        <f t="shared" si="151"/>
        <v>0</v>
      </c>
      <c r="K1637">
        <f t="shared" si="152"/>
        <v>1</v>
      </c>
      <c r="L1637">
        <f t="shared" si="153"/>
        <v>0</v>
      </c>
      <c r="M1637">
        <f t="shared" si="154"/>
        <v>0</v>
      </c>
      <c r="N1637">
        <f t="shared" si="155"/>
        <v>0</v>
      </c>
    </row>
    <row r="1638" spans="1:14" x14ac:dyDescent="0.35">
      <c r="A1638" t="s">
        <v>700</v>
      </c>
      <c r="B1638" t="s">
        <v>2601</v>
      </c>
      <c r="C1638" s="7" t="s">
        <v>6</v>
      </c>
      <c r="D1638" t="s">
        <v>703</v>
      </c>
      <c r="E1638" t="s">
        <v>1826</v>
      </c>
      <c r="F1638" t="s">
        <v>1754</v>
      </c>
      <c r="I1638">
        <f t="shared" si="150"/>
        <v>0</v>
      </c>
      <c r="J1638">
        <f t="shared" si="151"/>
        <v>0</v>
      </c>
      <c r="K1638">
        <f t="shared" si="152"/>
        <v>0</v>
      </c>
      <c r="L1638">
        <f t="shared" si="153"/>
        <v>1</v>
      </c>
      <c r="M1638">
        <f t="shared" si="154"/>
        <v>0</v>
      </c>
      <c r="N1638">
        <f t="shared" si="155"/>
        <v>0</v>
      </c>
    </row>
    <row r="1639" spans="1:14" x14ac:dyDescent="0.35">
      <c r="A1639" t="s">
        <v>700</v>
      </c>
      <c r="B1639" t="s">
        <v>2601</v>
      </c>
      <c r="C1639" s="7" t="s">
        <v>6</v>
      </c>
      <c r="D1639" t="s">
        <v>703</v>
      </c>
      <c r="E1639" t="s">
        <v>1825</v>
      </c>
      <c r="F1639" t="s">
        <v>1754</v>
      </c>
      <c r="I1639">
        <f t="shared" si="150"/>
        <v>0</v>
      </c>
      <c r="J1639">
        <f t="shared" si="151"/>
        <v>0</v>
      </c>
      <c r="K1639">
        <f t="shared" si="152"/>
        <v>0</v>
      </c>
      <c r="L1639">
        <f t="shared" si="153"/>
        <v>1</v>
      </c>
      <c r="M1639">
        <f t="shared" si="154"/>
        <v>0</v>
      </c>
      <c r="N1639">
        <f t="shared" si="155"/>
        <v>0</v>
      </c>
    </row>
    <row r="1640" spans="1:14" x14ac:dyDescent="0.35">
      <c r="A1640" t="s">
        <v>929</v>
      </c>
      <c r="B1640" t="s">
        <v>2602</v>
      </c>
      <c r="C1640" s="7" t="s">
        <v>6</v>
      </c>
      <c r="D1640" t="s">
        <v>155</v>
      </c>
      <c r="E1640" t="s">
        <v>1894</v>
      </c>
      <c r="F1640" t="s">
        <v>1754</v>
      </c>
      <c r="I1640">
        <f t="shared" si="150"/>
        <v>0</v>
      </c>
      <c r="J1640">
        <f t="shared" si="151"/>
        <v>0</v>
      </c>
      <c r="K1640">
        <f t="shared" si="152"/>
        <v>0</v>
      </c>
      <c r="L1640">
        <f t="shared" si="153"/>
        <v>1</v>
      </c>
      <c r="M1640">
        <f t="shared" si="154"/>
        <v>0</v>
      </c>
      <c r="N1640">
        <f t="shared" si="155"/>
        <v>0</v>
      </c>
    </row>
    <row r="1641" spans="1:14" x14ac:dyDescent="0.35">
      <c r="A1641" t="s">
        <v>929</v>
      </c>
      <c r="B1641" t="s">
        <v>2602</v>
      </c>
      <c r="C1641" s="7" t="s">
        <v>6</v>
      </c>
      <c r="D1641" t="s">
        <v>155</v>
      </c>
      <c r="E1641" t="s">
        <v>1896</v>
      </c>
      <c r="F1641" t="s">
        <v>1754</v>
      </c>
      <c r="I1641">
        <f t="shared" si="150"/>
        <v>0</v>
      </c>
      <c r="J1641">
        <f t="shared" si="151"/>
        <v>0</v>
      </c>
      <c r="K1641">
        <f t="shared" si="152"/>
        <v>0</v>
      </c>
      <c r="L1641">
        <f t="shared" si="153"/>
        <v>1</v>
      </c>
      <c r="M1641">
        <f t="shared" si="154"/>
        <v>0</v>
      </c>
      <c r="N1641">
        <f t="shared" si="155"/>
        <v>0</v>
      </c>
    </row>
    <row r="1642" spans="1:14" x14ac:dyDescent="0.35">
      <c r="A1642" t="s">
        <v>559</v>
      </c>
      <c r="B1642" t="s">
        <v>2603</v>
      </c>
      <c r="C1642" s="7" t="s">
        <v>6</v>
      </c>
      <c r="D1642" t="s">
        <v>155</v>
      </c>
      <c r="E1642" t="s">
        <v>2068</v>
      </c>
      <c r="F1642" t="s">
        <v>1754</v>
      </c>
      <c r="I1642">
        <f t="shared" si="150"/>
        <v>0</v>
      </c>
      <c r="J1642">
        <f t="shared" si="151"/>
        <v>0</v>
      </c>
      <c r="K1642">
        <f t="shared" si="152"/>
        <v>0</v>
      </c>
      <c r="L1642">
        <f t="shared" si="153"/>
        <v>1</v>
      </c>
      <c r="M1642">
        <f t="shared" si="154"/>
        <v>0</v>
      </c>
      <c r="N1642">
        <f t="shared" si="155"/>
        <v>0</v>
      </c>
    </row>
    <row r="1643" spans="1:14" x14ac:dyDescent="0.35">
      <c r="A1643" t="s">
        <v>559</v>
      </c>
      <c r="B1643" t="s">
        <v>2603</v>
      </c>
      <c r="C1643" s="7" t="s">
        <v>6</v>
      </c>
      <c r="D1643" t="s">
        <v>155</v>
      </c>
      <c r="E1643" t="s">
        <v>2069</v>
      </c>
      <c r="F1643" t="s">
        <v>1754</v>
      </c>
      <c r="I1643">
        <f t="shared" si="150"/>
        <v>0</v>
      </c>
      <c r="J1643">
        <f t="shared" si="151"/>
        <v>0</v>
      </c>
      <c r="K1643">
        <f t="shared" si="152"/>
        <v>0</v>
      </c>
      <c r="L1643">
        <f t="shared" si="153"/>
        <v>1</v>
      </c>
      <c r="M1643">
        <f t="shared" si="154"/>
        <v>0</v>
      </c>
      <c r="N1643">
        <f t="shared" si="155"/>
        <v>0</v>
      </c>
    </row>
    <row r="1644" spans="1:14" x14ac:dyDescent="0.35">
      <c r="A1644" t="s">
        <v>559</v>
      </c>
      <c r="B1644" t="s">
        <v>2603</v>
      </c>
      <c r="C1644" s="7" t="s">
        <v>6</v>
      </c>
      <c r="D1644" t="s">
        <v>155</v>
      </c>
      <c r="E1644" t="s">
        <v>2070</v>
      </c>
      <c r="F1644" t="s">
        <v>1754</v>
      </c>
      <c r="I1644">
        <f t="shared" si="150"/>
        <v>0</v>
      </c>
      <c r="J1644">
        <f t="shared" si="151"/>
        <v>0</v>
      </c>
      <c r="K1644">
        <f t="shared" si="152"/>
        <v>0</v>
      </c>
      <c r="L1644">
        <f t="shared" si="153"/>
        <v>1</v>
      </c>
      <c r="M1644">
        <f t="shared" si="154"/>
        <v>0</v>
      </c>
      <c r="N1644">
        <f t="shared" si="155"/>
        <v>0</v>
      </c>
    </row>
    <row r="1645" spans="1:14" x14ac:dyDescent="0.35">
      <c r="A1645" t="s">
        <v>1362</v>
      </c>
      <c r="B1645" t="s">
        <v>2604</v>
      </c>
      <c r="C1645" s="7" t="s">
        <v>6</v>
      </c>
      <c r="D1645" t="s">
        <v>51</v>
      </c>
      <c r="E1645" t="s">
        <v>1946</v>
      </c>
      <c r="F1645" t="s">
        <v>1754</v>
      </c>
      <c r="I1645">
        <f t="shared" si="150"/>
        <v>0</v>
      </c>
      <c r="J1645">
        <f t="shared" si="151"/>
        <v>0</v>
      </c>
      <c r="K1645">
        <f t="shared" si="152"/>
        <v>0</v>
      </c>
      <c r="L1645">
        <f t="shared" si="153"/>
        <v>1</v>
      </c>
      <c r="M1645">
        <f t="shared" si="154"/>
        <v>0</v>
      </c>
      <c r="N1645">
        <f t="shared" si="155"/>
        <v>0</v>
      </c>
    </row>
    <row r="1646" spans="1:14" x14ac:dyDescent="0.35">
      <c r="A1646" t="s">
        <v>1362</v>
      </c>
      <c r="B1646" t="s">
        <v>2604</v>
      </c>
      <c r="C1646" s="7" t="s">
        <v>6</v>
      </c>
      <c r="D1646" t="s">
        <v>51</v>
      </c>
      <c r="E1646" t="s">
        <v>2064</v>
      </c>
      <c r="F1646" t="s">
        <v>1727</v>
      </c>
      <c r="I1646">
        <f t="shared" si="150"/>
        <v>0</v>
      </c>
      <c r="J1646">
        <f t="shared" si="151"/>
        <v>0</v>
      </c>
      <c r="K1646">
        <f t="shared" si="152"/>
        <v>0</v>
      </c>
      <c r="L1646">
        <f t="shared" si="153"/>
        <v>0</v>
      </c>
      <c r="M1646">
        <f t="shared" si="154"/>
        <v>1</v>
      </c>
      <c r="N1646">
        <f t="shared" si="155"/>
        <v>0</v>
      </c>
    </row>
    <row r="1647" spans="1:14" x14ac:dyDescent="0.35">
      <c r="A1647" t="s">
        <v>602</v>
      </c>
      <c r="B1647" t="s">
        <v>1790</v>
      </c>
      <c r="C1647" s="7" t="s">
        <v>10</v>
      </c>
      <c r="D1647" t="s">
        <v>604</v>
      </c>
      <c r="E1647" t="s">
        <v>1951</v>
      </c>
      <c r="F1647" t="s">
        <v>1754</v>
      </c>
      <c r="I1647">
        <f t="shared" si="150"/>
        <v>0</v>
      </c>
      <c r="J1647">
        <f t="shared" si="151"/>
        <v>0</v>
      </c>
      <c r="K1647">
        <f t="shared" si="152"/>
        <v>0</v>
      </c>
      <c r="L1647">
        <f t="shared" si="153"/>
        <v>1</v>
      </c>
      <c r="M1647">
        <f t="shared" si="154"/>
        <v>0</v>
      </c>
      <c r="N1647">
        <f t="shared" si="155"/>
        <v>0</v>
      </c>
    </row>
    <row r="1648" spans="1:14" x14ac:dyDescent="0.35">
      <c r="A1648" t="s">
        <v>602</v>
      </c>
      <c r="B1648" t="s">
        <v>1790</v>
      </c>
      <c r="C1648" s="7" t="s">
        <v>10</v>
      </c>
      <c r="D1648" t="s">
        <v>604</v>
      </c>
      <c r="E1648" t="s">
        <v>1953</v>
      </c>
      <c r="F1648" t="s">
        <v>1754</v>
      </c>
      <c r="I1648">
        <f t="shared" si="150"/>
        <v>0</v>
      </c>
      <c r="J1648">
        <f t="shared" si="151"/>
        <v>0</v>
      </c>
      <c r="K1648">
        <f t="shared" si="152"/>
        <v>0</v>
      </c>
      <c r="L1648">
        <f t="shared" si="153"/>
        <v>1</v>
      </c>
      <c r="M1648">
        <f t="shared" si="154"/>
        <v>0</v>
      </c>
      <c r="N1648">
        <f t="shared" si="155"/>
        <v>0</v>
      </c>
    </row>
    <row r="1649" spans="1:14" x14ac:dyDescent="0.35">
      <c r="A1649" t="s">
        <v>680</v>
      </c>
      <c r="B1649" t="s">
        <v>2605</v>
      </c>
      <c r="C1649" s="7" t="s">
        <v>10</v>
      </c>
      <c r="D1649" t="s">
        <v>276</v>
      </c>
      <c r="E1649" t="s">
        <v>1823</v>
      </c>
      <c r="F1649" t="s">
        <v>1760</v>
      </c>
      <c r="I1649">
        <f t="shared" si="150"/>
        <v>0</v>
      </c>
      <c r="J1649">
        <f t="shared" si="151"/>
        <v>0</v>
      </c>
      <c r="K1649">
        <f t="shared" si="152"/>
        <v>1</v>
      </c>
      <c r="L1649">
        <f t="shared" si="153"/>
        <v>0</v>
      </c>
      <c r="M1649">
        <f t="shared" si="154"/>
        <v>0</v>
      </c>
      <c r="N1649">
        <f t="shared" si="155"/>
        <v>0</v>
      </c>
    </row>
    <row r="1650" spans="1:14" x14ac:dyDescent="0.35">
      <c r="A1650" t="s">
        <v>680</v>
      </c>
      <c r="B1650" t="s">
        <v>2605</v>
      </c>
      <c r="C1650" s="7" t="s">
        <v>10</v>
      </c>
      <c r="D1650" t="s">
        <v>276</v>
      </c>
      <c r="E1650" t="s">
        <v>1843</v>
      </c>
      <c r="F1650" t="s">
        <v>1760</v>
      </c>
      <c r="I1650">
        <f t="shared" si="150"/>
        <v>0</v>
      </c>
      <c r="J1650">
        <f t="shared" si="151"/>
        <v>0</v>
      </c>
      <c r="K1650">
        <f t="shared" si="152"/>
        <v>1</v>
      </c>
      <c r="L1650">
        <f t="shared" si="153"/>
        <v>0</v>
      </c>
      <c r="M1650">
        <f t="shared" si="154"/>
        <v>0</v>
      </c>
      <c r="N1650">
        <f t="shared" si="155"/>
        <v>0</v>
      </c>
    </row>
    <row r="1651" spans="1:14" x14ac:dyDescent="0.35">
      <c r="A1651" t="s">
        <v>680</v>
      </c>
      <c r="B1651" t="s">
        <v>2605</v>
      </c>
      <c r="C1651" s="7" t="s">
        <v>10</v>
      </c>
      <c r="D1651" t="s">
        <v>276</v>
      </c>
      <c r="E1651" t="s">
        <v>1839</v>
      </c>
      <c r="F1651" t="s">
        <v>1760</v>
      </c>
      <c r="I1651">
        <f t="shared" si="150"/>
        <v>0</v>
      </c>
      <c r="J1651">
        <f t="shared" si="151"/>
        <v>0</v>
      </c>
      <c r="K1651">
        <f t="shared" si="152"/>
        <v>1</v>
      </c>
      <c r="L1651">
        <f t="shared" si="153"/>
        <v>0</v>
      </c>
      <c r="M1651">
        <f t="shared" si="154"/>
        <v>0</v>
      </c>
      <c r="N1651">
        <f t="shared" si="155"/>
        <v>0</v>
      </c>
    </row>
    <row r="1652" spans="1:14" x14ac:dyDescent="0.35">
      <c r="A1652" t="s">
        <v>680</v>
      </c>
      <c r="B1652" t="s">
        <v>2605</v>
      </c>
      <c r="C1652" s="7" t="s">
        <v>10</v>
      </c>
      <c r="D1652" t="s">
        <v>276</v>
      </c>
      <c r="E1652" t="s">
        <v>1822</v>
      </c>
      <c r="F1652" t="s">
        <v>1760</v>
      </c>
      <c r="I1652">
        <f t="shared" si="150"/>
        <v>0</v>
      </c>
      <c r="J1652">
        <f t="shared" si="151"/>
        <v>0</v>
      </c>
      <c r="K1652">
        <f t="shared" si="152"/>
        <v>1</v>
      </c>
      <c r="L1652">
        <f t="shared" si="153"/>
        <v>0</v>
      </c>
      <c r="M1652">
        <f t="shared" si="154"/>
        <v>0</v>
      </c>
      <c r="N1652">
        <f t="shared" si="155"/>
        <v>0</v>
      </c>
    </row>
    <row r="1653" spans="1:14" x14ac:dyDescent="0.35">
      <c r="A1653" t="s">
        <v>680</v>
      </c>
      <c r="B1653" t="s">
        <v>2605</v>
      </c>
      <c r="C1653" s="7" t="s">
        <v>6</v>
      </c>
      <c r="D1653" t="s">
        <v>276</v>
      </c>
      <c r="E1653" t="s">
        <v>1841</v>
      </c>
      <c r="F1653" t="s">
        <v>1760</v>
      </c>
      <c r="I1653">
        <f t="shared" si="150"/>
        <v>0</v>
      </c>
      <c r="J1653">
        <f t="shared" si="151"/>
        <v>0</v>
      </c>
      <c r="K1653">
        <f t="shared" si="152"/>
        <v>1</v>
      </c>
      <c r="L1653">
        <f t="shared" si="153"/>
        <v>0</v>
      </c>
      <c r="M1653">
        <f t="shared" si="154"/>
        <v>0</v>
      </c>
      <c r="N1653">
        <f t="shared" si="155"/>
        <v>0</v>
      </c>
    </row>
    <row r="1654" spans="1:14" x14ac:dyDescent="0.35">
      <c r="A1654" t="s">
        <v>680</v>
      </c>
      <c r="B1654" t="s">
        <v>2605</v>
      </c>
      <c r="C1654" s="7" t="s">
        <v>6</v>
      </c>
      <c r="D1654" t="s">
        <v>276</v>
      </c>
      <c r="E1654" t="s">
        <v>1842</v>
      </c>
      <c r="F1654" t="s">
        <v>1760</v>
      </c>
      <c r="I1654">
        <f t="shared" si="150"/>
        <v>0</v>
      </c>
      <c r="J1654">
        <f t="shared" si="151"/>
        <v>0</v>
      </c>
      <c r="K1654">
        <f t="shared" si="152"/>
        <v>1</v>
      </c>
      <c r="L1654">
        <f t="shared" si="153"/>
        <v>0</v>
      </c>
      <c r="M1654">
        <f t="shared" si="154"/>
        <v>0</v>
      </c>
      <c r="N1654">
        <f t="shared" si="155"/>
        <v>0</v>
      </c>
    </row>
    <row r="1655" spans="1:14" x14ac:dyDescent="0.35">
      <c r="A1655" t="s">
        <v>680</v>
      </c>
      <c r="B1655" t="s">
        <v>2605</v>
      </c>
      <c r="C1655" s="7" t="s">
        <v>6</v>
      </c>
      <c r="D1655" t="s">
        <v>276</v>
      </c>
      <c r="E1655" t="s">
        <v>1821</v>
      </c>
      <c r="F1655" t="s">
        <v>1760</v>
      </c>
      <c r="I1655">
        <f t="shared" si="150"/>
        <v>0</v>
      </c>
      <c r="J1655">
        <f t="shared" si="151"/>
        <v>0</v>
      </c>
      <c r="K1655">
        <f t="shared" si="152"/>
        <v>1</v>
      </c>
      <c r="L1655">
        <f t="shared" si="153"/>
        <v>0</v>
      </c>
      <c r="M1655">
        <f t="shared" si="154"/>
        <v>0</v>
      </c>
      <c r="N1655">
        <f t="shared" si="155"/>
        <v>0</v>
      </c>
    </row>
    <row r="1656" spans="1:14" x14ac:dyDescent="0.35">
      <c r="A1656" t="s">
        <v>680</v>
      </c>
      <c r="B1656" t="s">
        <v>2605</v>
      </c>
      <c r="C1656" s="7" t="s">
        <v>6</v>
      </c>
      <c r="D1656" t="s">
        <v>276</v>
      </c>
      <c r="E1656" t="s">
        <v>1838</v>
      </c>
      <c r="F1656" t="s">
        <v>1760</v>
      </c>
      <c r="I1656">
        <f t="shared" si="150"/>
        <v>0</v>
      </c>
      <c r="J1656">
        <f t="shared" si="151"/>
        <v>0</v>
      </c>
      <c r="K1656">
        <f t="shared" si="152"/>
        <v>1</v>
      </c>
      <c r="L1656">
        <f t="shared" si="153"/>
        <v>0</v>
      </c>
      <c r="M1656">
        <f t="shared" si="154"/>
        <v>0</v>
      </c>
      <c r="N1656">
        <f t="shared" si="155"/>
        <v>0</v>
      </c>
    </row>
    <row r="1657" spans="1:14" x14ac:dyDescent="0.35">
      <c r="A1657" t="s">
        <v>1011</v>
      </c>
      <c r="B1657" t="s">
        <v>2606</v>
      </c>
      <c r="C1657" s="7" t="s">
        <v>6</v>
      </c>
      <c r="D1657" t="s">
        <v>1012</v>
      </c>
      <c r="E1657" t="s">
        <v>1807</v>
      </c>
      <c r="F1657" t="s">
        <v>1754</v>
      </c>
      <c r="I1657">
        <f t="shared" si="150"/>
        <v>0</v>
      </c>
      <c r="J1657">
        <f t="shared" si="151"/>
        <v>0</v>
      </c>
      <c r="K1657">
        <f t="shared" si="152"/>
        <v>0</v>
      </c>
      <c r="L1657">
        <f t="shared" si="153"/>
        <v>1</v>
      </c>
      <c r="M1657">
        <f t="shared" si="154"/>
        <v>0</v>
      </c>
      <c r="N1657">
        <f t="shared" si="155"/>
        <v>0</v>
      </c>
    </row>
    <row r="1658" spans="1:14" x14ac:dyDescent="0.35">
      <c r="A1658" t="s">
        <v>1011</v>
      </c>
      <c r="B1658" t="s">
        <v>2606</v>
      </c>
      <c r="C1658" s="7" t="s">
        <v>6</v>
      </c>
      <c r="D1658" t="s">
        <v>1012</v>
      </c>
      <c r="E1658" t="s">
        <v>1828</v>
      </c>
      <c r="F1658" t="s">
        <v>1754</v>
      </c>
      <c r="I1658">
        <f t="shared" si="150"/>
        <v>0</v>
      </c>
      <c r="J1658">
        <f t="shared" si="151"/>
        <v>0</v>
      </c>
      <c r="K1658">
        <f t="shared" si="152"/>
        <v>0</v>
      </c>
      <c r="L1658">
        <f t="shared" si="153"/>
        <v>1</v>
      </c>
      <c r="M1658">
        <f t="shared" si="154"/>
        <v>0</v>
      </c>
      <c r="N1658">
        <f t="shared" si="155"/>
        <v>0</v>
      </c>
    </row>
    <row r="1659" spans="1:14" x14ac:dyDescent="0.35">
      <c r="A1659" t="s">
        <v>1011</v>
      </c>
      <c r="B1659" t="s">
        <v>2606</v>
      </c>
      <c r="C1659" s="7" t="s">
        <v>6</v>
      </c>
      <c r="D1659" t="s">
        <v>1012</v>
      </c>
      <c r="E1659" t="s">
        <v>1806</v>
      </c>
      <c r="F1659" t="s">
        <v>1754</v>
      </c>
      <c r="I1659">
        <f t="shared" si="150"/>
        <v>0</v>
      </c>
      <c r="J1659">
        <f t="shared" si="151"/>
        <v>0</v>
      </c>
      <c r="K1659">
        <f t="shared" si="152"/>
        <v>0</v>
      </c>
      <c r="L1659">
        <f t="shared" si="153"/>
        <v>1</v>
      </c>
      <c r="M1659">
        <f t="shared" si="154"/>
        <v>0</v>
      </c>
      <c r="N1659">
        <f t="shared" si="155"/>
        <v>0</v>
      </c>
    </row>
    <row r="1660" spans="1:14" x14ac:dyDescent="0.35">
      <c r="A1660" t="s">
        <v>247</v>
      </c>
      <c r="B1660" t="s">
        <v>2607</v>
      </c>
      <c r="C1660" s="7" t="s">
        <v>6</v>
      </c>
      <c r="D1660" t="s">
        <v>249</v>
      </c>
      <c r="E1660" t="s">
        <v>2095</v>
      </c>
      <c r="F1660" t="s">
        <v>1754</v>
      </c>
      <c r="I1660">
        <f t="shared" si="150"/>
        <v>0</v>
      </c>
      <c r="J1660">
        <f t="shared" si="151"/>
        <v>0</v>
      </c>
      <c r="K1660">
        <f t="shared" si="152"/>
        <v>0</v>
      </c>
      <c r="L1660">
        <f t="shared" si="153"/>
        <v>1</v>
      </c>
      <c r="M1660">
        <f t="shared" si="154"/>
        <v>0</v>
      </c>
      <c r="N1660">
        <f t="shared" si="155"/>
        <v>0</v>
      </c>
    </row>
    <row r="1661" spans="1:14" x14ac:dyDescent="0.35">
      <c r="A1661" t="s">
        <v>247</v>
      </c>
      <c r="B1661" t="s">
        <v>2607</v>
      </c>
      <c r="C1661" s="7" t="s">
        <v>6</v>
      </c>
      <c r="D1661" t="s">
        <v>249</v>
      </c>
      <c r="E1661" t="s">
        <v>1809</v>
      </c>
      <c r="F1661" t="s">
        <v>1754</v>
      </c>
      <c r="I1661">
        <f t="shared" si="150"/>
        <v>0</v>
      </c>
      <c r="J1661">
        <f t="shared" si="151"/>
        <v>0</v>
      </c>
      <c r="K1661">
        <f t="shared" si="152"/>
        <v>0</v>
      </c>
      <c r="L1661">
        <f t="shared" si="153"/>
        <v>1</v>
      </c>
      <c r="M1661">
        <f t="shared" si="154"/>
        <v>0</v>
      </c>
      <c r="N1661">
        <f t="shared" si="155"/>
        <v>0</v>
      </c>
    </row>
    <row r="1662" spans="1:14" x14ac:dyDescent="0.35">
      <c r="A1662" t="s">
        <v>247</v>
      </c>
      <c r="B1662" t="s">
        <v>2607</v>
      </c>
      <c r="C1662" s="7" t="s">
        <v>6</v>
      </c>
      <c r="D1662" t="s">
        <v>249</v>
      </c>
      <c r="E1662" t="s">
        <v>1992</v>
      </c>
      <c r="F1662" t="s">
        <v>1754</v>
      </c>
      <c r="I1662">
        <f t="shared" si="150"/>
        <v>0</v>
      </c>
      <c r="J1662">
        <f t="shared" si="151"/>
        <v>0</v>
      </c>
      <c r="K1662">
        <f t="shared" si="152"/>
        <v>0</v>
      </c>
      <c r="L1662">
        <f t="shared" si="153"/>
        <v>1</v>
      </c>
      <c r="M1662">
        <f t="shared" si="154"/>
        <v>0</v>
      </c>
      <c r="N1662">
        <f t="shared" si="155"/>
        <v>0</v>
      </c>
    </row>
    <row r="1663" spans="1:14" x14ac:dyDescent="0.35">
      <c r="A1663" t="s">
        <v>247</v>
      </c>
      <c r="B1663" t="s">
        <v>2607</v>
      </c>
      <c r="C1663" s="7" t="s">
        <v>6</v>
      </c>
      <c r="D1663" t="s">
        <v>249</v>
      </c>
      <c r="E1663" t="s">
        <v>1836</v>
      </c>
      <c r="F1663" t="s">
        <v>1754</v>
      </c>
      <c r="I1663">
        <f t="shared" si="150"/>
        <v>0</v>
      </c>
      <c r="J1663">
        <f t="shared" si="151"/>
        <v>0</v>
      </c>
      <c r="K1663">
        <f t="shared" si="152"/>
        <v>0</v>
      </c>
      <c r="L1663">
        <f t="shared" si="153"/>
        <v>1</v>
      </c>
      <c r="M1663">
        <f t="shared" si="154"/>
        <v>0</v>
      </c>
      <c r="N1663">
        <f t="shared" si="155"/>
        <v>0</v>
      </c>
    </row>
    <row r="1664" spans="1:14" x14ac:dyDescent="0.35">
      <c r="A1664" t="s">
        <v>828</v>
      </c>
      <c r="B1664" t="s">
        <v>2608</v>
      </c>
      <c r="C1664" s="7" t="s">
        <v>6</v>
      </c>
      <c r="D1664" t="s">
        <v>180</v>
      </c>
      <c r="E1664" t="s">
        <v>1940</v>
      </c>
      <c r="F1664" t="s">
        <v>1754</v>
      </c>
      <c r="I1664">
        <f t="shared" si="150"/>
        <v>0</v>
      </c>
      <c r="J1664">
        <f t="shared" si="151"/>
        <v>0</v>
      </c>
      <c r="K1664">
        <f t="shared" si="152"/>
        <v>0</v>
      </c>
      <c r="L1664">
        <f t="shared" si="153"/>
        <v>1</v>
      </c>
      <c r="M1664">
        <f t="shared" si="154"/>
        <v>0</v>
      </c>
      <c r="N1664">
        <f t="shared" si="155"/>
        <v>0</v>
      </c>
    </row>
    <row r="1665" spans="1:14" x14ac:dyDescent="0.35">
      <c r="A1665" t="s">
        <v>828</v>
      </c>
      <c r="B1665" t="s">
        <v>2608</v>
      </c>
      <c r="C1665" s="7" t="s">
        <v>6</v>
      </c>
      <c r="D1665" t="s">
        <v>180</v>
      </c>
      <c r="E1665" t="s">
        <v>1941</v>
      </c>
      <c r="F1665" t="s">
        <v>1754</v>
      </c>
      <c r="I1665">
        <f t="shared" si="150"/>
        <v>0</v>
      </c>
      <c r="J1665">
        <f t="shared" si="151"/>
        <v>0</v>
      </c>
      <c r="K1665">
        <f t="shared" si="152"/>
        <v>0</v>
      </c>
      <c r="L1665">
        <f t="shared" si="153"/>
        <v>1</v>
      </c>
      <c r="M1665">
        <f t="shared" si="154"/>
        <v>0</v>
      </c>
      <c r="N1665">
        <f t="shared" si="155"/>
        <v>0</v>
      </c>
    </row>
    <row r="1666" spans="1:14" x14ac:dyDescent="0.35">
      <c r="A1666" t="s">
        <v>1663</v>
      </c>
      <c r="B1666" t="s">
        <v>2609</v>
      </c>
      <c r="C1666" s="7" t="s">
        <v>6</v>
      </c>
      <c r="D1666" t="s">
        <v>100</v>
      </c>
      <c r="E1666" t="s">
        <v>2103</v>
      </c>
      <c r="F1666" t="s">
        <v>1805</v>
      </c>
      <c r="I1666">
        <f t="shared" si="150"/>
        <v>0</v>
      </c>
      <c r="J1666">
        <f t="shared" si="151"/>
        <v>1</v>
      </c>
      <c r="K1666">
        <f t="shared" si="152"/>
        <v>0</v>
      </c>
      <c r="L1666">
        <f t="shared" si="153"/>
        <v>0</v>
      </c>
      <c r="M1666">
        <f t="shared" si="154"/>
        <v>0</v>
      </c>
      <c r="N1666">
        <f t="shared" si="155"/>
        <v>0</v>
      </c>
    </row>
    <row r="1667" spans="1:14" x14ac:dyDescent="0.35">
      <c r="A1667" t="s">
        <v>1663</v>
      </c>
      <c r="B1667" t="s">
        <v>2609</v>
      </c>
      <c r="C1667" s="7" t="s">
        <v>6</v>
      </c>
      <c r="D1667" t="s">
        <v>100</v>
      </c>
      <c r="E1667" t="s">
        <v>1961</v>
      </c>
      <c r="F1667" t="s">
        <v>1805</v>
      </c>
      <c r="I1667">
        <f t="shared" ref="I1667:I1730" si="156">IF($F1667=$F$1,1,0)</f>
        <v>0</v>
      </c>
      <c r="J1667">
        <f t="shared" ref="J1667:J1730" si="157">IF($F1667=$J$1,1,0)</f>
        <v>1</v>
      </c>
      <c r="K1667">
        <f t="shared" ref="K1667:K1730" si="158">IF($F1667=$K$1,1,0)</f>
        <v>0</v>
      </c>
      <c r="L1667">
        <f t="shared" ref="L1667:L1730" si="159">IF($F1667=$L$1,1,0)</f>
        <v>0</v>
      </c>
      <c r="M1667">
        <f t="shared" ref="M1667:M1730" si="160">IF($F1667=$M$1,1,0)</f>
        <v>0</v>
      </c>
      <c r="N1667">
        <f t="shared" ref="N1667:N1730" si="161">IF($G1667&lt;&gt;"",1,0)</f>
        <v>0</v>
      </c>
    </row>
    <row r="1668" spans="1:14" x14ac:dyDescent="0.35">
      <c r="A1668" t="s">
        <v>894</v>
      </c>
      <c r="B1668" t="s">
        <v>2610</v>
      </c>
      <c r="C1668" s="7" t="s">
        <v>6</v>
      </c>
      <c r="D1668" t="s">
        <v>55</v>
      </c>
      <c r="E1668" t="s">
        <v>1911</v>
      </c>
      <c r="F1668" t="s">
        <v>1754</v>
      </c>
      <c r="I1668">
        <f t="shared" si="156"/>
        <v>0</v>
      </c>
      <c r="J1668">
        <f t="shared" si="157"/>
        <v>0</v>
      </c>
      <c r="K1668">
        <f t="shared" si="158"/>
        <v>0</v>
      </c>
      <c r="L1668">
        <f t="shared" si="159"/>
        <v>1</v>
      </c>
      <c r="M1668">
        <f t="shared" si="160"/>
        <v>0</v>
      </c>
      <c r="N1668">
        <f t="shared" si="161"/>
        <v>0</v>
      </c>
    </row>
    <row r="1669" spans="1:14" x14ac:dyDescent="0.35">
      <c r="A1669" t="s">
        <v>894</v>
      </c>
      <c r="B1669" t="s">
        <v>2610</v>
      </c>
      <c r="C1669" s="7" t="s">
        <v>6</v>
      </c>
      <c r="D1669" t="s">
        <v>55</v>
      </c>
      <c r="E1669" t="s">
        <v>1910</v>
      </c>
      <c r="F1669" t="s">
        <v>1754</v>
      </c>
      <c r="I1669">
        <f t="shared" si="156"/>
        <v>0</v>
      </c>
      <c r="J1669">
        <f t="shared" si="157"/>
        <v>0</v>
      </c>
      <c r="K1669">
        <f t="shared" si="158"/>
        <v>0</v>
      </c>
      <c r="L1669">
        <f t="shared" si="159"/>
        <v>1</v>
      </c>
      <c r="M1669">
        <f t="shared" si="160"/>
        <v>0</v>
      </c>
      <c r="N1669">
        <f t="shared" si="161"/>
        <v>0</v>
      </c>
    </row>
    <row r="1670" spans="1:14" x14ac:dyDescent="0.35">
      <c r="A1670" t="s">
        <v>137</v>
      </c>
      <c r="B1670" t="s">
        <v>1791</v>
      </c>
      <c r="C1670" s="7" t="s">
        <v>6</v>
      </c>
      <c r="D1670" t="s">
        <v>100</v>
      </c>
      <c r="E1670" t="s">
        <v>1821</v>
      </c>
      <c r="F1670" t="s">
        <v>1760</v>
      </c>
      <c r="I1670">
        <f t="shared" si="156"/>
        <v>0</v>
      </c>
      <c r="J1670">
        <f t="shared" si="157"/>
        <v>0</v>
      </c>
      <c r="K1670">
        <f t="shared" si="158"/>
        <v>1</v>
      </c>
      <c r="L1670">
        <f t="shared" si="159"/>
        <v>0</v>
      </c>
      <c r="M1670">
        <f t="shared" si="160"/>
        <v>0</v>
      </c>
      <c r="N1670">
        <f t="shared" si="161"/>
        <v>0</v>
      </c>
    </row>
    <row r="1671" spans="1:14" x14ac:dyDescent="0.35">
      <c r="A1671" t="s">
        <v>137</v>
      </c>
      <c r="B1671" t="s">
        <v>1791</v>
      </c>
      <c r="C1671" s="7" t="s">
        <v>6</v>
      </c>
      <c r="D1671" t="s">
        <v>100</v>
      </c>
      <c r="E1671" t="s">
        <v>1806</v>
      </c>
      <c r="F1671" t="s">
        <v>1754</v>
      </c>
      <c r="I1671">
        <f t="shared" si="156"/>
        <v>0</v>
      </c>
      <c r="J1671">
        <f t="shared" si="157"/>
        <v>0</v>
      </c>
      <c r="K1671">
        <f t="shared" si="158"/>
        <v>0</v>
      </c>
      <c r="L1671">
        <f t="shared" si="159"/>
        <v>1</v>
      </c>
      <c r="M1671">
        <f t="shared" si="160"/>
        <v>0</v>
      </c>
      <c r="N1671">
        <f t="shared" si="161"/>
        <v>0</v>
      </c>
    </row>
    <row r="1672" spans="1:14" x14ac:dyDescent="0.35">
      <c r="A1672" t="s">
        <v>137</v>
      </c>
      <c r="B1672" t="s">
        <v>1791</v>
      </c>
      <c r="C1672" s="7" t="s">
        <v>6</v>
      </c>
      <c r="D1672" t="s">
        <v>100</v>
      </c>
      <c r="E1672" t="s">
        <v>1807</v>
      </c>
      <c r="F1672" t="s">
        <v>1754</v>
      </c>
      <c r="I1672">
        <f t="shared" si="156"/>
        <v>0</v>
      </c>
      <c r="J1672">
        <f t="shared" si="157"/>
        <v>0</v>
      </c>
      <c r="K1672">
        <f t="shared" si="158"/>
        <v>0</v>
      </c>
      <c r="L1672">
        <f t="shared" si="159"/>
        <v>1</v>
      </c>
      <c r="M1672">
        <f t="shared" si="160"/>
        <v>0</v>
      </c>
      <c r="N1672">
        <f t="shared" si="161"/>
        <v>0</v>
      </c>
    </row>
    <row r="1673" spans="1:14" x14ac:dyDescent="0.35">
      <c r="A1673" t="s">
        <v>1539</v>
      </c>
      <c r="B1673" t="s">
        <v>1792</v>
      </c>
      <c r="C1673" s="7" t="s">
        <v>6</v>
      </c>
      <c r="D1673" t="s">
        <v>149</v>
      </c>
      <c r="E1673" t="s">
        <v>2068</v>
      </c>
      <c r="F1673" t="s">
        <v>1754</v>
      </c>
      <c r="I1673">
        <f t="shared" si="156"/>
        <v>0</v>
      </c>
      <c r="J1673">
        <f t="shared" si="157"/>
        <v>0</v>
      </c>
      <c r="K1673">
        <f t="shared" si="158"/>
        <v>0</v>
      </c>
      <c r="L1673">
        <f t="shared" si="159"/>
        <v>1</v>
      </c>
      <c r="M1673">
        <f t="shared" si="160"/>
        <v>0</v>
      </c>
      <c r="N1673">
        <f t="shared" si="161"/>
        <v>0</v>
      </c>
    </row>
    <row r="1674" spans="1:14" x14ac:dyDescent="0.35">
      <c r="A1674" t="s">
        <v>1539</v>
      </c>
      <c r="B1674" t="s">
        <v>1792</v>
      </c>
      <c r="C1674" s="7" t="s">
        <v>10</v>
      </c>
      <c r="D1674" t="s">
        <v>149</v>
      </c>
      <c r="E1674" t="s">
        <v>2069</v>
      </c>
      <c r="F1674" t="s">
        <v>1754</v>
      </c>
      <c r="I1674">
        <f t="shared" si="156"/>
        <v>0</v>
      </c>
      <c r="J1674">
        <f t="shared" si="157"/>
        <v>0</v>
      </c>
      <c r="K1674">
        <f t="shared" si="158"/>
        <v>0</v>
      </c>
      <c r="L1674">
        <f t="shared" si="159"/>
        <v>1</v>
      </c>
      <c r="M1674">
        <f t="shared" si="160"/>
        <v>0</v>
      </c>
      <c r="N1674">
        <f t="shared" si="161"/>
        <v>0</v>
      </c>
    </row>
    <row r="1675" spans="1:14" x14ac:dyDescent="0.35">
      <c r="A1675" t="s">
        <v>1539</v>
      </c>
      <c r="B1675" t="s">
        <v>1792</v>
      </c>
      <c r="C1675" s="7" t="s">
        <v>10</v>
      </c>
      <c r="D1675" t="s">
        <v>149</v>
      </c>
      <c r="E1675" t="s">
        <v>1810</v>
      </c>
      <c r="F1675" t="s">
        <v>1754</v>
      </c>
      <c r="I1675">
        <f t="shared" si="156"/>
        <v>0</v>
      </c>
      <c r="J1675">
        <f t="shared" si="157"/>
        <v>0</v>
      </c>
      <c r="K1675">
        <f t="shared" si="158"/>
        <v>0</v>
      </c>
      <c r="L1675">
        <f t="shared" si="159"/>
        <v>1</v>
      </c>
      <c r="M1675">
        <f t="shared" si="160"/>
        <v>0</v>
      </c>
      <c r="N1675">
        <f t="shared" si="161"/>
        <v>0</v>
      </c>
    </row>
    <row r="1676" spans="1:14" x14ac:dyDescent="0.35">
      <c r="A1676" t="s">
        <v>1539</v>
      </c>
      <c r="B1676" t="s">
        <v>1792</v>
      </c>
      <c r="C1676" s="7" t="s">
        <v>10</v>
      </c>
      <c r="D1676" t="s">
        <v>149</v>
      </c>
      <c r="E1676" t="s">
        <v>2070</v>
      </c>
      <c r="F1676" t="s">
        <v>1754</v>
      </c>
      <c r="I1676">
        <f t="shared" si="156"/>
        <v>0</v>
      </c>
      <c r="J1676">
        <f t="shared" si="157"/>
        <v>0</v>
      </c>
      <c r="K1676">
        <f t="shared" si="158"/>
        <v>0</v>
      </c>
      <c r="L1676">
        <f t="shared" si="159"/>
        <v>1</v>
      </c>
      <c r="M1676">
        <f t="shared" si="160"/>
        <v>0</v>
      </c>
      <c r="N1676">
        <f t="shared" si="161"/>
        <v>0</v>
      </c>
    </row>
    <row r="1677" spans="1:14" x14ac:dyDescent="0.35">
      <c r="A1677" t="s">
        <v>425</v>
      </c>
      <c r="B1677" t="s">
        <v>2611</v>
      </c>
      <c r="C1677" s="7" t="s">
        <v>10</v>
      </c>
      <c r="D1677" t="s">
        <v>97</v>
      </c>
      <c r="E1677" t="s">
        <v>1849</v>
      </c>
      <c r="F1677" t="s">
        <v>1754</v>
      </c>
      <c r="I1677">
        <f t="shared" si="156"/>
        <v>0</v>
      </c>
      <c r="J1677">
        <f t="shared" si="157"/>
        <v>0</v>
      </c>
      <c r="K1677">
        <f t="shared" si="158"/>
        <v>0</v>
      </c>
      <c r="L1677">
        <f t="shared" si="159"/>
        <v>1</v>
      </c>
      <c r="M1677">
        <f t="shared" si="160"/>
        <v>0</v>
      </c>
      <c r="N1677">
        <f t="shared" si="161"/>
        <v>0</v>
      </c>
    </row>
    <row r="1678" spans="1:14" x14ac:dyDescent="0.35">
      <c r="A1678" t="s">
        <v>373</v>
      </c>
      <c r="B1678" t="s">
        <v>2612</v>
      </c>
      <c r="C1678" s="7" t="s">
        <v>10</v>
      </c>
      <c r="D1678" t="s">
        <v>55</v>
      </c>
      <c r="E1678" t="s">
        <v>1905</v>
      </c>
      <c r="F1678" t="s">
        <v>1760</v>
      </c>
      <c r="G1678" t="s">
        <v>2613</v>
      </c>
      <c r="H1678" t="s">
        <v>2614</v>
      </c>
      <c r="I1678">
        <f t="shared" si="156"/>
        <v>0</v>
      </c>
      <c r="J1678">
        <f t="shared" si="157"/>
        <v>0</v>
      </c>
      <c r="K1678">
        <f t="shared" si="158"/>
        <v>1</v>
      </c>
      <c r="L1678">
        <f t="shared" si="159"/>
        <v>0</v>
      </c>
      <c r="M1678">
        <f t="shared" si="160"/>
        <v>0</v>
      </c>
      <c r="N1678">
        <f t="shared" si="161"/>
        <v>1</v>
      </c>
    </row>
    <row r="1679" spans="1:14" x14ac:dyDescent="0.35">
      <c r="A1679" t="s">
        <v>373</v>
      </c>
      <c r="B1679" t="s">
        <v>2612</v>
      </c>
      <c r="C1679" s="7" t="s">
        <v>10</v>
      </c>
      <c r="D1679" t="s">
        <v>55</v>
      </c>
      <c r="E1679" t="s">
        <v>1904</v>
      </c>
      <c r="F1679" t="s">
        <v>1760</v>
      </c>
      <c r="G1679" t="s">
        <v>2613</v>
      </c>
      <c r="H1679" t="s">
        <v>2614</v>
      </c>
      <c r="I1679">
        <f t="shared" si="156"/>
        <v>0</v>
      </c>
      <c r="J1679">
        <f t="shared" si="157"/>
        <v>0</v>
      </c>
      <c r="K1679">
        <f t="shared" si="158"/>
        <v>1</v>
      </c>
      <c r="L1679">
        <f t="shared" si="159"/>
        <v>0</v>
      </c>
      <c r="M1679">
        <f t="shared" si="160"/>
        <v>0</v>
      </c>
      <c r="N1679">
        <f t="shared" si="161"/>
        <v>1</v>
      </c>
    </row>
    <row r="1680" spans="1:14" x14ac:dyDescent="0.35">
      <c r="A1680" t="s">
        <v>373</v>
      </c>
      <c r="B1680" t="s">
        <v>2612</v>
      </c>
      <c r="C1680" s="7" t="s">
        <v>10</v>
      </c>
      <c r="D1680" t="s">
        <v>55</v>
      </c>
      <c r="E1680" t="s">
        <v>2163</v>
      </c>
      <c r="F1680" t="s">
        <v>1805</v>
      </c>
      <c r="G1680" t="s">
        <v>2613</v>
      </c>
      <c r="H1680" t="s">
        <v>2614</v>
      </c>
      <c r="I1680">
        <f t="shared" si="156"/>
        <v>0</v>
      </c>
      <c r="J1680">
        <f t="shared" si="157"/>
        <v>1</v>
      </c>
      <c r="K1680">
        <f t="shared" si="158"/>
        <v>0</v>
      </c>
      <c r="L1680">
        <f t="shared" si="159"/>
        <v>0</v>
      </c>
      <c r="M1680">
        <f t="shared" si="160"/>
        <v>0</v>
      </c>
      <c r="N1680">
        <f t="shared" si="161"/>
        <v>1</v>
      </c>
    </row>
    <row r="1681" spans="1:14" x14ac:dyDescent="0.35">
      <c r="A1681" t="s">
        <v>373</v>
      </c>
      <c r="B1681" t="s">
        <v>2612</v>
      </c>
      <c r="C1681" s="7" t="s">
        <v>10</v>
      </c>
      <c r="D1681" t="s">
        <v>55</v>
      </c>
      <c r="E1681" t="s">
        <v>2167</v>
      </c>
      <c r="F1681" t="s">
        <v>1805</v>
      </c>
      <c r="G1681" t="s">
        <v>2613</v>
      </c>
      <c r="H1681" t="s">
        <v>2614</v>
      </c>
      <c r="I1681">
        <f t="shared" si="156"/>
        <v>0</v>
      </c>
      <c r="J1681">
        <f t="shared" si="157"/>
        <v>1</v>
      </c>
      <c r="K1681">
        <f t="shared" si="158"/>
        <v>0</v>
      </c>
      <c r="L1681">
        <f t="shared" si="159"/>
        <v>0</v>
      </c>
      <c r="M1681">
        <f t="shared" si="160"/>
        <v>0</v>
      </c>
      <c r="N1681">
        <f t="shared" si="161"/>
        <v>1</v>
      </c>
    </row>
    <row r="1682" spans="1:14" x14ac:dyDescent="0.35">
      <c r="A1682" t="s">
        <v>322</v>
      </c>
      <c r="B1682" t="s">
        <v>2615</v>
      </c>
      <c r="C1682" s="7" t="s">
        <v>10</v>
      </c>
      <c r="D1682" t="s">
        <v>324</v>
      </c>
      <c r="E1682" t="s">
        <v>1838</v>
      </c>
      <c r="F1682" t="s">
        <v>1760</v>
      </c>
      <c r="I1682">
        <f t="shared" si="156"/>
        <v>0</v>
      </c>
      <c r="J1682">
        <f t="shared" si="157"/>
        <v>0</v>
      </c>
      <c r="K1682">
        <f t="shared" si="158"/>
        <v>1</v>
      </c>
      <c r="L1682">
        <f t="shared" si="159"/>
        <v>0</v>
      </c>
      <c r="M1682">
        <f t="shared" si="160"/>
        <v>0</v>
      </c>
      <c r="N1682">
        <f t="shared" si="161"/>
        <v>0</v>
      </c>
    </row>
    <row r="1683" spans="1:14" x14ac:dyDescent="0.35">
      <c r="A1683" t="s">
        <v>322</v>
      </c>
      <c r="B1683" t="s">
        <v>2615</v>
      </c>
      <c r="C1683" s="7" t="s">
        <v>10</v>
      </c>
      <c r="D1683" t="s">
        <v>324</v>
      </c>
      <c r="E1683" t="s">
        <v>1822</v>
      </c>
      <c r="F1683" t="s">
        <v>1760</v>
      </c>
      <c r="I1683">
        <f t="shared" si="156"/>
        <v>0</v>
      </c>
      <c r="J1683">
        <f t="shared" si="157"/>
        <v>0</v>
      </c>
      <c r="K1683">
        <f t="shared" si="158"/>
        <v>1</v>
      </c>
      <c r="L1683">
        <f t="shared" si="159"/>
        <v>0</v>
      </c>
      <c r="M1683">
        <f t="shared" si="160"/>
        <v>0</v>
      </c>
      <c r="N1683">
        <f t="shared" si="161"/>
        <v>0</v>
      </c>
    </row>
    <row r="1684" spans="1:14" x14ac:dyDescent="0.35">
      <c r="A1684" t="s">
        <v>322</v>
      </c>
      <c r="B1684" t="s">
        <v>2615</v>
      </c>
      <c r="C1684" s="7" t="s">
        <v>10</v>
      </c>
      <c r="D1684" t="s">
        <v>324</v>
      </c>
      <c r="E1684" t="s">
        <v>1839</v>
      </c>
      <c r="F1684" t="s">
        <v>1760</v>
      </c>
      <c r="I1684">
        <f t="shared" si="156"/>
        <v>0</v>
      </c>
      <c r="J1684">
        <f t="shared" si="157"/>
        <v>0</v>
      </c>
      <c r="K1684">
        <f t="shared" si="158"/>
        <v>1</v>
      </c>
      <c r="L1684">
        <f t="shared" si="159"/>
        <v>0</v>
      </c>
      <c r="M1684">
        <f t="shared" si="160"/>
        <v>0</v>
      </c>
      <c r="N1684">
        <f t="shared" si="161"/>
        <v>0</v>
      </c>
    </row>
    <row r="1685" spans="1:14" x14ac:dyDescent="0.35">
      <c r="A1685" t="s">
        <v>322</v>
      </c>
      <c r="B1685" t="s">
        <v>2615</v>
      </c>
      <c r="C1685" s="7" t="s">
        <v>10</v>
      </c>
      <c r="D1685" t="s">
        <v>324</v>
      </c>
      <c r="E1685" t="s">
        <v>1821</v>
      </c>
      <c r="F1685" t="s">
        <v>1760</v>
      </c>
      <c r="I1685">
        <f t="shared" si="156"/>
        <v>0</v>
      </c>
      <c r="J1685">
        <f t="shared" si="157"/>
        <v>0</v>
      </c>
      <c r="K1685">
        <f t="shared" si="158"/>
        <v>1</v>
      </c>
      <c r="L1685">
        <f t="shared" si="159"/>
        <v>0</v>
      </c>
      <c r="M1685">
        <f t="shared" si="160"/>
        <v>0</v>
      </c>
      <c r="N1685">
        <f t="shared" si="161"/>
        <v>0</v>
      </c>
    </row>
    <row r="1686" spans="1:14" x14ac:dyDescent="0.35">
      <c r="A1686" t="s">
        <v>322</v>
      </c>
      <c r="B1686" t="s">
        <v>2615</v>
      </c>
      <c r="C1686" s="7" t="s">
        <v>10</v>
      </c>
      <c r="D1686" t="s">
        <v>324</v>
      </c>
      <c r="E1686" t="s">
        <v>1841</v>
      </c>
      <c r="F1686" t="s">
        <v>1760</v>
      </c>
      <c r="I1686">
        <f t="shared" si="156"/>
        <v>0</v>
      </c>
      <c r="J1686">
        <f t="shared" si="157"/>
        <v>0</v>
      </c>
      <c r="K1686">
        <f t="shared" si="158"/>
        <v>1</v>
      </c>
      <c r="L1686">
        <f t="shared" si="159"/>
        <v>0</v>
      </c>
      <c r="M1686">
        <f t="shared" si="160"/>
        <v>0</v>
      </c>
      <c r="N1686">
        <f t="shared" si="161"/>
        <v>0</v>
      </c>
    </row>
    <row r="1687" spans="1:14" x14ac:dyDescent="0.35">
      <c r="A1687" t="s">
        <v>322</v>
      </c>
      <c r="B1687" t="s">
        <v>2615</v>
      </c>
      <c r="C1687" s="7" t="s">
        <v>10</v>
      </c>
      <c r="D1687" t="s">
        <v>324</v>
      </c>
      <c r="E1687" t="s">
        <v>1823</v>
      </c>
      <c r="F1687" t="s">
        <v>1760</v>
      </c>
      <c r="I1687">
        <f t="shared" si="156"/>
        <v>0</v>
      </c>
      <c r="J1687">
        <f t="shared" si="157"/>
        <v>0</v>
      </c>
      <c r="K1687">
        <f t="shared" si="158"/>
        <v>1</v>
      </c>
      <c r="L1687">
        <f t="shared" si="159"/>
        <v>0</v>
      </c>
      <c r="M1687">
        <f t="shared" si="160"/>
        <v>0</v>
      </c>
      <c r="N1687">
        <f t="shared" si="161"/>
        <v>0</v>
      </c>
    </row>
    <row r="1688" spans="1:14" x14ac:dyDescent="0.35">
      <c r="A1688" t="s">
        <v>322</v>
      </c>
      <c r="B1688" t="s">
        <v>2615</v>
      </c>
      <c r="C1688" s="7" t="s">
        <v>10</v>
      </c>
      <c r="D1688" t="s">
        <v>324</v>
      </c>
      <c r="E1688" t="s">
        <v>1843</v>
      </c>
      <c r="F1688" t="s">
        <v>1760</v>
      </c>
      <c r="I1688">
        <f t="shared" si="156"/>
        <v>0</v>
      </c>
      <c r="J1688">
        <f t="shared" si="157"/>
        <v>0</v>
      </c>
      <c r="K1688">
        <f t="shared" si="158"/>
        <v>1</v>
      </c>
      <c r="L1688">
        <f t="shared" si="159"/>
        <v>0</v>
      </c>
      <c r="M1688">
        <f t="shared" si="160"/>
        <v>0</v>
      </c>
      <c r="N1688">
        <f t="shared" si="161"/>
        <v>0</v>
      </c>
    </row>
    <row r="1689" spans="1:14" x14ac:dyDescent="0.35">
      <c r="A1689" t="s">
        <v>322</v>
      </c>
      <c r="B1689" t="s">
        <v>2615</v>
      </c>
      <c r="C1689" s="7" t="s">
        <v>10</v>
      </c>
      <c r="D1689" t="s">
        <v>324</v>
      </c>
      <c r="E1689" t="s">
        <v>1842</v>
      </c>
      <c r="F1689" t="s">
        <v>1760</v>
      </c>
      <c r="I1689">
        <f t="shared" si="156"/>
        <v>0</v>
      </c>
      <c r="J1689">
        <f t="shared" si="157"/>
        <v>0</v>
      </c>
      <c r="K1689">
        <f t="shared" si="158"/>
        <v>1</v>
      </c>
      <c r="L1689">
        <f t="shared" si="159"/>
        <v>0</v>
      </c>
      <c r="M1689">
        <f t="shared" si="160"/>
        <v>0</v>
      </c>
      <c r="N1689">
        <f t="shared" si="161"/>
        <v>0</v>
      </c>
    </row>
    <row r="1690" spans="1:14" x14ac:dyDescent="0.35">
      <c r="A1690" t="s">
        <v>1389</v>
      </c>
      <c r="B1690" t="s">
        <v>2616</v>
      </c>
      <c r="C1690" s="7" t="s">
        <v>10</v>
      </c>
      <c r="D1690" t="s">
        <v>1391</v>
      </c>
      <c r="E1690" t="s">
        <v>1996</v>
      </c>
      <c r="F1690" t="s">
        <v>1886</v>
      </c>
      <c r="I1690">
        <f t="shared" si="156"/>
        <v>0</v>
      </c>
      <c r="J1690">
        <f t="shared" si="157"/>
        <v>0</v>
      </c>
      <c r="K1690">
        <f t="shared" si="158"/>
        <v>0</v>
      </c>
      <c r="L1690">
        <f t="shared" si="159"/>
        <v>0</v>
      </c>
      <c r="M1690">
        <f t="shared" si="160"/>
        <v>0</v>
      </c>
      <c r="N1690">
        <f t="shared" si="161"/>
        <v>0</v>
      </c>
    </row>
    <row r="1691" spans="1:14" x14ac:dyDescent="0.35">
      <c r="A1691" t="s">
        <v>1389</v>
      </c>
      <c r="B1691" t="s">
        <v>2616</v>
      </c>
      <c r="C1691" s="7" t="s">
        <v>10</v>
      </c>
      <c r="D1691" t="s">
        <v>1391</v>
      </c>
      <c r="E1691" t="s">
        <v>1998</v>
      </c>
      <c r="F1691" t="s">
        <v>1886</v>
      </c>
      <c r="I1691">
        <f t="shared" si="156"/>
        <v>0</v>
      </c>
      <c r="J1691">
        <f t="shared" si="157"/>
        <v>0</v>
      </c>
      <c r="K1691">
        <f t="shared" si="158"/>
        <v>0</v>
      </c>
      <c r="L1691">
        <f t="shared" si="159"/>
        <v>0</v>
      </c>
      <c r="M1691">
        <f t="shared" si="160"/>
        <v>0</v>
      </c>
      <c r="N1691">
        <f t="shared" si="161"/>
        <v>0</v>
      </c>
    </row>
    <row r="1692" spans="1:14" x14ac:dyDescent="0.35">
      <c r="A1692" t="s">
        <v>1389</v>
      </c>
      <c r="B1692" t="s">
        <v>2616</v>
      </c>
      <c r="C1692" s="7" t="s">
        <v>10</v>
      </c>
      <c r="D1692" t="s">
        <v>1391</v>
      </c>
      <c r="E1692" t="s">
        <v>1997</v>
      </c>
      <c r="F1692" t="s">
        <v>1886</v>
      </c>
      <c r="I1692">
        <f t="shared" si="156"/>
        <v>0</v>
      </c>
      <c r="J1692">
        <f t="shared" si="157"/>
        <v>0</v>
      </c>
      <c r="K1692">
        <f t="shared" si="158"/>
        <v>0</v>
      </c>
      <c r="L1692">
        <f t="shared" si="159"/>
        <v>0</v>
      </c>
      <c r="M1692">
        <f t="shared" si="160"/>
        <v>0</v>
      </c>
      <c r="N1692">
        <f t="shared" si="161"/>
        <v>0</v>
      </c>
    </row>
    <row r="1693" spans="1:14" x14ac:dyDescent="0.35">
      <c r="A1693" t="s">
        <v>1389</v>
      </c>
      <c r="B1693" t="s">
        <v>2616</v>
      </c>
      <c r="C1693" s="7" t="s">
        <v>10</v>
      </c>
      <c r="D1693" t="s">
        <v>1391</v>
      </c>
      <c r="E1693" t="s">
        <v>2174</v>
      </c>
      <c r="F1693" t="s">
        <v>1805</v>
      </c>
      <c r="I1693">
        <f t="shared" si="156"/>
        <v>0</v>
      </c>
      <c r="J1693">
        <f t="shared" si="157"/>
        <v>1</v>
      </c>
      <c r="K1693">
        <f t="shared" si="158"/>
        <v>0</v>
      </c>
      <c r="L1693">
        <f t="shared" si="159"/>
        <v>0</v>
      </c>
      <c r="M1693">
        <f t="shared" si="160"/>
        <v>0</v>
      </c>
      <c r="N1693">
        <f t="shared" si="161"/>
        <v>0</v>
      </c>
    </row>
    <row r="1694" spans="1:14" x14ac:dyDescent="0.35">
      <c r="A1694" t="s">
        <v>1389</v>
      </c>
      <c r="B1694" t="s">
        <v>2616</v>
      </c>
      <c r="C1694" s="7" t="s">
        <v>10</v>
      </c>
      <c r="D1694" t="s">
        <v>1391</v>
      </c>
      <c r="E1694" t="s">
        <v>2106</v>
      </c>
      <c r="F1694" t="s">
        <v>1805</v>
      </c>
      <c r="I1694">
        <f t="shared" si="156"/>
        <v>0</v>
      </c>
      <c r="J1694">
        <f t="shared" si="157"/>
        <v>1</v>
      </c>
      <c r="K1694">
        <f t="shared" si="158"/>
        <v>0</v>
      </c>
      <c r="L1694">
        <f t="shared" si="159"/>
        <v>0</v>
      </c>
      <c r="M1694">
        <f t="shared" si="160"/>
        <v>0</v>
      </c>
      <c r="N1694">
        <f t="shared" si="161"/>
        <v>0</v>
      </c>
    </row>
    <row r="1695" spans="1:14" x14ac:dyDescent="0.35">
      <c r="A1695" t="s">
        <v>1389</v>
      </c>
      <c r="B1695" t="s">
        <v>2616</v>
      </c>
      <c r="C1695" s="7" t="s">
        <v>10</v>
      </c>
      <c r="D1695" t="s">
        <v>1391</v>
      </c>
      <c r="E1695" t="s">
        <v>2000</v>
      </c>
      <c r="F1695" t="s">
        <v>1886</v>
      </c>
      <c r="I1695">
        <f t="shared" si="156"/>
        <v>0</v>
      </c>
      <c r="J1695">
        <f t="shared" si="157"/>
        <v>0</v>
      </c>
      <c r="K1695">
        <f t="shared" si="158"/>
        <v>0</v>
      </c>
      <c r="L1695">
        <f t="shared" si="159"/>
        <v>0</v>
      </c>
      <c r="M1695">
        <f t="shared" si="160"/>
        <v>0</v>
      </c>
      <c r="N1695">
        <f t="shared" si="161"/>
        <v>0</v>
      </c>
    </row>
    <row r="1696" spans="1:14" x14ac:dyDescent="0.35">
      <c r="A1696" t="s">
        <v>1389</v>
      </c>
      <c r="B1696" t="s">
        <v>2616</v>
      </c>
      <c r="C1696" s="7" t="s">
        <v>10</v>
      </c>
      <c r="D1696" t="s">
        <v>1391</v>
      </c>
      <c r="E1696" t="s">
        <v>2101</v>
      </c>
      <c r="F1696" t="s">
        <v>1805</v>
      </c>
      <c r="I1696">
        <f t="shared" si="156"/>
        <v>0</v>
      </c>
      <c r="J1696">
        <f t="shared" si="157"/>
        <v>1</v>
      </c>
      <c r="K1696">
        <f t="shared" si="158"/>
        <v>0</v>
      </c>
      <c r="L1696">
        <f t="shared" si="159"/>
        <v>0</v>
      </c>
      <c r="M1696">
        <f t="shared" si="160"/>
        <v>0</v>
      </c>
      <c r="N1696">
        <f t="shared" si="161"/>
        <v>0</v>
      </c>
    </row>
    <row r="1697" spans="1:14" x14ac:dyDescent="0.35">
      <c r="A1697" t="s">
        <v>1389</v>
      </c>
      <c r="B1697" t="s">
        <v>2616</v>
      </c>
      <c r="C1697" s="7" t="s">
        <v>10</v>
      </c>
      <c r="D1697" t="s">
        <v>1391</v>
      </c>
      <c r="E1697" t="s">
        <v>1999</v>
      </c>
      <c r="F1697" t="s">
        <v>1886</v>
      </c>
      <c r="I1697">
        <f t="shared" si="156"/>
        <v>0</v>
      </c>
      <c r="J1697">
        <f t="shared" si="157"/>
        <v>0</v>
      </c>
      <c r="K1697">
        <f t="shared" si="158"/>
        <v>0</v>
      </c>
      <c r="L1697">
        <f t="shared" si="159"/>
        <v>0</v>
      </c>
      <c r="M1697">
        <f t="shared" si="160"/>
        <v>0</v>
      </c>
      <c r="N1697">
        <f t="shared" si="161"/>
        <v>0</v>
      </c>
    </row>
    <row r="1698" spans="1:14" x14ac:dyDescent="0.35">
      <c r="A1698" t="s">
        <v>1021</v>
      </c>
      <c r="B1698" t="s">
        <v>2617</v>
      </c>
      <c r="C1698" s="7" t="s">
        <v>10</v>
      </c>
      <c r="D1698" t="s">
        <v>554</v>
      </c>
      <c r="E1698" t="s">
        <v>1806</v>
      </c>
      <c r="F1698" t="s">
        <v>1754</v>
      </c>
      <c r="G1698" t="s">
        <v>2618</v>
      </c>
      <c r="H1698" t="s">
        <v>2619</v>
      </c>
      <c r="I1698">
        <f t="shared" si="156"/>
        <v>0</v>
      </c>
      <c r="J1698">
        <f t="shared" si="157"/>
        <v>0</v>
      </c>
      <c r="K1698">
        <f t="shared" si="158"/>
        <v>0</v>
      </c>
      <c r="L1698">
        <f t="shared" si="159"/>
        <v>1</v>
      </c>
      <c r="M1698">
        <f t="shared" si="160"/>
        <v>0</v>
      </c>
      <c r="N1698">
        <f t="shared" si="161"/>
        <v>1</v>
      </c>
    </row>
    <row r="1699" spans="1:14" x14ac:dyDescent="0.35">
      <c r="A1699" t="s">
        <v>1021</v>
      </c>
      <c r="B1699" t="s">
        <v>2617</v>
      </c>
      <c r="C1699" s="7" t="s">
        <v>10</v>
      </c>
      <c r="D1699" t="s">
        <v>554</v>
      </c>
      <c r="E1699" t="s">
        <v>1807</v>
      </c>
      <c r="F1699" t="s">
        <v>1754</v>
      </c>
      <c r="G1699" t="s">
        <v>2618</v>
      </c>
      <c r="H1699" t="s">
        <v>2619</v>
      </c>
      <c r="I1699">
        <f t="shared" si="156"/>
        <v>0</v>
      </c>
      <c r="J1699">
        <f t="shared" si="157"/>
        <v>0</v>
      </c>
      <c r="K1699">
        <f t="shared" si="158"/>
        <v>0</v>
      </c>
      <c r="L1699">
        <f t="shared" si="159"/>
        <v>1</v>
      </c>
      <c r="M1699">
        <f t="shared" si="160"/>
        <v>0</v>
      </c>
      <c r="N1699">
        <f t="shared" si="161"/>
        <v>1</v>
      </c>
    </row>
    <row r="1700" spans="1:14" x14ac:dyDescent="0.35">
      <c r="A1700" t="s">
        <v>353</v>
      </c>
      <c r="B1700" t="s">
        <v>2620</v>
      </c>
      <c r="C1700" s="7" t="s">
        <v>10</v>
      </c>
      <c r="D1700" t="s">
        <v>276</v>
      </c>
      <c r="E1700" t="s">
        <v>1813</v>
      </c>
      <c r="F1700" t="s">
        <v>1760</v>
      </c>
      <c r="I1700">
        <f t="shared" si="156"/>
        <v>0</v>
      </c>
      <c r="J1700">
        <f t="shared" si="157"/>
        <v>0</v>
      </c>
      <c r="K1700">
        <f t="shared" si="158"/>
        <v>1</v>
      </c>
      <c r="L1700">
        <f t="shared" si="159"/>
        <v>0</v>
      </c>
      <c r="M1700">
        <f t="shared" si="160"/>
        <v>0</v>
      </c>
      <c r="N1700">
        <f t="shared" si="161"/>
        <v>0</v>
      </c>
    </row>
    <row r="1701" spans="1:14" x14ac:dyDescent="0.35">
      <c r="A1701" t="s">
        <v>1002</v>
      </c>
      <c r="B1701" t="s">
        <v>2621</v>
      </c>
      <c r="C1701" s="7" t="s">
        <v>10</v>
      </c>
      <c r="D1701" t="s">
        <v>55</v>
      </c>
      <c r="E1701" t="s">
        <v>1828</v>
      </c>
      <c r="F1701" t="s">
        <v>1754</v>
      </c>
      <c r="I1701">
        <f t="shared" si="156"/>
        <v>0</v>
      </c>
      <c r="J1701">
        <f t="shared" si="157"/>
        <v>0</v>
      </c>
      <c r="K1701">
        <f t="shared" si="158"/>
        <v>0</v>
      </c>
      <c r="L1701">
        <f t="shared" si="159"/>
        <v>1</v>
      </c>
      <c r="M1701">
        <f t="shared" si="160"/>
        <v>0</v>
      </c>
      <c r="N1701">
        <f t="shared" si="161"/>
        <v>0</v>
      </c>
    </row>
    <row r="1702" spans="1:14" x14ac:dyDescent="0.35">
      <c r="A1702" t="s">
        <v>1002</v>
      </c>
      <c r="B1702" t="s">
        <v>2621</v>
      </c>
      <c r="C1702" s="7" t="s">
        <v>10</v>
      </c>
      <c r="D1702" t="s">
        <v>55</v>
      </c>
      <c r="E1702" t="s">
        <v>2249</v>
      </c>
      <c r="F1702" t="s">
        <v>1805</v>
      </c>
      <c r="I1702">
        <f t="shared" si="156"/>
        <v>0</v>
      </c>
      <c r="J1702">
        <f t="shared" si="157"/>
        <v>1</v>
      </c>
      <c r="K1702">
        <f t="shared" si="158"/>
        <v>0</v>
      </c>
      <c r="L1702">
        <f t="shared" si="159"/>
        <v>0</v>
      </c>
      <c r="M1702">
        <f t="shared" si="160"/>
        <v>0</v>
      </c>
      <c r="N1702">
        <f t="shared" si="161"/>
        <v>0</v>
      </c>
    </row>
    <row r="1703" spans="1:14" x14ac:dyDescent="0.35">
      <c r="A1703" t="s">
        <v>1002</v>
      </c>
      <c r="B1703" t="s">
        <v>2621</v>
      </c>
      <c r="C1703" s="7" t="s">
        <v>10</v>
      </c>
      <c r="D1703" t="s">
        <v>55</v>
      </c>
      <c r="E1703" t="s">
        <v>2085</v>
      </c>
      <c r="F1703" t="s">
        <v>1805</v>
      </c>
      <c r="I1703">
        <f t="shared" si="156"/>
        <v>0</v>
      </c>
      <c r="J1703">
        <f t="shared" si="157"/>
        <v>1</v>
      </c>
      <c r="K1703">
        <f t="shared" si="158"/>
        <v>0</v>
      </c>
      <c r="L1703">
        <f t="shared" si="159"/>
        <v>0</v>
      </c>
      <c r="M1703">
        <f t="shared" si="160"/>
        <v>0</v>
      </c>
      <c r="N1703">
        <f t="shared" si="161"/>
        <v>0</v>
      </c>
    </row>
    <row r="1704" spans="1:14" x14ac:dyDescent="0.35">
      <c r="A1704" t="s">
        <v>1002</v>
      </c>
      <c r="B1704" t="s">
        <v>2621</v>
      </c>
      <c r="C1704" s="7" t="s">
        <v>10</v>
      </c>
      <c r="D1704" t="s">
        <v>55</v>
      </c>
      <c r="E1704" t="s">
        <v>1845</v>
      </c>
      <c r="F1704" t="s">
        <v>1754</v>
      </c>
      <c r="I1704">
        <f t="shared" si="156"/>
        <v>0</v>
      </c>
      <c r="J1704">
        <f t="shared" si="157"/>
        <v>0</v>
      </c>
      <c r="K1704">
        <f t="shared" si="158"/>
        <v>0</v>
      </c>
      <c r="L1704">
        <f t="shared" si="159"/>
        <v>1</v>
      </c>
      <c r="M1704">
        <f t="shared" si="160"/>
        <v>0</v>
      </c>
      <c r="N1704">
        <f t="shared" si="161"/>
        <v>0</v>
      </c>
    </row>
    <row r="1705" spans="1:14" x14ac:dyDescent="0.35">
      <c r="A1705" t="s">
        <v>1002</v>
      </c>
      <c r="B1705" t="s">
        <v>2621</v>
      </c>
      <c r="C1705" s="7" t="s">
        <v>10</v>
      </c>
      <c r="D1705" t="s">
        <v>55</v>
      </c>
      <c r="E1705" t="s">
        <v>1807</v>
      </c>
      <c r="F1705" t="s">
        <v>1754</v>
      </c>
      <c r="I1705">
        <f t="shared" si="156"/>
        <v>0</v>
      </c>
      <c r="J1705">
        <f t="shared" si="157"/>
        <v>0</v>
      </c>
      <c r="K1705">
        <f t="shared" si="158"/>
        <v>0</v>
      </c>
      <c r="L1705">
        <f t="shared" si="159"/>
        <v>1</v>
      </c>
      <c r="M1705">
        <f t="shared" si="160"/>
        <v>0</v>
      </c>
      <c r="N1705">
        <f t="shared" si="161"/>
        <v>0</v>
      </c>
    </row>
    <row r="1706" spans="1:14" x14ac:dyDescent="0.35">
      <c r="A1706" t="s">
        <v>1002</v>
      </c>
      <c r="B1706" t="s">
        <v>2621</v>
      </c>
      <c r="C1706" s="7" t="s">
        <v>10</v>
      </c>
      <c r="D1706" t="s">
        <v>55</v>
      </c>
      <c r="E1706" t="s">
        <v>1847</v>
      </c>
      <c r="F1706" t="s">
        <v>1754</v>
      </c>
      <c r="I1706">
        <f t="shared" si="156"/>
        <v>0</v>
      </c>
      <c r="J1706">
        <f t="shared" si="157"/>
        <v>0</v>
      </c>
      <c r="K1706">
        <f t="shared" si="158"/>
        <v>0</v>
      </c>
      <c r="L1706">
        <f t="shared" si="159"/>
        <v>1</v>
      </c>
      <c r="M1706">
        <f t="shared" si="160"/>
        <v>0</v>
      </c>
      <c r="N1706">
        <f t="shared" si="161"/>
        <v>0</v>
      </c>
    </row>
    <row r="1707" spans="1:14" x14ac:dyDescent="0.35">
      <c r="A1707" t="s">
        <v>1002</v>
      </c>
      <c r="B1707" t="s">
        <v>2621</v>
      </c>
      <c r="C1707" s="7" t="s">
        <v>10</v>
      </c>
      <c r="D1707" t="s">
        <v>55</v>
      </c>
      <c r="E1707" t="s">
        <v>1894</v>
      </c>
      <c r="F1707" t="s">
        <v>1754</v>
      </c>
      <c r="I1707">
        <f t="shared" si="156"/>
        <v>0</v>
      </c>
      <c r="J1707">
        <f t="shared" si="157"/>
        <v>0</v>
      </c>
      <c r="K1707">
        <f t="shared" si="158"/>
        <v>0</v>
      </c>
      <c r="L1707">
        <f t="shared" si="159"/>
        <v>1</v>
      </c>
      <c r="M1707">
        <f t="shared" si="160"/>
        <v>0</v>
      </c>
      <c r="N1707">
        <f t="shared" si="161"/>
        <v>0</v>
      </c>
    </row>
    <row r="1708" spans="1:14" x14ac:dyDescent="0.35">
      <c r="A1708" t="s">
        <v>1002</v>
      </c>
      <c r="B1708" t="s">
        <v>2621</v>
      </c>
      <c r="C1708" s="7" t="s">
        <v>10</v>
      </c>
      <c r="D1708" t="s">
        <v>55</v>
      </c>
      <c r="E1708" t="s">
        <v>1896</v>
      </c>
      <c r="F1708" t="s">
        <v>1754</v>
      </c>
      <c r="I1708">
        <f t="shared" si="156"/>
        <v>0</v>
      </c>
      <c r="J1708">
        <f t="shared" si="157"/>
        <v>0</v>
      </c>
      <c r="K1708">
        <f t="shared" si="158"/>
        <v>0</v>
      </c>
      <c r="L1708">
        <f t="shared" si="159"/>
        <v>1</v>
      </c>
      <c r="M1708">
        <f t="shared" si="160"/>
        <v>0</v>
      </c>
      <c r="N1708">
        <f t="shared" si="161"/>
        <v>0</v>
      </c>
    </row>
    <row r="1709" spans="1:14" x14ac:dyDescent="0.35">
      <c r="A1709" t="s">
        <v>1002</v>
      </c>
      <c r="B1709" t="s">
        <v>2621</v>
      </c>
      <c r="C1709" s="7" t="s">
        <v>10</v>
      </c>
      <c r="D1709" t="s">
        <v>55</v>
      </c>
      <c r="E1709" t="s">
        <v>1806</v>
      </c>
      <c r="F1709" t="s">
        <v>1754</v>
      </c>
      <c r="I1709">
        <f t="shared" si="156"/>
        <v>0</v>
      </c>
      <c r="J1709">
        <f t="shared" si="157"/>
        <v>0</v>
      </c>
      <c r="K1709">
        <f t="shared" si="158"/>
        <v>0</v>
      </c>
      <c r="L1709">
        <f t="shared" si="159"/>
        <v>1</v>
      </c>
      <c r="M1709">
        <f t="shared" si="160"/>
        <v>0</v>
      </c>
      <c r="N1709">
        <f t="shared" si="161"/>
        <v>0</v>
      </c>
    </row>
    <row r="1710" spans="1:14" x14ac:dyDescent="0.35">
      <c r="A1710" t="s">
        <v>865</v>
      </c>
      <c r="B1710" t="s">
        <v>2622</v>
      </c>
      <c r="C1710" s="7" t="s">
        <v>10</v>
      </c>
      <c r="D1710" t="s">
        <v>55</v>
      </c>
      <c r="E1710" t="s">
        <v>1996</v>
      </c>
      <c r="F1710" t="s">
        <v>1886</v>
      </c>
      <c r="I1710">
        <f t="shared" si="156"/>
        <v>0</v>
      </c>
      <c r="J1710">
        <f t="shared" si="157"/>
        <v>0</v>
      </c>
      <c r="K1710">
        <f t="shared" si="158"/>
        <v>0</v>
      </c>
      <c r="L1710">
        <f t="shared" si="159"/>
        <v>0</v>
      </c>
      <c r="M1710">
        <f t="shared" si="160"/>
        <v>0</v>
      </c>
      <c r="N1710">
        <f t="shared" si="161"/>
        <v>0</v>
      </c>
    </row>
    <row r="1711" spans="1:14" x14ac:dyDescent="0.35">
      <c r="A1711" t="s">
        <v>555</v>
      </c>
      <c r="B1711" t="s">
        <v>2623</v>
      </c>
      <c r="C1711" s="7" t="s">
        <v>6</v>
      </c>
      <c r="D1711" t="s">
        <v>558</v>
      </c>
      <c r="E1711" t="s">
        <v>1835</v>
      </c>
      <c r="F1711" t="s">
        <v>1754</v>
      </c>
      <c r="G1711" t="s">
        <v>2624</v>
      </c>
      <c r="H1711" t="s">
        <v>2533</v>
      </c>
      <c r="I1711">
        <f t="shared" si="156"/>
        <v>0</v>
      </c>
      <c r="J1711">
        <f t="shared" si="157"/>
        <v>0</v>
      </c>
      <c r="K1711">
        <f t="shared" si="158"/>
        <v>0</v>
      </c>
      <c r="L1711">
        <f t="shared" si="159"/>
        <v>1</v>
      </c>
      <c r="M1711">
        <f t="shared" si="160"/>
        <v>0</v>
      </c>
      <c r="N1711">
        <f t="shared" si="161"/>
        <v>1</v>
      </c>
    </row>
    <row r="1712" spans="1:14" x14ac:dyDescent="0.35">
      <c r="A1712" t="s">
        <v>909</v>
      </c>
      <c r="B1712" t="s">
        <v>2625</v>
      </c>
      <c r="C1712" s="7" t="s">
        <v>6</v>
      </c>
      <c r="D1712" t="s">
        <v>55</v>
      </c>
      <c r="E1712" t="s">
        <v>1874</v>
      </c>
      <c r="F1712" t="s">
        <v>1727</v>
      </c>
      <c r="I1712">
        <f t="shared" si="156"/>
        <v>0</v>
      </c>
      <c r="J1712">
        <f t="shared" si="157"/>
        <v>0</v>
      </c>
      <c r="K1712">
        <f t="shared" si="158"/>
        <v>0</v>
      </c>
      <c r="L1712">
        <f t="shared" si="159"/>
        <v>0</v>
      </c>
      <c r="M1712">
        <f t="shared" si="160"/>
        <v>1</v>
      </c>
      <c r="N1712">
        <f t="shared" si="161"/>
        <v>0</v>
      </c>
    </row>
    <row r="1713" spans="1:14" x14ac:dyDescent="0.35">
      <c r="A1713" t="s">
        <v>909</v>
      </c>
      <c r="B1713" t="s">
        <v>2625</v>
      </c>
      <c r="C1713" s="7" t="s">
        <v>6</v>
      </c>
      <c r="D1713" t="s">
        <v>55</v>
      </c>
      <c r="E1713" t="s">
        <v>1875</v>
      </c>
      <c r="F1713" t="s">
        <v>1727</v>
      </c>
      <c r="I1713">
        <f t="shared" si="156"/>
        <v>0</v>
      </c>
      <c r="J1713">
        <f t="shared" si="157"/>
        <v>0</v>
      </c>
      <c r="K1713">
        <f t="shared" si="158"/>
        <v>0</v>
      </c>
      <c r="L1713">
        <f t="shared" si="159"/>
        <v>0</v>
      </c>
      <c r="M1713">
        <f t="shared" si="160"/>
        <v>1</v>
      </c>
      <c r="N1713">
        <f t="shared" si="161"/>
        <v>0</v>
      </c>
    </row>
    <row r="1714" spans="1:14" x14ac:dyDescent="0.35">
      <c r="A1714" t="s">
        <v>1616</v>
      </c>
      <c r="B1714" t="s">
        <v>2626</v>
      </c>
      <c r="C1714" s="7" t="s">
        <v>6</v>
      </c>
      <c r="D1714" t="s">
        <v>55</v>
      </c>
      <c r="E1714" t="s">
        <v>1996</v>
      </c>
      <c r="F1714" t="s">
        <v>1886</v>
      </c>
      <c r="G1714" t="s">
        <v>2627</v>
      </c>
      <c r="H1714" t="s">
        <v>2055</v>
      </c>
      <c r="I1714">
        <f t="shared" si="156"/>
        <v>0</v>
      </c>
      <c r="J1714">
        <f t="shared" si="157"/>
        <v>0</v>
      </c>
      <c r="K1714">
        <f t="shared" si="158"/>
        <v>0</v>
      </c>
      <c r="L1714">
        <f t="shared" si="159"/>
        <v>0</v>
      </c>
      <c r="M1714">
        <f t="shared" si="160"/>
        <v>0</v>
      </c>
      <c r="N1714">
        <f t="shared" si="161"/>
        <v>1</v>
      </c>
    </row>
    <row r="1715" spans="1:14" x14ac:dyDescent="0.35">
      <c r="A1715" t="s">
        <v>1616</v>
      </c>
      <c r="B1715" t="s">
        <v>2626</v>
      </c>
      <c r="C1715" s="7" t="s">
        <v>6</v>
      </c>
      <c r="D1715" t="s">
        <v>55</v>
      </c>
      <c r="E1715" t="s">
        <v>2000</v>
      </c>
      <c r="F1715" t="s">
        <v>1886</v>
      </c>
      <c r="G1715" t="s">
        <v>2627</v>
      </c>
      <c r="H1715" t="s">
        <v>2055</v>
      </c>
      <c r="I1715">
        <f t="shared" si="156"/>
        <v>0</v>
      </c>
      <c r="J1715">
        <f t="shared" si="157"/>
        <v>0</v>
      </c>
      <c r="K1715">
        <f t="shared" si="158"/>
        <v>0</v>
      </c>
      <c r="L1715">
        <f t="shared" si="159"/>
        <v>0</v>
      </c>
      <c r="M1715">
        <f t="shared" si="160"/>
        <v>0</v>
      </c>
      <c r="N1715">
        <f t="shared" si="161"/>
        <v>1</v>
      </c>
    </row>
    <row r="1716" spans="1:14" x14ac:dyDescent="0.35">
      <c r="A1716" t="s">
        <v>1616</v>
      </c>
      <c r="B1716" t="s">
        <v>2626</v>
      </c>
      <c r="C1716" s="7" t="s">
        <v>6</v>
      </c>
      <c r="D1716" t="s">
        <v>55</v>
      </c>
      <c r="E1716" t="s">
        <v>1997</v>
      </c>
      <c r="F1716" t="s">
        <v>1886</v>
      </c>
      <c r="G1716" t="s">
        <v>2627</v>
      </c>
      <c r="H1716" t="s">
        <v>2055</v>
      </c>
      <c r="I1716">
        <f t="shared" si="156"/>
        <v>0</v>
      </c>
      <c r="J1716">
        <f t="shared" si="157"/>
        <v>0</v>
      </c>
      <c r="K1716">
        <f t="shared" si="158"/>
        <v>0</v>
      </c>
      <c r="L1716">
        <f t="shared" si="159"/>
        <v>0</v>
      </c>
      <c r="M1716">
        <f t="shared" si="160"/>
        <v>0</v>
      </c>
      <c r="N1716">
        <f t="shared" si="161"/>
        <v>1</v>
      </c>
    </row>
    <row r="1717" spans="1:14" x14ac:dyDescent="0.35">
      <c r="A1717" t="s">
        <v>1616</v>
      </c>
      <c r="B1717" t="s">
        <v>2626</v>
      </c>
      <c r="C1717" s="7" t="s">
        <v>6</v>
      </c>
      <c r="D1717" t="s">
        <v>55</v>
      </c>
      <c r="E1717" t="s">
        <v>1998</v>
      </c>
      <c r="F1717" t="s">
        <v>1886</v>
      </c>
      <c r="G1717" t="s">
        <v>2627</v>
      </c>
      <c r="H1717" t="s">
        <v>2055</v>
      </c>
      <c r="I1717">
        <f t="shared" si="156"/>
        <v>0</v>
      </c>
      <c r="J1717">
        <f t="shared" si="157"/>
        <v>0</v>
      </c>
      <c r="K1717">
        <f t="shared" si="158"/>
        <v>0</v>
      </c>
      <c r="L1717">
        <f t="shared" si="159"/>
        <v>0</v>
      </c>
      <c r="M1717">
        <f t="shared" si="160"/>
        <v>0</v>
      </c>
      <c r="N1717">
        <f t="shared" si="161"/>
        <v>1</v>
      </c>
    </row>
    <row r="1718" spans="1:14" x14ac:dyDescent="0.35">
      <c r="A1718" t="s">
        <v>1616</v>
      </c>
      <c r="B1718" t="s">
        <v>2626</v>
      </c>
      <c r="C1718" s="7" t="s">
        <v>6</v>
      </c>
      <c r="D1718" t="s">
        <v>55</v>
      </c>
      <c r="E1718" t="s">
        <v>1999</v>
      </c>
      <c r="F1718" t="s">
        <v>1886</v>
      </c>
      <c r="G1718" t="s">
        <v>2627</v>
      </c>
      <c r="H1718" t="s">
        <v>2055</v>
      </c>
      <c r="I1718">
        <f t="shared" si="156"/>
        <v>0</v>
      </c>
      <c r="J1718">
        <f t="shared" si="157"/>
        <v>0</v>
      </c>
      <c r="K1718">
        <f t="shared" si="158"/>
        <v>0</v>
      </c>
      <c r="L1718">
        <f t="shared" si="159"/>
        <v>0</v>
      </c>
      <c r="M1718">
        <f t="shared" si="160"/>
        <v>0</v>
      </c>
      <c r="N1718">
        <f t="shared" si="161"/>
        <v>1</v>
      </c>
    </row>
    <row r="1719" spans="1:14" x14ac:dyDescent="0.35">
      <c r="A1719" t="s">
        <v>1254</v>
      </c>
      <c r="B1719" t="s">
        <v>2628</v>
      </c>
      <c r="C1719" s="7" t="s">
        <v>6</v>
      </c>
      <c r="D1719" t="s">
        <v>55</v>
      </c>
      <c r="E1719" t="s">
        <v>1821</v>
      </c>
      <c r="F1719" t="s">
        <v>1760</v>
      </c>
      <c r="I1719">
        <f t="shared" si="156"/>
        <v>0</v>
      </c>
      <c r="J1719">
        <f t="shared" si="157"/>
        <v>0</v>
      </c>
      <c r="K1719">
        <f t="shared" si="158"/>
        <v>1</v>
      </c>
      <c r="L1719">
        <f t="shared" si="159"/>
        <v>0</v>
      </c>
      <c r="M1719">
        <f t="shared" si="160"/>
        <v>0</v>
      </c>
      <c r="N1719">
        <f t="shared" si="161"/>
        <v>0</v>
      </c>
    </row>
    <row r="1720" spans="1:14" x14ac:dyDescent="0.35">
      <c r="A1720" t="s">
        <v>1254</v>
      </c>
      <c r="B1720" t="s">
        <v>2628</v>
      </c>
      <c r="C1720" s="7" t="s">
        <v>6</v>
      </c>
      <c r="D1720" t="s">
        <v>55</v>
      </c>
      <c r="E1720" t="s">
        <v>1822</v>
      </c>
      <c r="F1720" t="s">
        <v>1760</v>
      </c>
      <c r="I1720">
        <f t="shared" si="156"/>
        <v>0</v>
      </c>
      <c r="J1720">
        <f t="shared" si="157"/>
        <v>0</v>
      </c>
      <c r="K1720">
        <f t="shared" si="158"/>
        <v>1</v>
      </c>
      <c r="L1720">
        <f t="shared" si="159"/>
        <v>0</v>
      </c>
      <c r="M1720">
        <f t="shared" si="160"/>
        <v>0</v>
      </c>
      <c r="N1720">
        <f t="shared" si="161"/>
        <v>0</v>
      </c>
    </row>
    <row r="1721" spans="1:14" x14ac:dyDescent="0.35">
      <c r="A1721" t="s">
        <v>1254</v>
      </c>
      <c r="B1721" t="s">
        <v>2628</v>
      </c>
      <c r="C1721" s="7" t="s">
        <v>6</v>
      </c>
      <c r="D1721" t="s">
        <v>55</v>
      </c>
      <c r="E1721" t="s">
        <v>1814</v>
      </c>
      <c r="F1721" t="s">
        <v>1760</v>
      </c>
      <c r="I1721">
        <f t="shared" si="156"/>
        <v>0</v>
      </c>
      <c r="J1721">
        <f t="shared" si="157"/>
        <v>0</v>
      </c>
      <c r="K1721">
        <f t="shared" si="158"/>
        <v>1</v>
      </c>
      <c r="L1721">
        <f t="shared" si="159"/>
        <v>0</v>
      </c>
      <c r="M1721">
        <f t="shared" si="160"/>
        <v>0</v>
      </c>
      <c r="N1721">
        <f t="shared" si="161"/>
        <v>0</v>
      </c>
    </row>
    <row r="1722" spans="1:14" x14ac:dyDescent="0.35">
      <c r="A1722" t="s">
        <v>793</v>
      </c>
      <c r="B1722" t="s">
        <v>2629</v>
      </c>
      <c r="C1722" s="7" t="s">
        <v>6</v>
      </c>
      <c r="D1722" t="s">
        <v>80</v>
      </c>
      <c r="E1722" t="s">
        <v>1870</v>
      </c>
      <c r="F1722" t="s">
        <v>1727</v>
      </c>
      <c r="I1722">
        <f t="shared" si="156"/>
        <v>0</v>
      </c>
      <c r="J1722">
        <f t="shared" si="157"/>
        <v>0</v>
      </c>
      <c r="K1722">
        <f t="shared" si="158"/>
        <v>0</v>
      </c>
      <c r="L1722">
        <f t="shared" si="159"/>
        <v>0</v>
      </c>
      <c r="M1722">
        <f t="shared" si="160"/>
        <v>1</v>
      </c>
      <c r="N1722">
        <f t="shared" si="161"/>
        <v>0</v>
      </c>
    </row>
    <row r="1723" spans="1:14" x14ac:dyDescent="0.35">
      <c r="A1723" t="s">
        <v>1173</v>
      </c>
      <c r="B1723" t="s">
        <v>2630</v>
      </c>
      <c r="C1723" s="7" t="s">
        <v>6</v>
      </c>
      <c r="D1723" t="s">
        <v>1175</v>
      </c>
      <c r="E1723" t="s">
        <v>1856</v>
      </c>
      <c r="F1723" t="s">
        <v>1760</v>
      </c>
      <c r="I1723">
        <f t="shared" si="156"/>
        <v>0</v>
      </c>
      <c r="J1723">
        <f t="shared" si="157"/>
        <v>0</v>
      </c>
      <c r="K1723">
        <f t="shared" si="158"/>
        <v>1</v>
      </c>
      <c r="L1723">
        <f t="shared" si="159"/>
        <v>0</v>
      </c>
      <c r="M1723">
        <f t="shared" si="160"/>
        <v>0</v>
      </c>
      <c r="N1723">
        <f t="shared" si="161"/>
        <v>0</v>
      </c>
    </row>
    <row r="1724" spans="1:14" x14ac:dyDescent="0.35">
      <c r="A1724" t="s">
        <v>1173</v>
      </c>
      <c r="B1724" t="s">
        <v>2630</v>
      </c>
      <c r="C1724" s="7" t="s">
        <v>9</v>
      </c>
      <c r="D1724" t="s">
        <v>1175</v>
      </c>
      <c r="E1724" t="s">
        <v>1945</v>
      </c>
      <c r="F1724" t="s">
        <v>1754</v>
      </c>
      <c r="I1724">
        <f t="shared" si="156"/>
        <v>0</v>
      </c>
      <c r="J1724">
        <f t="shared" si="157"/>
        <v>0</v>
      </c>
      <c r="K1724">
        <f t="shared" si="158"/>
        <v>0</v>
      </c>
      <c r="L1724">
        <f t="shared" si="159"/>
        <v>1</v>
      </c>
      <c r="M1724">
        <f t="shared" si="160"/>
        <v>0</v>
      </c>
      <c r="N1724">
        <f t="shared" si="161"/>
        <v>0</v>
      </c>
    </row>
    <row r="1725" spans="1:14" x14ac:dyDescent="0.35">
      <c r="A1725" t="s">
        <v>1173</v>
      </c>
      <c r="B1725" t="s">
        <v>2630</v>
      </c>
      <c r="C1725" s="7" t="s">
        <v>9</v>
      </c>
      <c r="D1725" t="s">
        <v>1175</v>
      </c>
      <c r="E1725" t="s">
        <v>1944</v>
      </c>
      <c r="F1725" t="s">
        <v>1754</v>
      </c>
      <c r="I1725">
        <f t="shared" si="156"/>
        <v>0</v>
      </c>
      <c r="J1725">
        <f t="shared" si="157"/>
        <v>0</v>
      </c>
      <c r="K1725">
        <f t="shared" si="158"/>
        <v>0</v>
      </c>
      <c r="L1725">
        <f t="shared" si="159"/>
        <v>1</v>
      </c>
      <c r="M1725">
        <f t="shared" si="160"/>
        <v>0</v>
      </c>
      <c r="N1725">
        <f t="shared" si="161"/>
        <v>0</v>
      </c>
    </row>
    <row r="1726" spans="1:14" x14ac:dyDescent="0.35">
      <c r="A1726" t="s">
        <v>1456</v>
      </c>
      <c r="B1726" t="s">
        <v>2631</v>
      </c>
      <c r="C1726" s="7" t="s">
        <v>9</v>
      </c>
      <c r="D1726" t="s">
        <v>1457</v>
      </c>
      <c r="E1726" t="s">
        <v>1823</v>
      </c>
      <c r="F1726" t="s">
        <v>1760</v>
      </c>
      <c r="I1726">
        <f t="shared" si="156"/>
        <v>0</v>
      </c>
      <c r="J1726">
        <f t="shared" si="157"/>
        <v>0</v>
      </c>
      <c r="K1726">
        <f t="shared" si="158"/>
        <v>1</v>
      </c>
      <c r="L1726">
        <f t="shared" si="159"/>
        <v>0</v>
      </c>
      <c r="M1726">
        <f t="shared" si="160"/>
        <v>0</v>
      </c>
      <c r="N1726">
        <f t="shared" si="161"/>
        <v>0</v>
      </c>
    </row>
    <row r="1727" spans="1:14" x14ac:dyDescent="0.35">
      <c r="A1727" t="s">
        <v>81</v>
      </c>
      <c r="B1727" t="s">
        <v>2632</v>
      </c>
      <c r="C1727" s="7" t="s">
        <v>9</v>
      </c>
      <c r="D1727" t="s">
        <v>60</v>
      </c>
      <c r="E1727" t="s">
        <v>2062</v>
      </c>
      <c r="F1727" t="s">
        <v>1727</v>
      </c>
      <c r="G1727" t="s">
        <v>2633</v>
      </c>
      <c r="H1727" t="s">
        <v>2634</v>
      </c>
      <c r="I1727">
        <f t="shared" si="156"/>
        <v>0</v>
      </c>
      <c r="J1727">
        <f t="shared" si="157"/>
        <v>0</v>
      </c>
      <c r="K1727">
        <f t="shared" si="158"/>
        <v>0</v>
      </c>
      <c r="L1727">
        <f t="shared" si="159"/>
        <v>0</v>
      </c>
      <c r="M1727">
        <f t="shared" si="160"/>
        <v>1</v>
      </c>
      <c r="N1727">
        <f t="shared" si="161"/>
        <v>1</v>
      </c>
    </row>
    <row r="1728" spans="1:14" x14ac:dyDescent="0.35">
      <c r="A1728" t="s">
        <v>81</v>
      </c>
      <c r="B1728" t="s">
        <v>2632</v>
      </c>
      <c r="C1728" s="7" t="s">
        <v>9</v>
      </c>
      <c r="D1728" t="s">
        <v>60</v>
      </c>
      <c r="E1728" t="s">
        <v>1932</v>
      </c>
      <c r="F1728" t="s">
        <v>1727</v>
      </c>
      <c r="G1728" t="s">
        <v>2633</v>
      </c>
      <c r="H1728" t="s">
        <v>2634</v>
      </c>
      <c r="I1728">
        <f t="shared" si="156"/>
        <v>0</v>
      </c>
      <c r="J1728">
        <f t="shared" si="157"/>
        <v>0</v>
      </c>
      <c r="K1728">
        <f t="shared" si="158"/>
        <v>0</v>
      </c>
      <c r="L1728">
        <f t="shared" si="159"/>
        <v>0</v>
      </c>
      <c r="M1728">
        <f t="shared" si="160"/>
        <v>1</v>
      </c>
      <c r="N1728">
        <f t="shared" si="161"/>
        <v>1</v>
      </c>
    </row>
    <row r="1729" spans="1:14" x14ac:dyDescent="0.35">
      <c r="A1729" t="s">
        <v>81</v>
      </c>
      <c r="B1729" t="s">
        <v>2632</v>
      </c>
      <c r="C1729" s="7" t="s">
        <v>9</v>
      </c>
      <c r="D1729" t="s">
        <v>60</v>
      </c>
      <c r="E1729" t="s">
        <v>1840</v>
      </c>
      <c r="F1729" t="s">
        <v>1760</v>
      </c>
      <c r="G1729" t="s">
        <v>2633</v>
      </c>
      <c r="H1729" t="s">
        <v>2634</v>
      </c>
      <c r="I1729">
        <f t="shared" si="156"/>
        <v>0</v>
      </c>
      <c r="J1729">
        <f t="shared" si="157"/>
        <v>0</v>
      </c>
      <c r="K1729">
        <f t="shared" si="158"/>
        <v>1</v>
      </c>
      <c r="L1729">
        <f t="shared" si="159"/>
        <v>0</v>
      </c>
      <c r="M1729">
        <f t="shared" si="160"/>
        <v>0</v>
      </c>
      <c r="N1729">
        <f t="shared" si="161"/>
        <v>1</v>
      </c>
    </row>
    <row r="1730" spans="1:14" x14ac:dyDescent="0.35">
      <c r="A1730" t="s">
        <v>1686</v>
      </c>
      <c r="B1730" t="s">
        <v>2635</v>
      </c>
      <c r="C1730" s="7" t="s">
        <v>6</v>
      </c>
      <c r="D1730" t="s">
        <v>55</v>
      </c>
      <c r="E1730" t="s">
        <v>1818</v>
      </c>
      <c r="F1730" t="s">
        <v>1760</v>
      </c>
      <c r="I1730">
        <f t="shared" si="156"/>
        <v>0</v>
      </c>
      <c r="J1730">
        <f t="shared" si="157"/>
        <v>0</v>
      </c>
      <c r="K1730">
        <f t="shared" si="158"/>
        <v>1</v>
      </c>
      <c r="L1730">
        <f t="shared" si="159"/>
        <v>0</v>
      </c>
      <c r="M1730">
        <f t="shared" si="160"/>
        <v>0</v>
      </c>
      <c r="N1730">
        <f t="shared" si="161"/>
        <v>0</v>
      </c>
    </row>
    <row r="1731" spans="1:14" x14ac:dyDescent="0.35">
      <c r="A1731" t="s">
        <v>175</v>
      </c>
      <c r="B1731" t="s">
        <v>1794</v>
      </c>
      <c r="C1731" s="7" t="s">
        <v>6</v>
      </c>
      <c r="D1731" t="s">
        <v>55</v>
      </c>
      <c r="E1731" t="s">
        <v>2053</v>
      </c>
      <c r="F1731" t="s">
        <v>1805</v>
      </c>
      <c r="I1731">
        <f t="shared" ref="I1731:I1794" si="162">IF($F1731=$F$1,1,0)</f>
        <v>0</v>
      </c>
      <c r="J1731">
        <f t="shared" ref="J1731:J1794" si="163">IF($F1731=$J$1,1,0)</f>
        <v>1</v>
      </c>
      <c r="K1731">
        <f t="shared" ref="K1731:K1794" si="164">IF($F1731=$K$1,1,0)</f>
        <v>0</v>
      </c>
      <c r="L1731">
        <f t="shared" ref="L1731:L1794" si="165">IF($F1731=$L$1,1,0)</f>
        <v>0</v>
      </c>
      <c r="M1731">
        <f t="shared" ref="M1731:M1794" si="166">IF($F1731=$M$1,1,0)</f>
        <v>0</v>
      </c>
      <c r="N1731">
        <f t="shared" ref="N1731:N1794" si="167">IF($G1731&lt;&gt;"",1,0)</f>
        <v>0</v>
      </c>
    </row>
    <row r="1732" spans="1:14" x14ac:dyDescent="0.35">
      <c r="A1732" t="s">
        <v>942</v>
      </c>
      <c r="B1732" t="s">
        <v>2636</v>
      </c>
      <c r="C1732" s="7" t="s">
        <v>6</v>
      </c>
      <c r="D1732" t="s">
        <v>55</v>
      </c>
      <c r="E1732" t="s">
        <v>1822</v>
      </c>
      <c r="F1732" t="s">
        <v>1760</v>
      </c>
      <c r="I1732">
        <f t="shared" si="162"/>
        <v>0</v>
      </c>
      <c r="J1732">
        <f t="shared" si="163"/>
        <v>0</v>
      </c>
      <c r="K1732">
        <f t="shared" si="164"/>
        <v>1</v>
      </c>
      <c r="L1732">
        <f t="shared" si="165"/>
        <v>0</v>
      </c>
      <c r="M1732">
        <f t="shared" si="166"/>
        <v>0</v>
      </c>
      <c r="N1732">
        <f t="shared" si="167"/>
        <v>0</v>
      </c>
    </row>
    <row r="1733" spans="1:14" x14ac:dyDescent="0.35">
      <c r="A1733" t="s">
        <v>942</v>
      </c>
      <c r="B1733" t="s">
        <v>2636</v>
      </c>
      <c r="C1733" s="7" t="s">
        <v>10</v>
      </c>
      <c r="D1733" t="s">
        <v>55</v>
      </c>
      <c r="E1733" t="s">
        <v>1821</v>
      </c>
      <c r="F1733" t="s">
        <v>1760</v>
      </c>
      <c r="I1733">
        <f t="shared" si="162"/>
        <v>0</v>
      </c>
      <c r="J1733">
        <f t="shared" si="163"/>
        <v>0</v>
      </c>
      <c r="K1733">
        <f t="shared" si="164"/>
        <v>1</v>
      </c>
      <c r="L1733">
        <f t="shared" si="165"/>
        <v>0</v>
      </c>
      <c r="M1733">
        <f t="shared" si="166"/>
        <v>0</v>
      </c>
      <c r="N1733">
        <f t="shared" si="167"/>
        <v>0</v>
      </c>
    </row>
    <row r="1734" spans="1:14" x14ac:dyDescent="0.35">
      <c r="A1734" t="s">
        <v>1293</v>
      </c>
      <c r="B1734" t="s">
        <v>2637</v>
      </c>
      <c r="C1734" s="7" t="s">
        <v>10</v>
      </c>
      <c r="D1734" t="s">
        <v>461</v>
      </c>
      <c r="E1734" t="s">
        <v>1810</v>
      </c>
      <c r="F1734" t="s">
        <v>1754</v>
      </c>
      <c r="I1734">
        <f t="shared" si="162"/>
        <v>0</v>
      </c>
      <c r="J1734">
        <f t="shared" si="163"/>
        <v>0</v>
      </c>
      <c r="K1734">
        <f t="shared" si="164"/>
        <v>0</v>
      </c>
      <c r="L1734">
        <f t="shared" si="165"/>
        <v>1</v>
      </c>
      <c r="M1734">
        <f t="shared" si="166"/>
        <v>0</v>
      </c>
      <c r="N1734">
        <f t="shared" si="167"/>
        <v>0</v>
      </c>
    </row>
    <row r="1735" spans="1:14" x14ac:dyDescent="0.35">
      <c r="A1735" t="s">
        <v>1357</v>
      </c>
      <c r="B1735" t="s">
        <v>2638</v>
      </c>
      <c r="C1735" s="7" t="s">
        <v>6</v>
      </c>
      <c r="D1735" t="s">
        <v>55</v>
      </c>
      <c r="E1735" t="s">
        <v>2639</v>
      </c>
      <c r="F1735" t="s">
        <v>1754</v>
      </c>
      <c r="I1735">
        <f t="shared" si="162"/>
        <v>0</v>
      </c>
      <c r="J1735">
        <f t="shared" si="163"/>
        <v>0</v>
      </c>
      <c r="K1735">
        <f t="shared" si="164"/>
        <v>0</v>
      </c>
      <c r="L1735">
        <f t="shared" si="165"/>
        <v>1</v>
      </c>
      <c r="M1735">
        <f t="shared" si="166"/>
        <v>0</v>
      </c>
      <c r="N1735">
        <f t="shared" si="167"/>
        <v>0</v>
      </c>
    </row>
    <row r="1736" spans="1:14" x14ac:dyDescent="0.35">
      <c r="A1736" t="s">
        <v>1357</v>
      </c>
      <c r="B1736" t="s">
        <v>2638</v>
      </c>
      <c r="C1736" s="7" t="s">
        <v>6</v>
      </c>
      <c r="D1736" t="s">
        <v>55</v>
      </c>
      <c r="E1736" t="s">
        <v>2640</v>
      </c>
      <c r="F1736" t="s">
        <v>1754</v>
      </c>
      <c r="I1736">
        <f t="shared" si="162"/>
        <v>0</v>
      </c>
      <c r="J1736">
        <f t="shared" si="163"/>
        <v>0</v>
      </c>
      <c r="K1736">
        <f t="shared" si="164"/>
        <v>0</v>
      </c>
      <c r="L1736">
        <f t="shared" si="165"/>
        <v>1</v>
      </c>
      <c r="M1736">
        <f t="shared" si="166"/>
        <v>0</v>
      </c>
      <c r="N1736">
        <f t="shared" si="167"/>
        <v>0</v>
      </c>
    </row>
    <row r="1737" spans="1:14" x14ac:dyDescent="0.35">
      <c r="A1737" t="s">
        <v>399</v>
      </c>
      <c r="B1737" t="s">
        <v>2641</v>
      </c>
      <c r="C1737" s="7" t="s">
        <v>6</v>
      </c>
      <c r="D1737" t="s">
        <v>55</v>
      </c>
      <c r="E1737" t="s">
        <v>2002</v>
      </c>
      <c r="F1737" t="s">
        <v>1754</v>
      </c>
      <c r="I1737">
        <f t="shared" si="162"/>
        <v>0</v>
      </c>
      <c r="J1737">
        <f t="shared" si="163"/>
        <v>0</v>
      </c>
      <c r="K1737">
        <f t="shared" si="164"/>
        <v>0</v>
      </c>
      <c r="L1737">
        <f t="shared" si="165"/>
        <v>1</v>
      </c>
      <c r="M1737">
        <f t="shared" si="166"/>
        <v>0</v>
      </c>
      <c r="N1737">
        <f t="shared" si="167"/>
        <v>0</v>
      </c>
    </row>
    <row r="1738" spans="1:14" x14ac:dyDescent="0.35">
      <c r="A1738" t="s">
        <v>399</v>
      </c>
      <c r="B1738" t="s">
        <v>2641</v>
      </c>
      <c r="C1738" s="7" t="s">
        <v>6</v>
      </c>
      <c r="D1738" t="s">
        <v>55</v>
      </c>
      <c r="E1738" t="s">
        <v>2003</v>
      </c>
      <c r="F1738" t="s">
        <v>1754</v>
      </c>
      <c r="I1738">
        <f t="shared" si="162"/>
        <v>0</v>
      </c>
      <c r="J1738">
        <f t="shared" si="163"/>
        <v>0</v>
      </c>
      <c r="K1738">
        <f t="shared" si="164"/>
        <v>0</v>
      </c>
      <c r="L1738">
        <f t="shared" si="165"/>
        <v>1</v>
      </c>
      <c r="M1738">
        <f t="shared" si="166"/>
        <v>0</v>
      </c>
      <c r="N1738">
        <f t="shared" si="167"/>
        <v>0</v>
      </c>
    </row>
    <row r="1739" spans="1:14" x14ac:dyDescent="0.35">
      <c r="A1739" t="s">
        <v>845</v>
      </c>
      <c r="B1739" t="s">
        <v>2642</v>
      </c>
      <c r="C1739" s="7" t="s">
        <v>6</v>
      </c>
      <c r="D1739" t="s">
        <v>55</v>
      </c>
      <c r="E1739" t="s">
        <v>1910</v>
      </c>
      <c r="F1739" t="s">
        <v>1754</v>
      </c>
      <c r="I1739">
        <f t="shared" si="162"/>
        <v>0</v>
      </c>
      <c r="J1739">
        <f t="shared" si="163"/>
        <v>0</v>
      </c>
      <c r="K1739">
        <f t="shared" si="164"/>
        <v>0</v>
      </c>
      <c r="L1739">
        <f t="shared" si="165"/>
        <v>1</v>
      </c>
      <c r="M1739">
        <f t="shared" si="166"/>
        <v>0</v>
      </c>
      <c r="N1739">
        <f t="shared" si="167"/>
        <v>0</v>
      </c>
    </row>
    <row r="1740" spans="1:14" x14ac:dyDescent="0.35">
      <c r="A1740" t="s">
        <v>845</v>
      </c>
      <c r="B1740" t="s">
        <v>2642</v>
      </c>
      <c r="C1740" s="7" t="s">
        <v>10</v>
      </c>
      <c r="D1740" t="s">
        <v>55</v>
      </c>
      <c r="E1740" t="s">
        <v>1911</v>
      </c>
      <c r="F1740" t="s">
        <v>1754</v>
      </c>
      <c r="I1740">
        <f t="shared" si="162"/>
        <v>0</v>
      </c>
      <c r="J1740">
        <f t="shared" si="163"/>
        <v>0</v>
      </c>
      <c r="K1740">
        <f t="shared" si="164"/>
        <v>0</v>
      </c>
      <c r="L1740">
        <f t="shared" si="165"/>
        <v>1</v>
      </c>
      <c r="M1740">
        <f t="shared" si="166"/>
        <v>0</v>
      </c>
      <c r="N1740">
        <f t="shared" si="167"/>
        <v>0</v>
      </c>
    </row>
    <row r="1741" spans="1:14" x14ac:dyDescent="0.35">
      <c r="A1741" t="s">
        <v>470</v>
      </c>
      <c r="B1741" t="s">
        <v>2228</v>
      </c>
      <c r="C1741" s="7" t="s">
        <v>10</v>
      </c>
      <c r="D1741" t="s">
        <v>473</v>
      </c>
      <c r="E1741" t="s">
        <v>1911</v>
      </c>
      <c r="F1741" t="s">
        <v>1754</v>
      </c>
      <c r="I1741">
        <f t="shared" si="162"/>
        <v>0</v>
      </c>
      <c r="J1741">
        <f t="shared" si="163"/>
        <v>0</v>
      </c>
      <c r="K1741">
        <f t="shared" si="164"/>
        <v>0</v>
      </c>
      <c r="L1741">
        <f t="shared" si="165"/>
        <v>1</v>
      </c>
      <c r="M1741">
        <f t="shared" si="166"/>
        <v>0</v>
      </c>
      <c r="N1741">
        <f t="shared" si="167"/>
        <v>0</v>
      </c>
    </row>
    <row r="1742" spans="1:14" x14ac:dyDescent="0.35">
      <c r="A1742" t="s">
        <v>470</v>
      </c>
      <c r="B1742" t="s">
        <v>2228</v>
      </c>
      <c r="C1742" s="7" t="s">
        <v>10</v>
      </c>
      <c r="D1742" t="s">
        <v>473</v>
      </c>
      <c r="E1742" t="s">
        <v>1946</v>
      </c>
      <c r="F1742" t="s">
        <v>1754</v>
      </c>
      <c r="I1742">
        <f t="shared" si="162"/>
        <v>0</v>
      </c>
      <c r="J1742">
        <f t="shared" si="163"/>
        <v>0</v>
      </c>
      <c r="K1742">
        <f t="shared" si="164"/>
        <v>0</v>
      </c>
      <c r="L1742">
        <f t="shared" si="165"/>
        <v>1</v>
      </c>
      <c r="M1742">
        <f t="shared" si="166"/>
        <v>0</v>
      </c>
      <c r="N1742">
        <f t="shared" si="167"/>
        <v>0</v>
      </c>
    </row>
    <row r="1743" spans="1:14" x14ac:dyDescent="0.35">
      <c r="A1743" t="s">
        <v>470</v>
      </c>
      <c r="B1743" t="s">
        <v>2228</v>
      </c>
      <c r="C1743" s="7" t="s">
        <v>6</v>
      </c>
      <c r="D1743" t="s">
        <v>473</v>
      </c>
      <c r="E1743" t="s">
        <v>2095</v>
      </c>
      <c r="F1743" t="s">
        <v>1754</v>
      </c>
      <c r="I1743">
        <f t="shared" si="162"/>
        <v>0</v>
      </c>
      <c r="J1743">
        <f t="shared" si="163"/>
        <v>0</v>
      </c>
      <c r="K1743">
        <f t="shared" si="164"/>
        <v>0</v>
      </c>
      <c r="L1743">
        <f t="shared" si="165"/>
        <v>1</v>
      </c>
      <c r="M1743">
        <f t="shared" si="166"/>
        <v>0</v>
      </c>
      <c r="N1743">
        <f t="shared" si="167"/>
        <v>0</v>
      </c>
    </row>
    <row r="1744" spans="1:14" x14ac:dyDescent="0.35">
      <c r="A1744" t="s">
        <v>470</v>
      </c>
      <c r="B1744" t="s">
        <v>2228</v>
      </c>
      <c r="C1744" s="7" t="s">
        <v>6</v>
      </c>
      <c r="D1744" t="s">
        <v>473</v>
      </c>
      <c r="E1744" t="s">
        <v>1944</v>
      </c>
      <c r="F1744" t="s">
        <v>1754</v>
      </c>
      <c r="I1744">
        <f t="shared" si="162"/>
        <v>0</v>
      </c>
      <c r="J1744">
        <f t="shared" si="163"/>
        <v>0</v>
      </c>
      <c r="K1744">
        <f t="shared" si="164"/>
        <v>0</v>
      </c>
      <c r="L1744">
        <f t="shared" si="165"/>
        <v>1</v>
      </c>
      <c r="M1744">
        <f t="shared" si="166"/>
        <v>0</v>
      </c>
      <c r="N1744">
        <f t="shared" si="167"/>
        <v>0</v>
      </c>
    </row>
    <row r="1745" spans="1:14" x14ac:dyDescent="0.35">
      <c r="A1745" t="s">
        <v>470</v>
      </c>
      <c r="B1745" t="s">
        <v>2228</v>
      </c>
      <c r="C1745" s="7" t="s">
        <v>6</v>
      </c>
      <c r="D1745" t="s">
        <v>473</v>
      </c>
      <c r="E1745" t="s">
        <v>2064</v>
      </c>
      <c r="F1745" t="s">
        <v>1727</v>
      </c>
      <c r="I1745">
        <f t="shared" si="162"/>
        <v>0</v>
      </c>
      <c r="J1745">
        <f t="shared" si="163"/>
        <v>0</v>
      </c>
      <c r="K1745">
        <f t="shared" si="164"/>
        <v>0</v>
      </c>
      <c r="L1745">
        <f t="shared" si="165"/>
        <v>0</v>
      </c>
      <c r="M1745">
        <f t="shared" si="166"/>
        <v>1</v>
      </c>
      <c r="N1745">
        <f t="shared" si="167"/>
        <v>0</v>
      </c>
    </row>
    <row r="1746" spans="1:14" x14ac:dyDescent="0.35">
      <c r="A1746" t="s">
        <v>470</v>
      </c>
      <c r="B1746" t="s">
        <v>2228</v>
      </c>
      <c r="C1746" s="7" t="s">
        <v>10</v>
      </c>
      <c r="D1746" t="s">
        <v>473</v>
      </c>
      <c r="E1746" t="s">
        <v>1910</v>
      </c>
      <c r="F1746" t="s">
        <v>1754</v>
      </c>
      <c r="I1746">
        <f t="shared" si="162"/>
        <v>0</v>
      </c>
      <c r="J1746">
        <f t="shared" si="163"/>
        <v>0</v>
      </c>
      <c r="K1746">
        <f t="shared" si="164"/>
        <v>0</v>
      </c>
      <c r="L1746">
        <f t="shared" si="165"/>
        <v>1</v>
      </c>
      <c r="M1746">
        <f t="shared" si="166"/>
        <v>0</v>
      </c>
      <c r="N1746">
        <f t="shared" si="167"/>
        <v>0</v>
      </c>
    </row>
    <row r="1747" spans="1:14" x14ac:dyDescent="0.35">
      <c r="A1747" t="s">
        <v>470</v>
      </c>
      <c r="B1747" t="s">
        <v>2228</v>
      </c>
      <c r="C1747" s="7" t="s">
        <v>6</v>
      </c>
      <c r="D1747" t="s">
        <v>473</v>
      </c>
      <c r="E1747" t="s">
        <v>2224</v>
      </c>
      <c r="F1747" t="s">
        <v>1727</v>
      </c>
      <c r="I1747">
        <f t="shared" si="162"/>
        <v>0</v>
      </c>
      <c r="J1747">
        <f t="shared" si="163"/>
        <v>0</v>
      </c>
      <c r="K1747">
        <f t="shared" si="164"/>
        <v>0</v>
      </c>
      <c r="L1747">
        <f t="shared" si="165"/>
        <v>0</v>
      </c>
      <c r="M1747">
        <f t="shared" si="166"/>
        <v>1</v>
      </c>
      <c r="N1747">
        <f t="shared" si="167"/>
        <v>0</v>
      </c>
    </row>
    <row r="1748" spans="1:14" x14ac:dyDescent="0.35">
      <c r="A1748" t="s">
        <v>470</v>
      </c>
      <c r="B1748" t="s">
        <v>2228</v>
      </c>
      <c r="C1748" s="7" t="s">
        <v>6</v>
      </c>
      <c r="D1748" t="s">
        <v>473</v>
      </c>
      <c r="E1748" t="s">
        <v>1945</v>
      </c>
      <c r="F1748" t="s">
        <v>1754</v>
      </c>
      <c r="I1748">
        <f t="shared" si="162"/>
        <v>0</v>
      </c>
      <c r="J1748">
        <f t="shared" si="163"/>
        <v>0</v>
      </c>
      <c r="K1748">
        <f t="shared" si="164"/>
        <v>0</v>
      </c>
      <c r="L1748">
        <f t="shared" si="165"/>
        <v>1</v>
      </c>
      <c r="M1748">
        <f t="shared" si="166"/>
        <v>0</v>
      </c>
      <c r="N1748">
        <f t="shared" si="167"/>
        <v>0</v>
      </c>
    </row>
    <row r="1749" spans="1:14" x14ac:dyDescent="0.35">
      <c r="A1749" t="s">
        <v>523</v>
      </c>
      <c r="B1749" t="s">
        <v>2643</v>
      </c>
      <c r="C1749" s="7" t="s">
        <v>6</v>
      </c>
      <c r="D1749" t="s">
        <v>55</v>
      </c>
      <c r="E1749" t="s">
        <v>2644</v>
      </c>
      <c r="F1749" t="s">
        <v>1727</v>
      </c>
      <c r="G1749" t="s">
        <v>2645</v>
      </c>
      <c r="H1749" t="s">
        <v>2646</v>
      </c>
      <c r="I1749">
        <f t="shared" si="162"/>
        <v>0</v>
      </c>
      <c r="J1749">
        <f t="shared" si="163"/>
        <v>0</v>
      </c>
      <c r="K1749">
        <f t="shared" si="164"/>
        <v>0</v>
      </c>
      <c r="L1749">
        <f t="shared" si="165"/>
        <v>0</v>
      </c>
      <c r="M1749">
        <f t="shared" si="166"/>
        <v>1</v>
      </c>
      <c r="N1749">
        <f t="shared" si="167"/>
        <v>1</v>
      </c>
    </row>
    <row r="1750" spans="1:14" x14ac:dyDescent="0.35">
      <c r="A1750" t="s">
        <v>523</v>
      </c>
      <c r="B1750" t="s">
        <v>2643</v>
      </c>
      <c r="C1750" s="7" t="s">
        <v>10</v>
      </c>
      <c r="D1750" t="s">
        <v>55</v>
      </c>
      <c r="E1750" t="s">
        <v>2366</v>
      </c>
      <c r="F1750" t="s">
        <v>1727</v>
      </c>
      <c r="G1750" t="s">
        <v>2645</v>
      </c>
      <c r="H1750" t="s">
        <v>2646</v>
      </c>
      <c r="I1750">
        <f t="shared" si="162"/>
        <v>0</v>
      </c>
      <c r="J1750">
        <f t="shared" si="163"/>
        <v>0</v>
      </c>
      <c r="K1750">
        <f t="shared" si="164"/>
        <v>0</v>
      </c>
      <c r="L1750">
        <f t="shared" si="165"/>
        <v>0</v>
      </c>
      <c r="M1750">
        <f t="shared" si="166"/>
        <v>1</v>
      </c>
      <c r="N1750">
        <f t="shared" si="167"/>
        <v>1</v>
      </c>
    </row>
    <row r="1751" spans="1:14" x14ac:dyDescent="0.35">
      <c r="A1751" t="s">
        <v>523</v>
      </c>
      <c r="B1751" t="s">
        <v>2643</v>
      </c>
      <c r="C1751" s="7" t="s">
        <v>6</v>
      </c>
      <c r="D1751" t="s">
        <v>55</v>
      </c>
      <c r="E1751" t="s">
        <v>1806</v>
      </c>
      <c r="F1751" t="s">
        <v>1754</v>
      </c>
      <c r="G1751" t="s">
        <v>2645</v>
      </c>
      <c r="H1751" t="s">
        <v>2646</v>
      </c>
      <c r="I1751">
        <f t="shared" si="162"/>
        <v>0</v>
      </c>
      <c r="J1751">
        <f t="shared" si="163"/>
        <v>0</v>
      </c>
      <c r="K1751">
        <f t="shared" si="164"/>
        <v>0</v>
      </c>
      <c r="L1751">
        <f t="shared" si="165"/>
        <v>1</v>
      </c>
      <c r="M1751">
        <f t="shared" si="166"/>
        <v>0</v>
      </c>
      <c r="N1751">
        <f t="shared" si="167"/>
        <v>1</v>
      </c>
    </row>
    <row r="1752" spans="1:14" x14ac:dyDescent="0.35">
      <c r="A1752" t="s">
        <v>523</v>
      </c>
      <c r="B1752" t="s">
        <v>2643</v>
      </c>
      <c r="C1752" s="7" t="s">
        <v>6</v>
      </c>
      <c r="D1752" t="s">
        <v>55</v>
      </c>
      <c r="E1752" t="s">
        <v>2048</v>
      </c>
      <c r="F1752" t="s">
        <v>1727</v>
      </c>
      <c r="G1752" t="s">
        <v>2645</v>
      </c>
      <c r="H1752" t="s">
        <v>2646</v>
      </c>
      <c r="I1752">
        <f t="shared" si="162"/>
        <v>0</v>
      </c>
      <c r="J1752">
        <f t="shared" si="163"/>
        <v>0</v>
      </c>
      <c r="K1752">
        <f t="shared" si="164"/>
        <v>0</v>
      </c>
      <c r="L1752">
        <f t="shared" si="165"/>
        <v>0</v>
      </c>
      <c r="M1752">
        <f t="shared" si="166"/>
        <v>1</v>
      </c>
      <c r="N1752">
        <f t="shared" si="167"/>
        <v>1</v>
      </c>
    </row>
    <row r="1753" spans="1:14" x14ac:dyDescent="0.35">
      <c r="A1753" t="s">
        <v>523</v>
      </c>
      <c r="B1753" t="s">
        <v>2643</v>
      </c>
      <c r="C1753" s="7" t="s">
        <v>10</v>
      </c>
      <c r="D1753" t="s">
        <v>55</v>
      </c>
      <c r="E1753" t="s">
        <v>2110</v>
      </c>
      <c r="F1753" t="s">
        <v>1727</v>
      </c>
      <c r="G1753" t="s">
        <v>2645</v>
      </c>
      <c r="H1753" t="s">
        <v>2646</v>
      </c>
      <c r="I1753">
        <f t="shared" si="162"/>
        <v>0</v>
      </c>
      <c r="J1753">
        <f t="shared" si="163"/>
        <v>0</v>
      </c>
      <c r="K1753">
        <f t="shared" si="164"/>
        <v>0</v>
      </c>
      <c r="L1753">
        <f t="shared" si="165"/>
        <v>0</v>
      </c>
      <c r="M1753">
        <f t="shared" si="166"/>
        <v>1</v>
      </c>
      <c r="N1753">
        <f t="shared" si="167"/>
        <v>1</v>
      </c>
    </row>
    <row r="1754" spans="1:14" x14ac:dyDescent="0.35">
      <c r="A1754" t="s">
        <v>523</v>
      </c>
      <c r="B1754" t="s">
        <v>2643</v>
      </c>
      <c r="C1754" s="7" t="s">
        <v>6</v>
      </c>
      <c r="D1754" t="s">
        <v>55</v>
      </c>
      <c r="E1754" t="s">
        <v>1807</v>
      </c>
      <c r="F1754" t="s">
        <v>1754</v>
      </c>
      <c r="G1754" t="s">
        <v>2645</v>
      </c>
      <c r="H1754" t="s">
        <v>2646</v>
      </c>
      <c r="I1754">
        <f t="shared" si="162"/>
        <v>0</v>
      </c>
      <c r="J1754">
        <f t="shared" si="163"/>
        <v>0</v>
      </c>
      <c r="K1754">
        <f t="shared" si="164"/>
        <v>0</v>
      </c>
      <c r="L1754">
        <f t="shared" si="165"/>
        <v>1</v>
      </c>
      <c r="M1754">
        <f t="shared" si="166"/>
        <v>0</v>
      </c>
      <c r="N1754">
        <f t="shared" si="167"/>
        <v>1</v>
      </c>
    </row>
    <row r="1755" spans="1:14" x14ac:dyDescent="0.35">
      <c r="A1755" t="s">
        <v>1050</v>
      </c>
      <c r="B1755" t="s">
        <v>2647</v>
      </c>
      <c r="C1755" s="7" t="s">
        <v>6</v>
      </c>
      <c r="D1755" t="s">
        <v>55</v>
      </c>
      <c r="E1755" t="s">
        <v>2217</v>
      </c>
      <c r="F1755" t="s">
        <v>1727</v>
      </c>
      <c r="I1755">
        <f t="shared" si="162"/>
        <v>0</v>
      </c>
      <c r="J1755">
        <f t="shared" si="163"/>
        <v>0</v>
      </c>
      <c r="K1755">
        <f t="shared" si="164"/>
        <v>0</v>
      </c>
      <c r="L1755">
        <f t="shared" si="165"/>
        <v>0</v>
      </c>
      <c r="M1755">
        <f t="shared" si="166"/>
        <v>1</v>
      </c>
      <c r="N1755">
        <f t="shared" si="167"/>
        <v>0</v>
      </c>
    </row>
    <row r="1756" spans="1:14" x14ac:dyDescent="0.35">
      <c r="A1756" t="s">
        <v>1050</v>
      </c>
      <c r="B1756" t="s">
        <v>2647</v>
      </c>
      <c r="C1756" s="7" t="s">
        <v>6</v>
      </c>
      <c r="D1756" t="s">
        <v>55</v>
      </c>
      <c r="E1756" t="s">
        <v>1945</v>
      </c>
      <c r="F1756" t="s">
        <v>1754</v>
      </c>
      <c r="I1756">
        <f t="shared" si="162"/>
        <v>0</v>
      </c>
      <c r="J1756">
        <f t="shared" si="163"/>
        <v>0</v>
      </c>
      <c r="K1756">
        <f t="shared" si="164"/>
        <v>0</v>
      </c>
      <c r="L1756">
        <f t="shared" si="165"/>
        <v>1</v>
      </c>
      <c r="M1756">
        <f t="shared" si="166"/>
        <v>0</v>
      </c>
      <c r="N1756">
        <f t="shared" si="167"/>
        <v>0</v>
      </c>
    </row>
    <row r="1757" spans="1:14" x14ac:dyDescent="0.35">
      <c r="A1757" t="s">
        <v>899</v>
      </c>
      <c r="B1757" t="s">
        <v>2648</v>
      </c>
      <c r="C1757" s="7" t="s">
        <v>6</v>
      </c>
      <c r="D1757" t="s">
        <v>55</v>
      </c>
      <c r="E1757" t="s">
        <v>2217</v>
      </c>
      <c r="F1757" t="s">
        <v>1727</v>
      </c>
      <c r="I1757">
        <f t="shared" si="162"/>
        <v>0</v>
      </c>
      <c r="J1757">
        <f t="shared" si="163"/>
        <v>0</v>
      </c>
      <c r="K1757">
        <f t="shared" si="164"/>
        <v>0</v>
      </c>
      <c r="L1757">
        <f t="shared" si="165"/>
        <v>0</v>
      </c>
      <c r="M1757">
        <f t="shared" si="166"/>
        <v>1</v>
      </c>
      <c r="N1757">
        <f t="shared" si="167"/>
        <v>0</v>
      </c>
    </row>
    <row r="1758" spans="1:14" x14ac:dyDescent="0.35">
      <c r="A1758" t="s">
        <v>1417</v>
      </c>
      <c r="B1758" t="s">
        <v>2649</v>
      </c>
      <c r="C1758" s="7" t="s">
        <v>6</v>
      </c>
      <c r="D1758" t="s">
        <v>206</v>
      </c>
      <c r="E1758" t="s">
        <v>2542</v>
      </c>
      <c r="F1758" t="s">
        <v>1754</v>
      </c>
      <c r="I1758">
        <f t="shared" si="162"/>
        <v>0</v>
      </c>
      <c r="J1758">
        <f t="shared" si="163"/>
        <v>0</v>
      </c>
      <c r="K1758">
        <f t="shared" si="164"/>
        <v>0</v>
      </c>
      <c r="L1758">
        <f t="shared" si="165"/>
        <v>1</v>
      </c>
      <c r="M1758">
        <f t="shared" si="166"/>
        <v>0</v>
      </c>
      <c r="N1758">
        <f t="shared" si="167"/>
        <v>0</v>
      </c>
    </row>
    <row r="1759" spans="1:14" x14ac:dyDescent="0.35">
      <c r="A1759" t="s">
        <v>911</v>
      </c>
      <c r="B1759" t="s">
        <v>2650</v>
      </c>
      <c r="C1759" s="7" t="s">
        <v>6</v>
      </c>
      <c r="D1759" t="s">
        <v>100</v>
      </c>
      <c r="E1759" t="s">
        <v>1993</v>
      </c>
      <c r="F1759" t="s">
        <v>1754</v>
      </c>
      <c r="I1759">
        <f t="shared" si="162"/>
        <v>0</v>
      </c>
      <c r="J1759">
        <f t="shared" si="163"/>
        <v>0</v>
      </c>
      <c r="K1759">
        <f t="shared" si="164"/>
        <v>0</v>
      </c>
      <c r="L1759">
        <f t="shared" si="165"/>
        <v>1</v>
      </c>
      <c r="M1759">
        <f t="shared" si="166"/>
        <v>0</v>
      </c>
      <c r="N1759">
        <f t="shared" si="167"/>
        <v>0</v>
      </c>
    </row>
    <row r="1760" spans="1:14" x14ac:dyDescent="0.35">
      <c r="A1760" t="s">
        <v>911</v>
      </c>
      <c r="B1760" t="s">
        <v>2650</v>
      </c>
      <c r="C1760" s="7" t="s">
        <v>10</v>
      </c>
      <c r="D1760" t="s">
        <v>100</v>
      </c>
      <c r="E1760" t="s">
        <v>1832</v>
      </c>
      <c r="F1760" t="s">
        <v>1754</v>
      </c>
      <c r="I1760">
        <f t="shared" si="162"/>
        <v>0</v>
      </c>
      <c r="J1760">
        <f t="shared" si="163"/>
        <v>0</v>
      </c>
      <c r="K1760">
        <f t="shared" si="164"/>
        <v>0</v>
      </c>
      <c r="L1760">
        <f t="shared" si="165"/>
        <v>1</v>
      </c>
      <c r="M1760">
        <f t="shared" si="166"/>
        <v>0</v>
      </c>
      <c r="N1760">
        <f t="shared" si="167"/>
        <v>0</v>
      </c>
    </row>
    <row r="1761" spans="1:14" x14ac:dyDescent="0.35">
      <c r="A1761" t="s">
        <v>911</v>
      </c>
      <c r="B1761" t="s">
        <v>2650</v>
      </c>
      <c r="C1761" s="7" t="s">
        <v>6</v>
      </c>
      <c r="D1761" t="s">
        <v>100</v>
      </c>
      <c r="E1761" t="s">
        <v>1836</v>
      </c>
      <c r="F1761" t="s">
        <v>1754</v>
      </c>
      <c r="I1761">
        <f t="shared" si="162"/>
        <v>0</v>
      </c>
      <c r="J1761">
        <f t="shared" si="163"/>
        <v>0</v>
      </c>
      <c r="K1761">
        <f t="shared" si="164"/>
        <v>0</v>
      </c>
      <c r="L1761">
        <f t="shared" si="165"/>
        <v>1</v>
      </c>
      <c r="M1761">
        <f t="shared" si="166"/>
        <v>0</v>
      </c>
      <c r="N1761">
        <f t="shared" si="167"/>
        <v>0</v>
      </c>
    </row>
    <row r="1762" spans="1:14" x14ac:dyDescent="0.35">
      <c r="A1762" t="s">
        <v>911</v>
      </c>
      <c r="B1762" t="s">
        <v>2650</v>
      </c>
      <c r="C1762" s="7" t="s">
        <v>6</v>
      </c>
      <c r="D1762" t="s">
        <v>100</v>
      </c>
      <c r="E1762" t="s">
        <v>1992</v>
      </c>
      <c r="F1762" t="s">
        <v>1754</v>
      </c>
      <c r="I1762">
        <f t="shared" si="162"/>
        <v>0</v>
      </c>
      <c r="J1762">
        <f t="shared" si="163"/>
        <v>0</v>
      </c>
      <c r="K1762">
        <f t="shared" si="164"/>
        <v>0</v>
      </c>
      <c r="L1762">
        <f t="shared" si="165"/>
        <v>1</v>
      </c>
      <c r="M1762">
        <f t="shared" si="166"/>
        <v>0</v>
      </c>
      <c r="N1762">
        <f t="shared" si="167"/>
        <v>0</v>
      </c>
    </row>
    <row r="1763" spans="1:14" x14ac:dyDescent="0.35">
      <c r="A1763" t="s">
        <v>479</v>
      </c>
      <c r="B1763" t="s">
        <v>2651</v>
      </c>
      <c r="C1763" s="7" t="s">
        <v>6</v>
      </c>
      <c r="D1763" t="s">
        <v>480</v>
      </c>
      <c r="E1763" t="s">
        <v>1817</v>
      </c>
      <c r="F1763" t="s">
        <v>1754</v>
      </c>
      <c r="G1763" t="s">
        <v>2652</v>
      </c>
      <c r="H1763" t="s">
        <v>2653</v>
      </c>
      <c r="I1763">
        <f t="shared" si="162"/>
        <v>0</v>
      </c>
      <c r="J1763">
        <f t="shared" si="163"/>
        <v>0</v>
      </c>
      <c r="K1763">
        <f t="shared" si="164"/>
        <v>0</v>
      </c>
      <c r="L1763">
        <f t="shared" si="165"/>
        <v>1</v>
      </c>
      <c r="M1763">
        <f t="shared" si="166"/>
        <v>0</v>
      </c>
      <c r="N1763">
        <f t="shared" si="167"/>
        <v>1</v>
      </c>
    </row>
    <row r="1764" spans="1:14" x14ac:dyDescent="0.35">
      <c r="A1764" t="s">
        <v>479</v>
      </c>
      <c r="B1764" t="s">
        <v>2651</v>
      </c>
      <c r="C1764" s="7" t="s">
        <v>10</v>
      </c>
      <c r="D1764" t="s">
        <v>480</v>
      </c>
      <c r="E1764" t="s">
        <v>1815</v>
      </c>
      <c r="F1764" t="s">
        <v>1754</v>
      </c>
      <c r="G1764" t="s">
        <v>2652</v>
      </c>
      <c r="H1764" t="s">
        <v>2653</v>
      </c>
      <c r="I1764">
        <f t="shared" si="162"/>
        <v>0</v>
      </c>
      <c r="J1764">
        <f t="shared" si="163"/>
        <v>0</v>
      </c>
      <c r="K1764">
        <f t="shared" si="164"/>
        <v>0</v>
      </c>
      <c r="L1764">
        <f t="shared" si="165"/>
        <v>1</v>
      </c>
      <c r="M1764">
        <f t="shared" si="166"/>
        <v>0</v>
      </c>
      <c r="N1764">
        <f t="shared" si="167"/>
        <v>1</v>
      </c>
    </row>
    <row r="1765" spans="1:14" x14ac:dyDescent="0.35">
      <c r="A1765" t="s">
        <v>325</v>
      </c>
      <c r="B1765" t="s">
        <v>2654</v>
      </c>
      <c r="C1765" s="7" t="s">
        <v>10</v>
      </c>
      <c r="D1765" t="s">
        <v>55</v>
      </c>
      <c r="E1765" t="s">
        <v>1870</v>
      </c>
      <c r="F1765" t="s">
        <v>1727</v>
      </c>
      <c r="I1765">
        <f t="shared" si="162"/>
        <v>0</v>
      </c>
      <c r="J1765">
        <f t="shared" si="163"/>
        <v>0</v>
      </c>
      <c r="K1765">
        <f t="shared" si="164"/>
        <v>0</v>
      </c>
      <c r="L1765">
        <f t="shared" si="165"/>
        <v>0</v>
      </c>
      <c r="M1765">
        <f t="shared" si="166"/>
        <v>1</v>
      </c>
      <c r="N1765">
        <f t="shared" si="167"/>
        <v>0</v>
      </c>
    </row>
    <row r="1766" spans="1:14" x14ac:dyDescent="0.35">
      <c r="A1766" t="s">
        <v>209</v>
      </c>
      <c r="B1766" t="s">
        <v>2655</v>
      </c>
      <c r="C1766" s="7" t="s">
        <v>10</v>
      </c>
      <c r="D1766" t="s">
        <v>55</v>
      </c>
      <c r="E1766" t="s">
        <v>1835</v>
      </c>
      <c r="F1766" t="s">
        <v>1754</v>
      </c>
      <c r="I1766">
        <f t="shared" si="162"/>
        <v>0</v>
      </c>
      <c r="J1766">
        <f t="shared" si="163"/>
        <v>0</v>
      </c>
      <c r="K1766">
        <f t="shared" si="164"/>
        <v>0</v>
      </c>
      <c r="L1766">
        <f t="shared" si="165"/>
        <v>1</v>
      </c>
      <c r="M1766">
        <f t="shared" si="166"/>
        <v>0</v>
      </c>
      <c r="N1766">
        <f t="shared" si="167"/>
        <v>0</v>
      </c>
    </row>
    <row r="1767" spans="1:14" x14ac:dyDescent="0.35">
      <c r="A1767" t="s">
        <v>141</v>
      </c>
      <c r="B1767" t="s">
        <v>2656</v>
      </c>
      <c r="C1767" s="7" t="s">
        <v>6</v>
      </c>
      <c r="D1767" t="s">
        <v>100</v>
      </c>
      <c r="E1767" t="s">
        <v>1896</v>
      </c>
      <c r="F1767" t="s">
        <v>1754</v>
      </c>
      <c r="I1767">
        <f t="shared" si="162"/>
        <v>0</v>
      </c>
      <c r="J1767">
        <f t="shared" si="163"/>
        <v>0</v>
      </c>
      <c r="K1767">
        <f t="shared" si="164"/>
        <v>0</v>
      </c>
      <c r="L1767">
        <f t="shared" si="165"/>
        <v>1</v>
      </c>
      <c r="M1767">
        <f t="shared" si="166"/>
        <v>0</v>
      </c>
      <c r="N1767">
        <f t="shared" si="167"/>
        <v>0</v>
      </c>
    </row>
    <row r="1768" spans="1:14" x14ac:dyDescent="0.35">
      <c r="A1768" t="s">
        <v>141</v>
      </c>
      <c r="B1768" t="s">
        <v>2656</v>
      </c>
      <c r="C1768" s="7" t="s">
        <v>6</v>
      </c>
      <c r="D1768" t="s">
        <v>100</v>
      </c>
      <c r="E1768" t="s">
        <v>1894</v>
      </c>
      <c r="F1768" t="s">
        <v>1754</v>
      </c>
      <c r="I1768">
        <f t="shared" si="162"/>
        <v>0</v>
      </c>
      <c r="J1768">
        <f t="shared" si="163"/>
        <v>0</v>
      </c>
      <c r="K1768">
        <f t="shared" si="164"/>
        <v>0</v>
      </c>
      <c r="L1768">
        <f t="shared" si="165"/>
        <v>1</v>
      </c>
      <c r="M1768">
        <f t="shared" si="166"/>
        <v>0</v>
      </c>
      <c r="N1768">
        <f t="shared" si="167"/>
        <v>0</v>
      </c>
    </row>
    <row r="1769" spans="1:14" x14ac:dyDescent="0.35">
      <c r="A1769" t="s">
        <v>626</v>
      </c>
      <c r="B1769" t="s">
        <v>2657</v>
      </c>
      <c r="C1769" s="7" t="s">
        <v>6</v>
      </c>
      <c r="D1769" t="s">
        <v>628</v>
      </c>
      <c r="E1769" t="s">
        <v>1998</v>
      </c>
      <c r="F1769" t="s">
        <v>1886</v>
      </c>
      <c r="I1769">
        <f t="shared" si="162"/>
        <v>0</v>
      </c>
      <c r="J1769">
        <f t="shared" si="163"/>
        <v>0</v>
      </c>
      <c r="K1769">
        <f t="shared" si="164"/>
        <v>0</v>
      </c>
      <c r="L1769">
        <f t="shared" si="165"/>
        <v>0</v>
      </c>
      <c r="M1769">
        <f t="shared" si="166"/>
        <v>0</v>
      </c>
      <c r="N1769">
        <f t="shared" si="167"/>
        <v>0</v>
      </c>
    </row>
    <row r="1770" spans="1:14" x14ac:dyDescent="0.35">
      <c r="A1770" t="s">
        <v>626</v>
      </c>
      <c r="B1770" t="s">
        <v>2657</v>
      </c>
      <c r="C1770" s="7" t="s">
        <v>10</v>
      </c>
      <c r="D1770" t="s">
        <v>628</v>
      </c>
      <c r="E1770" t="s">
        <v>1996</v>
      </c>
      <c r="F1770" t="s">
        <v>1886</v>
      </c>
      <c r="I1770">
        <f t="shared" si="162"/>
        <v>0</v>
      </c>
      <c r="J1770">
        <f t="shared" si="163"/>
        <v>0</v>
      </c>
      <c r="K1770">
        <f t="shared" si="164"/>
        <v>0</v>
      </c>
      <c r="L1770">
        <f t="shared" si="165"/>
        <v>0</v>
      </c>
      <c r="M1770">
        <f t="shared" si="166"/>
        <v>0</v>
      </c>
      <c r="N1770">
        <f t="shared" si="167"/>
        <v>0</v>
      </c>
    </row>
    <row r="1771" spans="1:14" x14ac:dyDescent="0.35">
      <c r="A1771" t="s">
        <v>626</v>
      </c>
      <c r="B1771" t="s">
        <v>2657</v>
      </c>
      <c r="C1771" s="7" t="s">
        <v>6</v>
      </c>
      <c r="D1771" t="s">
        <v>628</v>
      </c>
      <c r="E1771" t="s">
        <v>2000</v>
      </c>
      <c r="F1771" t="s">
        <v>1886</v>
      </c>
      <c r="I1771">
        <f t="shared" si="162"/>
        <v>0</v>
      </c>
      <c r="J1771">
        <f t="shared" si="163"/>
        <v>0</v>
      </c>
      <c r="K1771">
        <f t="shared" si="164"/>
        <v>0</v>
      </c>
      <c r="L1771">
        <f t="shared" si="165"/>
        <v>0</v>
      </c>
      <c r="M1771">
        <f t="shared" si="166"/>
        <v>0</v>
      </c>
      <c r="N1771">
        <f t="shared" si="167"/>
        <v>0</v>
      </c>
    </row>
    <row r="1772" spans="1:14" x14ac:dyDescent="0.35">
      <c r="A1772" t="s">
        <v>626</v>
      </c>
      <c r="B1772" t="s">
        <v>2657</v>
      </c>
      <c r="C1772" s="7" t="s">
        <v>6</v>
      </c>
      <c r="D1772" t="s">
        <v>628</v>
      </c>
      <c r="E1772" t="s">
        <v>1997</v>
      </c>
      <c r="F1772" t="s">
        <v>1886</v>
      </c>
      <c r="I1772">
        <f t="shared" si="162"/>
        <v>0</v>
      </c>
      <c r="J1772">
        <f t="shared" si="163"/>
        <v>0</v>
      </c>
      <c r="K1772">
        <f t="shared" si="164"/>
        <v>0</v>
      </c>
      <c r="L1772">
        <f t="shared" si="165"/>
        <v>0</v>
      </c>
      <c r="M1772">
        <f t="shared" si="166"/>
        <v>0</v>
      </c>
      <c r="N1772">
        <f t="shared" si="167"/>
        <v>0</v>
      </c>
    </row>
    <row r="1773" spans="1:14" x14ac:dyDescent="0.35">
      <c r="A1773" t="s">
        <v>626</v>
      </c>
      <c r="B1773" t="s">
        <v>2657</v>
      </c>
      <c r="C1773" s="7" t="s">
        <v>6</v>
      </c>
      <c r="D1773" t="s">
        <v>628</v>
      </c>
      <c r="E1773" t="s">
        <v>1999</v>
      </c>
      <c r="F1773" t="s">
        <v>1886</v>
      </c>
      <c r="I1773">
        <f t="shared" si="162"/>
        <v>0</v>
      </c>
      <c r="J1773">
        <f t="shared" si="163"/>
        <v>0</v>
      </c>
      <c r="K1773">
        <f t="shared" si="164"/>
        <v>0</v>
      </c>
      <c r="L1773">
        <f t="shared" si="165"/>
        <v>0</v>
      </c>
      <c r="M1773">
        <f t="shared" si="166"/>
        <v>0</v>
      </c>
      <c r="N1773">
        <f t="shared" si="167"/>
        <v>0</v>
      </c>
    </row>
    <row r="1774" spans="1:14" x14ac:dyDescent="0.35">
      <c r="A1774" t="s">
        <v>1602</v>
      </c>
      <c r="B1774" t="s">
        <v>2658</v>
      </c>
      <c r="C1774" s="7" t="s">
        <v>6</v>
      </c>
      <c r="D1774" t="s">
        <v>55</v>
      </c>
      <c r="E1774" t="s">
        <v>2217</v>
      </c>
      <c r="F1774" t="s">
        <v>1727</v>
      </c>
      <c r="I1774">
        <f t="shared" si="162"/>
        <v>0</v>
      </c>
      <c r="J1774">
        <f t="shared" si="163"/>
        <v>0</v>
      </c>
      <c r="K1774">
        <f t="shared" si="164"/>
        <v>0</v>
      </c>
      <c r="L1774">
        <f t="shared" si="165"/>
        <v>0</v>
      </c>
      <c r="M1774">
        <f t="shared" si="166"/>
        <v>1</v>
      </c>
      <c r="N1774">
        <f t="shared" si="167"/>
        <v>0</v>
      </c>
    </row>
    <row r="1775" spans="1:14" x14ac:dyDescent="0.35">
      <c r="A1775" t="s">
        <v>65</v>
      </c>
      <c r="B1775" t="s">
        <v>2659</v>
      </c>
      <c r="C1775" s="7" t="s">
        <v>6</v>
      </c>
      <c r="D1775" t="s">
        <v>55</v>
      </c>
      <c r="E1775" t="s">
        <v>2250</v>
      </c>
      <c r="F1775" t="s">
        <v>1886</v>
      </c>
      <c r="I1775">
        <f t="shared" si="162"/>
        <v>0</v>
      </c>
      <c r="J1775">
        <f t="shared" si="163"/>
        <v>0</v>
      </c>
      <c r="K1775">
        <f t="shared" si="164"/>
        <v>0</v>
      </c>
      <c r="L1775">
        <f t="shared" si="165"/>
        <v>0</v>
      </c>
      <c r="M1775">
        <f t="shared" si="166"/>
        <v>0</v>
      </c>
      <c r="N1775">
        <f t="shared" si="167"/>
        <v>0</v>
      </c>
    </row>
    <row r="1776" spans="1:14" x14ac:dyDescent="0.35">
      <c r="A1776" t="s">
        <v>65</v>
      </c>
      <c r="B1776" t="s">
        <v>2659</v>
      </c>
      <c r="C1776" s="7" t="s">
        <v>6</v>
      </c>
      <c r="D1776" t="s">
        <v>55</v>
      </c>
      <c r="E1776" t="s">
        <v>1804</v>
      </c>
      <c r="F1776" t="s">
        <v>1805</v>
      </c>
      <c r="I1776">
        <f t="shared" si="162"/>
        <v>0</v>
      </c>
      <c r="J1776">
        <f t="shared" si="163"/>
        <v>1</v>
      </c>
      <c r="K1776">
        <f t="shared" si="164"/>
        <v>0</v>
      </c>
      <c r="L1776">
        <f t="shared" si="165"/>
        <v>0</v>
      </c>
      <c r="M1776">
        <f t="shared" si="166"/>
        <v>0</v>
      </c>
      <c r="N1776">
        <f t="shared" si="167"/>
        <v>0</v>
      </c>
    </row>
    <row r="1777" spans="1:14" x14ac:dyDescent="0.35">
      <c r="A1777" t="s">
        <v>65</v>
      </c>
      <c r="B1777" t="s">
        <v>2659</v>
      </c>
      <c r="C1777" s="7" t="s">
        <v>6</v>
      </c>
      <c r="D1777" t="s">
        <v>55</v>
      </c>
      <c r="E1777" t="s">
        <v>2660</v>
      </c>
      <c r="F1777" t="s">
        <v>1886</v>
      </c>
      <c r="I1777">
        <f t="shared" si="162"/>
        <v>0</v>
      </c>
      <c r="J1777">
        <f t="shared" si="163"/>
        <v>0</v>
      </c>
      <c r="K1777">
        <f t="shared" si="164"/>
        <v>0</v>
      </c>
      <c r="L1777">
        <f t="shared" si="165"/>
        <v>0</v>
      </c>
      <c r="M1777">
        <f t="shared" si="166"/>
        <v>0</v>
      </c>
      <c r="N1777">
        <f t="shared" si="167"/>
        <v>0</v>
      </c>
    </row>
    <row r="1778" spans="1:14" x14ac:dyDescent="0.35">
      <c r="A1778" t="s">
        <v>1428</v>
      </c>
      <c r="B1778" t="s">
        <v>2661</v>
      </c>
      <c r="C1778" s="7" t="s">
        <v>9</v>
      </c>
      <c r="D1778" t="s">
        <v>1430</v>
      </c>
      <c r="E1778" t="s">
        <v>2000</v>
      </c>
      <c r="F1778" t="s">
        <v>1886</v>
      </c>
      <c r="I1778">
        <f t="shared" si="162"/>
        <v>0</v>
      </c>
      <c r="J1778">
        <f t="shared" si="163"/>
        <v>0</v>
      </c>
      <c r="K1778">
        <f t="shared" si="164"/>
        <v>0</v>
      </c>
      <c r="L1778">
        <f t="shared" si="165"/>
        <v>0</v>
      </c>
      <c r="M1778">
        <f t="shared" si="166"/>
        <v>0</v>
      </c>
      <c r="N1778">
        <f t="shared" si="167"/>
        <v>0</v>
      </c>
    </row>
    <row r="1779" spans="1:14" x14ac:dyDescent="0.35">
      <c r="A1779" t="s">
        <v>317</v>
      </c>
      <c r="B1779" t="s">
        <v>2662</v>
      </c>
      <c r="C1779" s="7" t="s">
        <v>9</v>
      </c>
      <c r="D1779" t="s">
        <v>51</v>
      </c>
      <c r="E1779" t="s">
        <v>2663</v>
      </c>
      <c r="F1779" t="s">
        <v>1805</v>
      </c>
      <c r="G1779" t="s">
        <v>2664</v>
      </c>
      <c r="H1779" t="s">
        <v>2565</v>
      </c>
      <c r="I1779">
        <f t="shared" si="162"/>
        <v>0</v>
      </c>
      <c r="J1779">
        <f t="shared" si="163"/>
        <v>1</v>
      </c>
      <c r="K1779">
        <f t="shared" si="164"/>
        <v>0</v>
      </c>
      <c r="L1779">
        <f t="shared" si="165"/>
        <v>0</v>
      </c>
      <c r="M1779">
        <f t="shared" si="166"/>
        <v>0</v>
      </c>
      <c r="N1779">
        <f t="shared" si="167"/>
        <v>1</v>
      </c>
    </row>
    <row r="1780" spans="1:14" x14ac:dyDescent="0.35">
      <c r="A1780" t="s">
        <v>317</v>
      </c>
      <c r="B1780" t="s">
        <v>2662</v>
      </c>
      <c r="C1780" s="7" t="s">
        <v>9</v>
      </c>
      <c r="D1780" t="s">
        <v>51</v>
      </c>
      <c r="E1780" t="s">
        <v>2101</v>
      </c>
      <c r="F1780" t="s">
        <v>1805</v>
      </c>
      <c r="G1780" t="s">
        <v>2664</v>
      </c>
      <c r="H1780" t="s">
        <v>2565</v>
      </c>
      <c r="I1780">
        <f t="shared" si="162"/>
        <v>0</v>
      </c>
      <c r="J1780">
        <f t="shared" si="163"/>
        <v>1</v>
      </c>
      <c r="K1780">
        <f t="shared" si="164"/>
        <v>0</v>
      </c>
      <c r="L1780">
        <f t="shared" si="165"/>
        <v>0</v>
      </c>
      <c r="M1780">
        <f t="shared" si="166"/>
        <v>0</v>
      </c>
      <c r="N1780">
        <f t="shared" si="167"/>
        <v>1</v>
      </c>
    </row>
    <row r="1781" spans="1:14" x14ac:dyDescent="0.35">
      <c r="A1781" t="s">
        <v>317</v>
      </c>
      <c r="B1781" t="s">
        <v>2662</v>
      </c>
      <c r="C1781" s="7" t="s">
        <v>6</v>
      </c>
      <c r="D1781" t="s">
        <v>51</v>
      </c>
      <c r="E1781" t="s">
        <v>2665</v>
      </c>
      <c r="F1781" t="s">
        <v>1805</v>
      </c>
      <c r="G1781" t="s">
        <v>2664</v>
      </c>
      <c r="H1781" t="s">
        <v>2565</v>
      </c>
      <c r="I1781">
        <f t="shared" si="162"/>
        <v>0</v>
      </c>
      <c r="J1781">
        <f t="shared" si="163"/>
        <v>1</v>
      </c>
      <c r="K1781">
        <f t="shared" si="164"/>
        <v>0</v>
      </c>
      <c r="L1781">
        <f t="shared" si="165"/>
        <v>0</v>
      </c>
      <c r="M1781">
        <f t="shared" si="166"/>
        <v>0</v>
      </c>
      <c r="N1781">
        <f t="shared" si="167"/>
        <v>1</v>
      </c>
    </row>
    <row r="1782" spans="1:14" x14ac:dyDescent="0.35">
      <c r="A1782" t="s">
        <v>317</v>
      </c>
      <c r="B1782" t="s">
        <v>2662</v>
      </c>
      <c r="C1782" s="7" t="s">
        <v>6</v>
      </c>
      <c r="D1782" t="s">
        <v>51</v>
      </c>
      <c r="E1782" t="s">
        <v>2666</v>
      </c>
      <c r="F1782" t="s">
        <v>1805</v>
      </c>
      <c r="G1782" t="s">
        <v>2664</v>
      </c>
      <c r="H1782" t="s">
        <v>2565</v>
      </c>
      <c r="I1782">
        <f t="shared" si="162"/>
        <v>0</v>
      </c>
      <c r="J1782">
        <f t="shared" si="163"/>
        <v>1</v>
      </c>
      <c r="K1782">
        <f t="shared" si="164"/>
        <v>0</v>
      </c>
      <c r="L1782">
        <f t="shared" si="165"/>
        <v>0</v>
      </c>
      <c r="M1782">
        <f t="shared" si="166"/>
        <v>0</v>
      </c>
      <c r="N1782">
        <f t="shared" si="167"/>
        <v>1</v>
      </c>
    </row>
    <row r="1783" spans="1:14" x14ac:dyDescent="0.35">
      <c r="A1783" t="s">
        <v>317</v>
      </c>
      <c r="B1783" t="s">
        <v>2662</v>
      </c>
      <c r="C1783" s="7" t="s">
        <v>6</v>
      </c>
      <c r="D1783" t="s">
        <v>51</v>
      </c>
      <c r="E1783" t="s">
        <v>2667</v>
      </c>
      <c r="F1783" t="s">
        <v>1805</v>
      </c>
      <c r="G1783" t="s">
        <v>2664</v>
      </c>
      <c r="H1783" t="s">
        <v>2565</v>
      </c>
      <c r="I1783">
        <f t="shared" si="162"/>
        <v>0</v>
      </c>
      <c r="J1783">
        <f t="shared" si="163"/>
        <v>1</v>
      </c>
      <c r="K1783">
        <f t="shared" si="164"/>
        <v>0</v>
      </c>
      <c r="L1783">
        <f t="shared" si="165"/>
        <v>0</v>
      </c>
      <c r="M1783">
        <f t="shared" si="166"/>
        <v>0</v>
      </c>
      <c r="N1783">
        <f t="shared" si="167"/>
        <v>1</v>
      </c>
    </row>
    <row r="1784" spans="1:14" x14ac:dyDescent="0.35">
      <c r="A1784" t="s">
        <v>317</v>
      </c>
      <c r="B1784" t="s">
        <v>2662</v>
      </c>
      <c r="C1784" s="7" t="s">
        <v>6</v>
      </c>
      <c r="D1784" t="s">
        <v>51</v>
      </c>
      <c r="E1784" t="s">
        <v>2668</v>
      </c>
      <c r="F1784" t="s">
        <v>1805</v>
      </c>
      <c r="G1784" t="s">
        <v>2664</v>
      </c>
      <c r="H1784" t="s">
        <v>2565</v>
      </c>
      <c r="I1784">
        <f t="shared" si="162"/>
        <v>0</v>
      </c>
      <c r="J1784">
        <f t="shared" si="163"/>
        <v>1</v>
      </c>
      <c r="K1784">
        <f t="shared" si="164"/>
        <v>0</v>
      </c>
      <c r="L1784">
        <f t="shared" si="165"/>
        <v>0</v>
      </c>
      <c r="M1784">
        <f t="shared" si="166"/>
        <v>0</v>
      </c>
      <c r="N1784">
        <f t="shared" si="167"/>
        <v>1</v>
      </c>
    </row>
    <row r="1785" spans="1:14" x14ac:dyDescent="0.35">
      <c r="A1785" t="s">
        <v>317</v>
      </c>
      <c r="B1785" t="s">
        <v>2662</v>
      </c>
      <c r="C1785" s="7" t="s">
        <v>6</v>
      </c>
      <c r="D1785" t="s">
        <v>51</v>
      </c>
      <c r="E1785" t="s">
        <v>2085</v>
      </c>
      <c r="F1785" t="s">
        <v>1805</v>
      </c>
      <c r="G1785" t="s">
        <v>2664</v>
      </c>
      <c r="H1785" t="s">
        <v>2565</v>
      </c>
      <c r="I1785">
        <f t="shared" si="162"/>
        <v>0</v>
      </c>
      <c r="J1785">
        <f t="shared" si="163"/>
        <v>1</v>
      </c>
      <c r="K1785">
        <f t="shared" si="164"/>
        <v>0</v>
      </c>
      <c r="L1785">
        <f t="shared" si="165"/>
        <v>0</v>
      </c>
      <c r="M1785">
        <f t="shared" si="166"/>
        <v>0</v>
      </c>
      <c r="N1785">
        <f t="shared" si="167"/>
        <v>1</v>
      </c>
    </row>
    <row r="1786" spans="1:14" x14ac:dyDescent="0.35">
      <c r="A1786" t="s">
        <v>317</v>
      </c>
      <c r="B1786" t="s">
        <v>2662</v>
      </c>
      <c r="C1786" s="7" t="s">
        <v>6</v>
      </c>
      <c r="D1786" t="s">
        <v>51</v>
      </c>
      <c r="E1786" t="s">
        <v>2669</v>
      </c>
      <c r="F1786" t="s">
        <v>1805</v>
      </c>
      <c r="G1786" t="s">
        <v>2664</v>
      </c>
      <c r="H1786" t="s">
        <v>2565</v>
      </c>
      <c r="I1786">
        <f t="shared" si="162"/>
        <v>0</v>
      </c>
      <c r="J1786">
        <f t="shared" si="163"/>
        <v>1</v>
      </c>
      <c r="K1786">
        <f t="shared" si="164"/>
        <v>0</v>
      </c>
      <c r="L1786">
        <f t="shared" si="165"/>
        <v>0</v>
      </c>
      <c r="M1786">
        <f t="shared" si="166"/>
        <v>0</v>
      </c>
      <c r="N1786">
        <f t="shared" si="167"/>
        <v>1</v>
      </c>
    </row>
    <row r="1787" spans="1:14" x14ac:dyDescent="0.35">
      <c r="A1787" t="s">
        <v>317</v>
      </c>
      <c r="B1787" t="s">
        <v>2662</v>
      </c>
      <c r="C1787" s="7" t="s">
        <v>6</v>
      </c>
      <c r="D1787" t="s">
        <v>51</v>
      </c>
      <c r="E1787" t="s">
        <v>2106</v>
      </c>
      <c r="F1787" t="s">
        <v>1805</v>
      </c>
      <c r="G1787" t="s">
        <v>2664</v>
      </c>
      <c r="H1787" t="s">
        <v>2565</v>
      </c>
      <c r="I1787">
        <f t="shared" si="162"/>
        <v>0</v>
      </c>
      <c r="J1787">
        <f t="shared" si="163"/>
        <v>1</v>
      </c>
      <c r="K1787">
        <f t="shared" si="164"/>
        <v>0</v>
      </c>
      <c r="L1787">
        <f t="shared" si="165"/>
        <v>0</v>
      </c>
      <c r="M1787">
        <f t="shared" si="166"/>
        <v>0</v>
      </c>
      <c r="N1787">
        <f t="shared" si="167"/>
        <v>1</v>
      </c>
    </row>
    <row r="1788" spans="1:14" x14ac:dyDescent="0.35">
      <c r="A1788" t="s">
        <v>317</v>
      </c>
      <c r="B1788" t="s">
        <v>2662</v>
      </c>
      <c r="C1788" s="7" t="s">
        <v>6</v>
      </c>
      <c r="D1788" t="s">
        <v>51</v>
      </c>
      <c r="E1788" t="s">
        <v>2166</v>
      </c>
      <c r="F1788" t="s">
        <v>1805</v>
      </c>
      <c r="G1788" t="s">
        <v>2664</v>
      </c>
      <c r="H1788" t="s">
        <v>2565</v>
      </c>
      <c r="I1788">
        <f t="shared" si="162"/>
        <v>0</v>
      </c>
      <c r="J1788">
        <f t="shared" si="163"/>
        <v>1</v>
      </c>
      <c r="K1788">
        <f t="shared" si="164"/>
        <v>0</v>
      </c>
      <c r="L1788">
        <f t="shared" si="165"/>
        <v>0</v>
      </c>
      <c r="M1788">
        <f t="shared" si="166"/>
        <v>0</v>
      </c>
      <c r="N1788">
        <f t="shared" si="167"/>
        <v>1</v>
      </c>
    </row>
    <row r="1789" spans="1:14" x14ac:dyDescent="0.35">
      <c r="A1789" t="s">
        <v>317</v>
      </c>
      <c r="B1789" t="s">
        <v>2662</v>
      </c>
      <c r="C1789" s="7" t="s">
        <v>6</v>
      </c>
      <c r="D1789" t="s">
        <v>51</v>
      </c>
      <c r="E1789" t="s">
        <v>1961</v>
      </c>
      <c r="F1789" t="s">
        <v>1805</v>
      </c>
      <c r="G1789" t="s">
        <v>2664</v>
      </c>
      <c r="H1789" t="s">
        <v>2565</v>
      </c>
      <c r="I1789">
        <f t="shared" si="162"/>
        <v>0</v>
      </c>
      <c r="J1789">
        <f t="shared" si="163"/>
        <v>1</v>
      </c>
      <c r="K1789">
        <f t="shared" si="164"/>
        <v>0</v>
      </c>
      <c r="L1789">
        <f t="shared" si="165"/>
        <v>0</v>
      </c>
      <c r="M1789">
        <f t="shared" si="166"/>
        <v>0</v>
      </c>
      <c r="N1789">
        <f t="shared" si="167"/>
        <v>1</v>
      </c>
    </row>
    <row r="1790" spans="1:14" x14ac:dyDescent="0.35">
      <c r="A1790" t="s">
        <v>317</v>
      </c>
      <c r="B1790" t="s">
        <v>2662</v>
      </c>
      <c r="C1790" s="7" t="s">
        <v>6</v>
      </c>
      <c r="D1790" t="s">
        <v>51</v>
      </c>
      <c r="E1790" t="s">
        <v>2102</v>
      </c>
      <c r="F1790" t="s">
        <v>1805</v>
      </c>
      <c r="G1790" t="s">
        <v>2664</v>
      </c>
      <c r="H1790" t="s">
        <v>2565</v>
      </c>
      <c r="I1790">
        <f t="shared" si="162"/>
        <v>0</v>
      </c>
      <c r="J1790">
        <f t="shared" si="163"/>
        <v>1</v>
      </c>
      <c r="K1790">
        <f t="shared" si="164"/>
        <v>0</v>
      </c>
      <c r="L1790">
        <f t="shared" si="165"/>
        <v>0</v>
      </c>
      <c r="M1790">
        <f t="shared" si="166"/>
        <v>0</v>
      </c>
      <c r="N1790">
        <f t="shared" si="167"/>
        <v>1</v>
      </c>
    </row>
    <row r="1791" spans="1:14" x14ac:dyDescent="0.35">
      <c r="A1791" t="s">
        <v>317</v>
      </c>
      <c r="B1791" t="s">
        <v>2662</v>
      </c>
      <c r="C1791" s="7" t="s">
        <v>10</v>
      </c>
      <c r="D1791" t="s">
        <v>51</v>
      </c>
      <c r="E1791" t="s">
        <v>2102</v>
      </c>
      <c r="F1791" t="s">
        <v>1805</v>
      </c>
      <c r="G1791" t="s">
        <v>2664</v>
      </c>
      <c r="H1791" t="s">
        <v>2565</v>
      </c>
      <c r="I1791">
        <f t="shared" si="162"/>
        <v>0</v>
      </c>
      <c r="J1791">
        <f t="shared" si="163"/>
        <v>1</v>
      </c>
      <c r="K1791">
        <f t="shared" si="164"/>
        <v>0</v>
      </c>
      <c r="L1791">
        <f t="shared" si="165"/>
        <v>0</v>
      </c>
      <c r="M1791">
        <f t="shared" si="166"/>
        <v>0</v>
      </c>
      <c r="N1791">
        <f t="shared" si="167"/>
        <v>1</v>
      </c>
    </row>
    <row r="1792" spans="1:14" x14ac:dyDescent="0.35">
      <c r="A1792" t="s">
        <v>317</v>
      </c>
      <c r="B1792" t="s">
        <v>2662</v>
      </c>
      <c r="C1792" s="7" t="s">
        <v>6</v>
      </c>
      <c r="D1792" t="s">
        <v>51</v>
      </c>
      <c r="E1792" t="s">
        <v>2166</v>
      </c>
      <c r="F1792" t="s">
        <v>1805</v>
      </c>
      <c r="G1792" t="s">
        <v>2664</v>
      </c>
      <c r="H1792" t="s">
        <v>2565</v>
      </c>
      <c r="I1792">
        <f t="shared" si="162"/>
        <v>0</v>
      </c>
      <c r="J1792">
        <f t="shared" si="163"/>
        <v>1</v>
      </c>
      <c r="K1792">
        <f t="shared" si="164"/>
        <v>0</v>
      </c>
      <c r="L1792">
        <f t="shared" si="165"/>
        <v>0</v>
      </c>
      <c r="M1792">
        <f t="shared" si="166"/>
        <v>0</v>
      </c>
      <c r="N1792">
        <f t="shared" si="167"/>
        <v>1</v>
      </c>
    </row>
    <row r="1793" spans="1:14" x14ac:dyDescent="0.35">
      <c r="A1793" t="s">
        <v>675</v>
      </c>
      <c r="B1793" t="s">
        <v>2670</v>
      </c>
      <c r="C1793" s="7" t="s">
        <v>6</v>
      </c>
      <c r="D1793" t="s">
        <v>528</v>
      </c>
      <c r="E1793" t="s">
        <v>1807</v>
      </c>
      <c r="F1793" t="s">
        <v>1754</v>
      </c>
      <c r="I1793">
        <f t="shared" si="162"/>
        <v>0</v>
      </c>
      <c r="J1793">
        <f t="shared" si="163"/>
        <v>0</v>
      </c>
      <c r="K1793">
        <f t="shared" si="164"/>
        <v>0</v>
      </c>
      <c r="L1793">
        <f t="shared" si="165"/>
        <v>1</v>
      </c>
      <c r="M1793">
        <f t="shared" si="166"/>
        <v>0</v>
      </c>
      <c r="N1793">
        <f t="shared" si="167"/>
        <v>0</v>
      </c>
    </row>
    <row r="1794" spans="1:14" x14ac:dyDescent="0.35">
      <c r="A1794" t="s">
        <v>675</v>
      </c>
      <c r="B1794" t="s">
        <v>2670</v>
      </c>
      <c r="C1794" s="7" t="s">
        <v>10</v>
      </c>
      <c r="D1794" t="s">
        <v>528</v>
      </c>
      <c r="E1794" t="s">
        <v>1806</v>
      </c>
      <c r="F1794" t="s">
        <v>1754</v>
      </c>
      <c r="I1794">
        <f t="shared" si="162"/>
        <v>0</v>
      </c>
      <c r="J1794">
        <f t="shared" si="163"/>
        <v>0</v>
      </c>
      <c r="K1794">
        <f t="shared" si="164"/>
        <v>0</v>
      </c>
      <c r="L1794">
        <f t="shared" si="165"/>
        <v>1</v>
      </c>
      <c r="M1794">
        <f t="shared" si="166"/>
        <v>0</v>
      </c>
      <c r="N1794">
        <f t="shared" si="167"/>
        <v>0</v>
      </c>
    </row>
    <row r="1795" spans="1:14" x14ac:dyDescent="0.35">
      <c r="A1795" t="s">
        <v>675</v>
      </c>
      <c r="B1795" t="s">
        <v>2670</v>
      </c>
      <c r="C1795" s="7" t="s">
        <v>6</v>
      </c>
      <c r="D1795" t="s">
        <v>528</v>
      </c>
      <c r="E1795" t="s">
        <v>1944</v>
      </c>
      <c r="F1795" t="s">
        <v>1754</v>
      </c>
      <c r="I1795">
        <f t="shared" ref="I1795:I1858" si="168">IF($F1795=$F$1,1,0)</f>
        <v>0</v>
      </c>
      <c r="J1795">
        <f t="shared" ref="J1795:J1858" si="169">IF($F1795=$J$1,1,0)</f>
        <v>0</v>
      </c>
      <c r="K1795">
        <f t="shared" ref="K1795:K1858" si="170">IF($F1795=$K$1,1,0)</f>
        <v>0</v>
      </c>
      <c r="L1795">
        <f t="shared" ref="L1795:L1858" si="171">IF($F1795=$L$1,1,0)</f>
        <v>1</v>
      </c>
      <c r="M1795">
        <f t="shared" ref="M1795:M1858" si="172">IF($F1795=$M$1,1,0)</f>
        <v>0</v>
      </c>
      <c r="N1795">
        <f t="shared" ref="N1795:N1858" si="173">IF($G1795&lt;&gt;"",1,0)</f>
        <v>0</v>
      </c>
    </row>
    <row r="1796" spans="1:14" x14ac:dyDescent="0.35">
      <c r="A1796" t="s">
        <v>319</v>
      </c>
      <c r="B1796" t="s">
        <v>2671</v>
      </c>
      <c r="C1796" s="7" t="s">
        <v>6</v>
      </c>
      <c r="D1796" t="s">
        <v>55</v>
      </c>
      <c r="E1796" t="s">
        <v>2068</v>
      </c>
      <c r="F1796" t="s">
        <v>1754</v>
      </c>
      <c r="G1796" t="s">
        <v>2672</v>
      </c>
      <c r="H1796" t="s">
        <v>2673</v>
      </c>
      <c r="I1796">
        <f t="shared" si="168"/>
        <v>0</v>
      </c>
      <c r="J1796">
        <f t="shared" si="169"/>
        <v>0</v>
      </c>
      <c r="K1796">
        <f t="shared" si="170"/>
        <v>0</v>
      </c>
      <c r="L1796">
        <f t="shared" si="171"/>
        <v>1</v>
      </c>
      <c r="M1796">
        <f t="shared" si="172"/>
        <v>0</v>
      </c>
      <c r="N1796">
        <f t="shared" si="173"/>
        <v>1</v>
      </c>
    </row>
    <row r="1797" spans="1:14" x14ac:dyDescent="0.35">
      <c r="A1797" t="s">
        <v>319</v>
      </c>
      <c r="B1797" t="s">
        <v>2671</v>
      </c>
      <c r="C1797" s="7" t="s">
        <v>6</v>
      </c>
      <c r="D1797" t="s">
        <v>55</v>
      </c>
      <c r="E1797" t="s">
        <v>2070</v>
      </c>
      <c r="F1797" t="s">
        <v>1754</v>
      </c>
      <c r="G1797" t="s">
        <v>2672</v>
      </c>
      <c r="H1797" t="s">
        <v>2673</v>
      </c>
      <c r="I1797">
        <f t="shared" si="168"/>
        <v>0</v>
      </c>
      <c r="J1797">
        <f t="shared" si="169"/>
        <v>0</v>
      </c>
      <c r="K1797">
        <f t="shared" si="170"/>
        <v>0</v>
      </c>
      <c r="L1797">
        <f t="shared" si="171"/>
        <v>1</v>
      </c>
      <c r="M1797">
        <f t="shared" si="172"/>
        <v>0</v>
      </c>
      <c r="N1797">
        <f t="shared" si="173"/>
        <v>1</v>
      </c>
    </row>
    <row r="1798" spans="1:14" x14ac:dyDescent="0.35">
      <c r="A1798" t="s">
        <v>319</v>
      </c>
      <c r="B1798" t="s">
        <v>2671</v>
      </c>
      <c r="C1798" s="7" t="s">
        <v>10</v>
      </c>
      <c r="D1798" t="s">
        <v>55</v>
      </c>
      <c r="E1798" t="s">
        <v>2069</v>
      </c>
      <c r="F1798" t="s">
        <v>1754</v>
      </c>
      <c r="G1798" t="s">
        <v>2672</v>
      </c>
      <c r="H1798" t="s">
        <v>2673</v>
      </c>
      <c r="I1798">
        <f t="shared" si="168"/>
        <v>0</v>
      </c>
      <c r="J1798">
        <f t="shared" si="169"/>
        <v>0</v>
      </c>
      <c r="K1798">
        <f t="shared" si="170"/>
        <v>0</v>
      </c>
      <c r="L1798">
        <f t="shared" si="171"/>
        <v>1</v>
      </c>
      <c r="M1798">
        <f t="shared" si="172"/>
        <v>0</v>
      </c>
      <c r="N1798">
        <f t="shared" si="173"/>
        <v>1</v>
      </c>
    </row>
    <row r="1799" spans="1:14" x14ac:dyDescent="0.35">
      <c r="A1799" t="s">
        <v>319</v>
      </c>
      <c r="B1799" t="s">
        <v>2671</v>
      </c>
      <c r="C1799" s="7" t="s">
        <v>6</v>
      </c>
      <c r="D1799" t="s">
        <v>55</v>
      </c>
      <c r="E1799" t="s">
        <v>2165</v>
      </c>
      <c r="F1799" t="s">
        <v>1805</v>
      </c>
      <c r="G1799" t="s">
        <v>2672</v>
      </c>
      <c r="H1799" t="s">
        <v>2673</v>
      </c>
      <c r="I1799">
        <f t="shared" si="168"/>
        <v>0</v>
      </c>
      <c r="J1799">
        <f t="shared" si="169"/>
        <v>1</v>
      </c>
      <c r="K1799">
        <f t="shared" si="170"/>
        <v>0</v>
      </c>
      <c r="L1799">
        <f t="shared" si="171"/>
        <v>0</v>
      </c>
      <c r="M1799">
        <f t="shared" si="172"/>
        <v>0</v>
      </c>
      <c r="N1799">
        <f t="shared" si="173"/>
        <v>1</v>
      </c>
    </row>
    <row r="1800" spans="1:14" x14ac:dyDescent="0.35">
      <c r="A1800" t="s">
        <v>319</v>
      </c>
      <c r="B1800" t="s">
        <v>2671</v>
      </c>
      <c r="C1800" s="7" t="s">
        <v>6</v>
      </c>
      <c r="D1800" t="s">
        <v>55</v>
      </c>
      <c r="E1800" t="s">
        <v>2164</v>
      </c>
      <c r="F1800" t="s">
        <v>1805</v>
      </c>
      <c r="G1800" t="s">
        <v>2672</v>
      </c>
      <c r="H1800" t="s">
        <v>2673</v>
      </c>
      <c r="I1800">
        <f t="shared" si="168"/>
        <v>0</v>
      </c>
      <c r="J1800">
        <f t="shared" si="169"/>
        <v>1</v>
      </c>
      <c r="K1800">
        <f t="shared" si="170"/>
        <v>0</v>
      </c>
      <c r="L1800">
        <f t="shared" si="171"/>
        <v>0</v>
      </c>
      <c r="M1800">
        <f t="shared" si="172"/>
        <v>0</v>
      </c>
      <c r="N1800">
        <f t="shared" si="173"/>
        <v>1</v>
      </c>
    </row>
    <row r="1801" spans="1:14" x14ac:dyDescent="0.35">
      <c r="A1801" t="s">
        <v>181</v>
      </c>
      <c r="B1801" t="s">
        <v>2674</v>
      </c>
      <c r="C1801" s="7" t="s">
        <v>6</v>
      </c>
      <c r="D1801" t="s">
        <v>183</v>
      </c>
      <c r="E1801" t="s">
        <v>2002</v>
      </c>
      <c r="F1801" t="s">
        <v>1754</v>
      </c>
      <c r="I1801">
        <f t="shared" si="168"/>
        <v>0</v>
      </c>
      <c r="J1801">
        <f t="shared" si="169"/>
        <v>0</v>
      </c>
      <c r="K1801">
        <f t="shared" si="170"/>
        <v>0</v>
      </c>
      <c r="L1801">
        <f t="shared" si="171"/>
        <v>1</v>
      </c>
      <c r="M1801">
        <f t="shared" si="172"/>
        <v>0</v>
      </c>
      <c r="N1801">
        <f t="shared" si="173"/>
        <v>0</v>
      </c>
    </row>
    <row r="1802" spans="1:14" x14ac:dyDescent="0.35">
      <c r="A1802" t="s">
        <v>181</v>
      </c>
      <c r="B1802" t="s">
        <v>2674</v>
      </c>
      <c r="C1802" s="7" t="s">
        <v>10</v>
      </c>
      <c r="D1802" t="s">
        <v>183</v>
      </c>
      <c r="E1802" t="s">
        <v>2003</v>
      </c>
      <c r="F1802" t="s">
        <v>1754</v>
      </c>
      <c r="I1802">
        <f t="shared" si="168"/>
        <v>0</v>
      </c>
      <c r="J1802">
        <f t="shared" si="169"/>
        <v>0</v>
      </c>
      <c r="K1802">
        <f t="shared" si="170"/>
        <v>0</v>
      </c>
      <c r="L1802">
        <f t="shared" si="171"/>
        <v>1</v>
      </c>
      <c r="M1802">
        <f t="shared" si="172"/>
        <v>0</v>
      </c>
      <c r="N1802">
        <f t="shared" si="173"/>
        <v>0</v>
      </c>
    </row>
    <row r="1803" spans="1:14" x14ac:dyDescent="0.35">
      <c r="A1803" t="s">
        <v>448</v>
      </c>
      <c r="B1803" t="s">
        <v>2385</v>
      </c>
      <c r="C1803" s="7" t="s">
        <v>6</v>
      </c>
      <c r="D1803" t="s">
        <v>450</v>
      </c>
      <c r="E1803" t="s">
        <v>1997</v>
      </c>
      <c r="F1803" t="s">
        <v>1886</v>
      </c>
      <c r="I1803">
        <f t="shared" si="168"/>
        <v>0</v>
      </c>
      <c r="J1803">
        <f t="shared" si="169"/>
        <v>0</v>
      </c>
      <c r="K1803">
        <f t="shared" si="170"/>
        <v>0</v>
      </c>
      <c r="L1803">
        <f t="shared" si="171"/>
        <v>0</v>
      </c>
      <c r="M1803">
        <f t="shared" si="172"/>
        <v>0</v>
      </c>
      <c r="N1803">
        <f t="shared" si="173"/>
        <v>0</v>
      </c>
    </row>
    <row r="1804" spans="1:14" x14ac:dyDescent="0.35">
      <c r="A1804" t="s">
        <v>448</v>
      </c>
      <c r="B1804" t="s">
        <v>2385</v>
      </c>
      <c r="C1804" s="7" t="s">
        <v>6</v>
      </c>
      <c r="D1804" t="s">
        <v>450</v>
      </c>
      <c r="E1804" t="s">
        <v>2000</v>
      </c>
      <c r="F1804" t="s">
        <v>1886</v>
      </c>
      <c r="I1804">
        <f t="shared" si="168"/>
        <v>0</v>
      </c>
      <c r="J1804">
        <f t="shared" si="169"/>
        <v>0</v>
      </c>
      <c r="K1804">
        <f t="shared" si="170"/>
        <v>0</v>
      </c>
      <c r="L1804">
        <f t="shared" si="171"/>
        <v>0</v>
      </c>
      <c r="M1804">
        <f t="shared" si="172"/>
        <v>0</v>
      </c>
      <c r="N1804">
        <f t="shared" si="173"/>
        <v>0</v>
      </c>
    </row>
    <row r="1805" spans="1:14" x14ac:dyDescent="0.35">
      <c r="A1805" t="s">
        <v>448</v>
      </c>
      <c r="B1805" t="s">
        <v>2385</v>
      </c>
      <c r="C1805" s="7" t="s">
        <v>6</v>
      </c>
      <c r="D1805" t="s">
        <v>450</v>
      </c>
      <c r="E1805" t="s">
        <v>1996</v>
      </c>
      <c r="F1805" t="s">
        <v>1886</v>
      </c>
      <c r="I1805">
        <f t="shared" si="168"/>
        <v>0</v>
      </c>
      <c r="J1805">
        <f t="shared" si="169"/>
        <v>0</v>
      </c>
      <c r="K1805">
        <f t="shared" si="170"/>
        <v>0</v>
      </c>
      <c r="L1805">
        <f t="shared" si="171"/>
        <v>0</v>
      </c>
      <c r="M1805">
        <f t="shared" si="172"/>
        <v>0</v>
      </c>
      <c r="N1805">
        <f t="shared" si="173"/>
        <v>0</v>
      </c>
    </row>
    <row r="1806" spans="1:14" x14ac:dyDescent="0.35">
      <c r="A1806" t="s">
        <v>448</v>
      </c>
      <c r="B1806" t="s">
        <v>2385</v>
      </c>
      <c r="C1806" s="7" t="s">
        <v>10</v>
      </c>
      <c r="D1806" t="s">
        <v>450</v>
      </c>
      <c r="E1806" t="s">
        <v>1999</v>
      </c>
      <c r="F1806" t="s">
        <v>1886</v>
      </c>
      <c r="I1806">
        <f t="shared" si="168"/>
        <v>0</v>
      </c>
      <c r="J1806">
        <f t="shared" si="169"/>
        <v>0</v>
      </c>
      <c r="K1806">
        <f t="shared" si="170"/>
        <v>0</v>
      </c>
      <c r="L1806">
        <f t="shared" si="171"/>
        <v>0</v>
      </c>
      <c r="M1806">
        <f t="shared" si="172"/>
        <v>0</v>
      </c>
      <c r="N1806">
        <f t="shared" si="173"/>
        <v>0</v>
      </c>
    </row>
    <row r="1807" spans="1:14" x14ac:dyDescent="0.35">
      <c r="A1807" t="s">
        <v>448</v>
      </c>
      <c r="B1807" t="s">
        <v>2385</v>
      </c>
      <c r="C1807" s="7" t="s">
        <v>6</v>
      </c>
      <c r="D1807" t="s">
        <v>450</v>
      </c>
      <c r="E1807" t="s">
        <v>1998</v>
      </c>
      <c r="F1807" t="s">
        <v>1886</v>
      </c>
      <c r="I1807">
        <f t="shared" si="168"/>
        <v>0</v>
      </c>
      <c r="J1807">
        <f t="shared" si="169"/>
        <v>0</v>
      </c>
      <c r="K1807">
        <f t="shared" si="170"/>
        <v>0</v>
      </c>
      <c r="L1807">
        <f t="shared" si="171"/>
        <v>0</v>
      </c>
      <c r="M1807">
        <f t="shared" si="172"/>
        <v>0</v>
      </c>
      <c r="N1807">
        <f t="shared" si="173"/>
        <v>0</v>
      </c>
    </row>
    <row r="1808" spans="1:14" x14ac:dyDescent="0.35">
      <c r="A1808" t="s">
        <v>262</v>
      </c>
      <c r="B1808" t="s">
        <v>2675</v>
      </c>
      <c r="C1808" s="7" t="s">
        <v>10</v>
      </c>
      <c r="D1808" t="s">
        <v>189</v>
      </c>
      <c r="E1808" t="s">
        <v>1904</v>
      </c>
      <c r="F1808" t="s">
        <v>1760</v>
      </c>
      <c r="I1808">
        <f t="shared" si="168"/>
        <v>0</v>
      </c>
      <c r="J1808">
        <f t="shared" si="169"/>
        <v>0</v>
      </c>
      <c r="K1808">
        <f t="shared" si="170"/>
        <v>1</v>
      </c>
      <c r="L1808">
        <f t="shared" si="171"/>
        <v>0</v>
      </c>
      <c r="M1808">
        <f t="shared" si="172"/>
        <v>0</v>
      </c>
      <c r="N1808">
        <f t="shared" si="173"/>
        <v>0</v>
      </c>
    </row>
    <row r="1809" spans="1:14" x14ac:dyDescent="0.35">
      <c r="A1809" t="s">
        <v>262</v>
      </c>
      <c r="B1809" t="s">
        <v>2675</v>
      </c>
      <c r="C1809" s="7" t="s">
        <v>6</v>
      </c>
      <c r="D1809" t="s">
        <v>189</v>
      </c>
      <c r="E1809" t="s">
        <v>1905</v>
      </c>
      <c r="F1809" t="s">
        <v>1760</v>
      </c>
      <c r="I1809">
        <f t="shared" si="168"/>
        <v>0</v>
      </c>
      <c r="J1809">
        <f t="shared" si="169"/>
        <v>0</v>
      </c>
      <c r="K1809">
        <f t="shared" si="170"/>
        <v>1</v>
      </c>
      <c r="L1809">
        <f t="shared" si="171"/>
        <v>0</v>
      </c>
      <c r="M1809">
        <f t="shared" si="172"/>
        <v>0</v>
      </c>
      <c r="N1809">
        <f t="shared" si="173"/>
        <v>0</v>
      </c>
    </row>
    <row r="1810" spans="1:14" x14ac:dyDescent="0.35">
      <c r="A1810" t="s">
        <v>262</v>
      </c>
      <c r="B1810" t="s">
        <v>2675</v>
      </c>
      <c r="C1810" s="7" t="s">
        <v>6</v>
      </c>
      <c r="D1810" t="s">
        <v>189</v>
      </c>
      <c r="E1810" t="s">
        <v>1944</v>
      </c>
      <c r="F1810" t="s">
        <v>1754</v>
      </c>
      <c r="I1810">
        <f t="shared" si="168"/>
        <v>0</v>
      </c>
      <c r="J1810">
        <f t="shared" si="169"/>
        <v>0</v>
      </c>
      <c r="K1810">
        <f t="shared" si="170"/>
        <v>0</v>
      </c>
      <c r="L1810">
        <f t="shared" si="171"/>
        <v>1</v>
      </c>
      <c r="M1810">
        <f t="shared" si="172"/>
        <v>0</v>
      </c>
      <c r="N1810">
        <f t="shared" si="173"/>
        <v>0</v>
      </c>
    </row>
    <row r="1811" spans="1:14" x14ac:dyDescent="0.35">
      <c r="A1811" t="s">
        <v>262</v>
      </c>
      <c r="B1811" t="s">
        <v>2675</v>
      </c>
      <c r="C1811" s="7" t="s">
        <v>6</v>
      </c>
      <c r="D1811" t="s">
        <v>189</v>
      </c>
      <c r="E1811" t="s">
        <v>1911</v>
      </c>
      <c r="F1811" t="s">
        <v>1754</v>
      </c>
      <c r="I1811">
        <f t="shared" si="168"/>
        <v>0</v>
      </c>
      <c r="J1811">
        <f t="shared" si="169"/>
        <v>0</v>
      </c>
      <c r="K1811">
        <f t="shared" si="170"/>
        <v>0</v>
      </c>
      <c r="L1811">
        <f t="shared" si="171"/>
        <v>1</v>
      </c>
      <c r="M1811">
        <f t="shared" si="172"/>
        <v>0</v>
      </c>
      <c r="N1811">
        <f t="shared" si="173"/>
        <v>0</v>
      </c>
    </row>
    <row r="1812" spans="1:14" x14ac:dyDescent="0.35">
      <c r="A1812" t="s">
        <v>262</v>
      </c>
      <c r="B1812" t="s">
        <v>2675</v>
      </c>
      <c r="C1812" s="7" t="s">
        <v>6</v>
      </c>
      <c r="D1812" t="s">
        <v>189</v>
      </c>
      <c r="E1812" t="s">
        <v>1910</v>
      </c>
      <c r="F1812" t="s">
        <v>1754</v>
      </c>
      <c r="I1812">
        <f t="shared" si="168"/>
        <v>0</v>
      </c>
      <c r="J1812">
        <f t="shared" si="169"/>
        <v>0</v>
      </c>
      <c r="K1812">
        <f t="shared" si="170"/>
        <v>0</v>
      </c>
      <c r="L1812">
        <f t="shared" si="171"/>
        <v>1</v>
      </c>
      <c r="M1812">
        <f t="shared" si="172"/>
        <v>0</v>
      </c>
      <c r="N1812">
        <f t="shared" si="173"/>
        <v>0</v>
      </c>
    </row>
    <row r="1813" spans="1:14" x14ac:dyDescent="0.35">
      <c r="A1813" t="s">
        <v>302</v>
      </c>
      <c r="B1813" t="s">
        <v>2676</v>
      </c>
      <c r="C1813" s="7" t="s">
        <v>6</v>
      </c>
      <c r="D1813" t="s">
        <v>305</v>
      </c>
      <c r="E1813" t="s">
        <v>2088</v>
      </c>
      <c r="F1813" t="s">
        <v>1727</v>
      </c>
      <c r="I1813">
        <f t="shared" si="168"/>
        <v>0</v>
      </c>
      <c r="J1813">
        <f t="shared" si="169"/>
        <v>0</v>
      </c>
      <c r="K1813">
        <f t="shared" si="170"/>
        <v>0</v>
      </c>
      <c r="L1813">
        <f t="shared" si="171"/>
        <v>0</v>
      </c>
      <c r="M1813">
        <f t="shared" si="172"/>
        <v>1</v>
      </c>
      <c r="N1813">
        <f t="shared" si="173"/>
        <v>0</v>
      </c>
    </row>
    <row r="1814" spans="1:14" x14ac:dyDescent="0.35">
      <c r="A1814" t="s">
        <v>1025</v>
      </c>
      <c r="B1814" t="s">
        <v>2677</v>
      </c>
      <c r="C1814" s="7" t="s">
        <v>6</v>
      </c>
      <c r="D1814" t="s">
        <v>51</v>
      </c>
      <c r="E1814" t="s">
        <v>1818</v>
      </c>
      <c r="F1814" t="s">
        <v>1760</v>
      </c>
      <c r="I1814">
        <f t="shared" si="168"/>
        <v>0</v>
      </c>
      <c r="J1814">
        <f t="shared" si="169"/>
        <v>0</v>
      </c>
      <c r="K1814">
        <f t="shared" si="170"/>
        <v>1</v>
      </c>
      <c r="L1814">
        <f t="shared" si="171"/>
        <v>0</v>
      </c>
      <c r="M1814">
        <f t="shared" si="172"/>
        <v>0</v>
      </c>
      <c r="N1814">
        <f t="shared" si="173"/>
        <v>0</v>
      </c>
    </row>
    <row r="1815" spans="1:14" x14ac:dyDescent="0.35">
      <c r="A1815" t="s">
        <v>1025</v>
      </c>
      <c r="B1815" t="s">
        <v>2677</v>
      </c>
      <c r="C1815" s="7" t="s">
        <v>6</v>
      </c>
      <c r="D1815" t="s">
        <v>51</v>
      </c>
      <c r="E1815" t="s">
        <v>1849</v>
      </c>
      <c r="F1815" t="s">
        <v>1754</v>
      </c>
      <c r="I1815">
        <f t="shared" si="168"/>
        <v>0</v>
      </c>
      <c r="J1815">
        <f t="shared" si="169"/>
        <v>0</v>
      </c>
      <c r="K1815">
        <f t="shared" si="170"/>
        <v>0</v>
      </c>
      <c r="L1815">
        <f t="shared" si="171"/>
        <v>1</v>
      </c>
      <c r="M1815">
        <f t="shared" si="172"/>
        <v>0</v>
      </c>
      <c r="N1815">
        <f t="shared" si="173"/>
        <v>0</v>
      </c>
    </row>
    <row r="1816" spans="1:14" x14ac:dyDescent="0.35">
      <c r="A1816" t="s">
        <v>1392</v>
      </c>
      <c r="B1816" t="s">
        <v>2678</v>
      </c>
      <c r="C1816" s="7" t="s">
        <v>6</v>
      </c>
      <c r="D1816" t="s">
        <v>1394</v>
      </c>
      <c r="E1816" t="s">
        <v>1814</v>
      </c>
      <c r="F1816" t="s">
        <v>1760</v>
      </c>
      <c r="I1816">
        <f t="shared" si="168"/>
        <v>0</v>
      </c>
      <c r="J1816">
        <f t="shared" si="169"/>
        <v>0</v>
      </c>
      <c r="K1816">
        <f t="shared" si="170"/>
        <v>1</v>
      </c>
      <c r="L1816">
        <f t="shared" si="171"/>
        <v>0</v>
      </c>
      <c r="M1816">
        <f t="shared" si="172"/>
        <v>0</v>
      </c>
      <c r="N1816">
        <f t="shared" si="173"/>
        <v>0</v>
      </c>
    </row>
    <row r="1817" spans="1:14" x14ac:dyDescent="0.35">
      <c r="A1817" t="s">
        <v>1392</v>
      </c>
      <c r="B1817" t="s">
        <v>2678</v>
      </c>
      <c r="C1817" s="7" t="s">
        <v>6</v>
      </c>
      <c r="D1817" t="s">
        <v>1394</v>
      </c>
      <c r="E1817" t="s">
        <v>1815</v>
      </c>
      <c r="F1817" t="s">
        <v>1754</v>
      </c>
      <c r="I1817">
        <f t="shared" si="168"/>
        <v>0</v>
      </c>
      <c r="J1817">
        <f t="shared" si="169"/>
        <v>0</v>
      </c>
      <c r="K1817">
        <f t="shared" si="170"/>
        <v>0</v>
      </c>
      <c r="L1817">
        <f t="shared" si="171"/>
        <v>1</v>
      </c>
      <c r="M1817">
        <f t="shared" si="172"/>
        <v>0</v>
      </c>
      <c r="N1817">
        <f t="shared" si="173"/>
        <v>0</v>
      </c>
    </row>
    <row r="1818" spans="1:14" x14ac:dyDescent="0.35">
      <c r="A1818" t="s">
        <v>1392</v>
      </c>
      <c r="B1818" t="s">
        <v>2678</v>
      </c>
      <c r="C1818" s="7" t="s">
        <v>6</v>
      </c>
      <c r="D1818" t="s">
        <v>1394</v>
      </c>
      <c r="E1818" t="s">
        <v>1817</v>
      </c>
      <c r="F1818" t="s">
        <v>1754</v>
      </c>
      <c r="I1818">
        <f t="shared" si="168"/>
        <v>0</v>
      </c>
      <c r="J1818">
        <f t="shared" si="169"/>
        <v>0</v>
      </c>
      <c r="K1818">
        <f t="shared" si="170"/>
        <v>0</v>
      </c>
      <c r="L1818">
        <f t="shared" si="171"/>
        <v>1</v>
      </c>
      <c r="M1818">
        <f t="shared" si="172"/>
        <v>0</v>
      </c>
      <c r="N1818">
        <f t="shared" si="173"/>
        <v>0</v>
      </c>
    </row>
    <row r="1819" spans="1:14" x14ac:dyDescent="0.35">
      <c r="A1819" t="s">
        <v>1153</v>
      </c>
      <c r="B1819" t="s">
        <v>2679</v>
      </c>
      <c r="C1819" s="7" t="s">
        <v>6</v>
      </c>
      <c r="D1819" t="s">
        <v>1154</v>
      </c>
      <c r="E1819" t="s">
        <v>1996</v>
      </c>
      <c r="F1819" t="s">
        <v>1886</v>
      </c>
      <c r="I1819">
        <f t="shared" si="168"/>
        <v>0</v>
      </c>
      <c r="J1819">
        <f t="shared" si="169"/>
        <v>0</v>
      </c>
      <c r="K1819">
        <f t="shared" si="170"/>
        <v>0</v>
      </c>
      <c r="L1819">
        <f t="shared" si="171"/>
        <v>0</v>
      </c>
      <c r="M1819">
        <f t="shared" si="172"/>
        <v>0</v>
      </c>
      <c r="N1819">
        <f t="shared" si="173"/>
        <v>0</v>
      </c>
    </row>
    <row r="1820" spans="1:14" x14ac:dyDescent="0.35">
      <c r="A1820" t="s">
        <v>713</v>
      </c>
      <c r="B1820" t="s">
        <v>2680</v>
      </c>
      <c r="C1820" s="7" t="s">
        <v>6</v>
      </c>
      <c r="D1820" t="s">
        <v>152</v>
      </c>
      <c r="E1820" t="s">
        <v>2128</v>
      </c>
      <c r="F1820" t="s">
        <v>1754</v>
      </c>
      <c r="G1820" t="s">
        <v>2681</v>
      </c>
      <c r="H1820" t="s">
        <v>2682</v>
      </c>
      <c r="I1820">
        <f t="shared" si="168"/>
        <v>0</v>
      </c>
      <c r="J1820">
        <f t="shared" si="169"/>
        <v>0</v>
      </c>
      <c r="K1820">
        <f t="shared" si="170"/>
        <v>0</v>
      </c>
      <c r="L1820">
        <f t="shared" si="171"/>
        <v>1</v>
      </c>
      <c r="M1820">
        <f t="shared" si="172"/>
        <v>0</v>
      </c>
      <c r="N1820">
        <f t="shared" si="173"/>
        <v>1</v>
      </c>
    </row>
    <row r="1821" spans="1:14" x14ac:dyDescent="0.35">
      <c r="A1821" t="s">
        <v>713</v>
      </c>
      <c r="B1821" t="s">
        <v>2680</v>
      </c>
      <c r="C1821" s="7" t="s">
        <v>6</v>
      </c>
      <c r="D1821" t="s">
        <v>152</v>
      </c>
      <c r="E1821" t="s">
        <v>1825</v>
      </c>
      <c r="F1821" t="s">
        <v>1754</v>
      </c>
      <c r="G1821" t="s">
        <v>2681</v>
      </c>
      <c r="H1821" t="s">
        <v>2682</v>
      </c>
      <c r="I1821">
        <f t="shared" si="168"/>
        <v>0</v>
      </c>
      <c r="J1821">
        <f t="shared" si="169"/>
        <v>0</v>
      </c>
      <c r="K1821">
        <f t="shared" si="170"/>
        <v>0</v>
      </c>
      <c r="L1821">
        <f t="shared" si="171"/>
        <v>1</v>
      </c>
      <c r="M1821">
        <f t="shared" si="172"/>
        <v>0</v>
      </c>
      <c r="N1821">
        <f t="shared" si="173"/>
        <v>1</v>
      </c>
    </row>
    <row r="1822" spans="1:14" x14ac:dyDescent="0.35">
      <c r="A1822" t="s">
        <v>713</v>
      </c>
      <c r="B1822" t="s">
        <v>2680</v>
      </c>
      <c r="C1822" s="7" t="s">
        <v>6</v>
      </c>
      <c r="D1822" t="s">
        <v>152</v>
      </c>
      <c r="E1822" t="s">
        <v>2127</v>
      </c>
      <c r="F1822" t="s">
        <v>1754</v>
      </c>
      <c r="G1822" t="s">
        <v>2681</v>
      </c>
      <c r="H1822" t="s">
        <v>2682</v>
      </c>
      <c r="I1822">
        <f t="shared" si="168"/>
        <v>0</v>
      </c>
      <c r="J1822">
        <f t="shared" si="169"/>
        <v>0</v>
      </c>
      <c r="K1822">
        <f t="shared" si="170"/>
        <v>0</v>
      </c>
      <c r="L1822">
        <f t="shared" si="171"/>
        <v>1</v>
      </c>
      <c r="M1822">
        <f t="shared" si="172"/>
        <v>0</v>
      </c>
      <c r="N1822">
        <f t="shared" si="173"/>
        <v>1</v>
      </c>
    </row>
    <row r="1823" spans="1:14" x14ac:dyDescent="0.35">
      <c r="A1823" t="s">
        <v>713</v>
      </c>
      <c r="B1823" t="s">
        <v>2680</v>
      </c>
      <c r="C1823" s="7" t="s">
        <v>6</v>
      </c>
      <c r="D1823" t="s">
        <v>152</v>
      </c>
      <c r="E1823" t="s">
        <v>1968</v>
      </c>
      <c r="F1823" t="s">
        <v>1760</v>
      </c>
      <c r="G1823" t="s">
        <v>2681</v>
      </c>
      <c r="H1823" t="s">
        <v>2682</v>
      </c>
      <c r="I1823">
        <f t="shared" si="168"/>
        <v>0</v>
      </c>
      <c r="J1823">
        <f t="shared" si="169"/>
        <v>0</v>
      </c>
      <c r="K1823">
        <f t="shared" si="170"/>
        <v>1</v>
      </c>
      <c r="L1823">
        <f t="shared" si="171"/>
        <v>0</v>
      </c>
      <c r="M1823">
        <f t="shared" si="172"/>
        <v>0</v>
      </c>
      <c r="N1823">
        <f t="shared" si="173"/>
        <v>1</v>
      </c>
    </row>
    <row r="1824" spans="1:14" x14ac:dyDescent="0.35">
      <c r="A1824" t="s">
        <v>713</v>
      </c>
      <c r="B1824" t="s">
        <v>2680</v>
      </c>
      <c r="C1824" s="7" t="s">
        <v>6</v>
      </c>
      <c r="D1824" t="s">
        <v>152</v>
      </c>
      <c r="E1824" t="s">
        <v>1904</v>
      </c>
      <c r="F1824" t="s">
        <v>1760</v>
      </c>
      <c r="G1824" t="s">
        <v>2681</v>
      </c>
      <c r="H1824" t="s">
        <v>2682</v>
      </c>
      <c r="I1824">
        <f t="shared" si="168"/>
        <v>0</v>
      </c>
      <c r="J1824">
        <f t="shared" si="169"/>
        <v>0</v>
      </c>
      <c r="K1824">
        <f t="shared" si="170"/>
        <v>1</v>
      </c>
      <c r="L1824">
        <f t="shared" si="171"/>
        <v>0</v>
      </c>
      <c r="M1824">
        <f t="shared" si="172"/>
        <v>0</v>
      </c>
      <c r="N1824">
        <f t="shared" si="173"/>
        <v>1</v>
      </c>
    </row>
    <row r="1825" spans="1:14" x14ac:dyDescent="0.35">
      <c r="A1825" t="s">
        <v>760</v>
      </c>
      <c r="B1825" t="s">
        <v>2683</v>
      </c>
      <c r="C1825" s="7" t="s">
        <v>6</v>
      </c>
      <c r="D1825" t="s">
        <v>55</v>
      </c>
      <c r="E1825" t="s">
        <v>1828</v>
      </c>
      <c r="F1825" t="s">
        <v>1754</v>
      </c>
      <c r="I1825">
        <f t="shared" si="168"/>
        <v>0</v>
      </c>
      <c r="J1825">
        <f t="shared" si="169"/>
        <v>0</v>
      </c>
      <c r="K1825">
        <f t="shared" si="170"/>
        <v>0</v>
      </c>
      <c r="L1825">
        <f t="shared" si="171"/>
        <v>1</v>
      </c>
      <c r="M1825">
        <f t="shared" si="172"/>
        <v>0</v>
      </c>
      <c r="N1825">
        <f t="shared" si="173"/>
        <v>0</v>
      </c>
    </row>
    <row r="1826" spans="1:14" x14ac:dyDescent="0.35">
      <c r="A1826" t="s">
        <v>1098</v>
      </c>
      <c r="B1826" t="s">
        <v>2684</v>
      </c>
      <c r="C1826" s="7" t="s">
        <v>6</v>
      </c>
      <c r="D1826" t="s">
        <v>180</v>
      </c>
      <c r="E1826" t="s">
        <v>1972</v>
      </c>
      <c r="F1826" t="s">
        <v>1760</v>
      </c>
      <c r="I1826">
        <f t="shared" si="168"/>
        <v>0</v>
      </c>
      <c r="J1826">
        <f t="shared" si="169"/>
        <v>0</v>
      </c>
      <c r="K1826">
        <f t="shared" si="170"/>
        <v>1</v>
      </c>
      <c r="L1826">
        <f t="shared" si="171"/>
        <v>0</v>
      </c>
      <c r="M1826">
        <f t="shared" si="172"/>
        <v>0</v>
      </c>
      <c r="N1826">
        <f t="shared" si="173"/>
        <v>0</v>
      </c>
    </row>
    <row r="1827" spans="1:14" x14ac:dyDescent="0.35">
      <c r="A1827" t="s">
        <v>1098</v>
      </c>
      <c r="B1827" t="s">
        <v>2684</v>
      </c>
      <c r="C1827" s="7" t="s">
        <v>6</v>
      </c>
      <c r="D1827" t="s">
        <v>180</v>
      </c>
      <c r="E1827" t="s">
        <v>1938</v>
      </c>
      <c r="F1827" t="s">
        <v>1760</v>
      </c>
      <c r="I1827">
        <f t="shared" si="168"/>
        <v>0</v>
      </c>
      <c r="J1827">
        <f t="shared" si="169"/>
        <v>0</v>
      </c>
      <c r="K1827">
        <f t="shared" si="170"/>
        <v>1</v>
      </c>
      <c r="L1827">
        <f t="shared" si="171"/>
        <v>0</v>
      </c>
      <c r="M1827">
        <f t="shared" si="172"/>
        <v>0</v>
      </c>
      <c r="N1827">
        <f t="shared" si="173"/>
        <v>0</v>
      </c>
    </row>
    <row r="1828" spans="1:14" x14ac:dyDescent="0.35">
      <c r="A1828" t="s">
        <v>1467</v>
      </c>
      <c r="B1828" t="s">
        <v>2685</v>
      </c>
      <c r="C1828" s="7" t="s">
        <v>6</v>
      </c>
      <c r="D1828" t="s">
        <v>1457</v>
      </c>
      <c r="E1828" t="s">
        <v>1828</v>
      </c>
      <c r="F1828" t="s">
        <v>1754</v>
      </c>
      <c r="I1828">
        <f t="shared" si="168"/>
        <v>0</v>
      </c>
      <c r="J1828">
        <f t="shared" si="169"/>
        <v>0</v>
      </c>
      <c r="K1828">
        <f t="shared" si="170"/>
        <v>0</v>
      </c>
      <c r="L1828">
        <f t="shared" si="171"/>
        <v>1</v>
      </c>
      <c r="M1828">
        <f t="shared" si="172"/>
        <v>0</v>
      </c>
      <c r="N1828">
        <f t="shared" si="173"/>
        <v>0</v>
      </c>
    </row>
    <row r="1829" spans="1:14" x14ac:dyDescent="0.35">
      <c r="A1829" t="s">
        <v>1467</v>
      </c>
      <c r="B1829" t="s">
        <v>2685</v>
      </c>
      <c r="C1829" s="7" t="s">
        <v>6</v>
      </c>
      <c r="D1829" t="s">
        <v>1457</v>
      </c>
      <c r="E1829" t="s">
        <v>1860</v>
      </c>
      <c r="F1829" t="s">
        <v>1754</v>
      </c>
      <c r="I1829">
        <f t="shared" si="168"/>
        <v>0</v>
      </c>
      <c r="J1829">
        <f t="shared" si="169"/>
        <v>0</v>
      </c>
      <c r="K1829">
        <f t="shared" si="170"/>
        <v>0</v>
      </c>
      <c r="L1829">
        <f t="shared" si="171"/>
        <v>1</v>
      </c>
      <c r="M1829">
        <f t="shared" si="172"/>
        <v>0</v>
      </c>
      <c r="N1829">
        <f t="shared" si="173"/>
        <v>0</v>
      </c>
    </row>
    <row r="1830" spans="1:14" x14ac:dyDescent="0.35">
      <c r="A1830" t="s">
        <v>1467</v>
      </c>
      <c r="B1830" t="s">
        <v>2685</v>
      </c>
      <c r="C1830" s="7" t="s">
        <v>6</v>
      </c>
      <c r="D1830" t="s">
        <v>1457</v>
      </c>
      <c r="E1830" t="s">
        <v>1829</v>
      </c>
      <c r="F1830" t="s">
        <v>1754</v>
      </c>
      <c r="I1830">
        <f t="shared" si="168"/>
        <v>0</v>
      </c>
      <c r="J1830">
        <f t="shared" si="169"/>
        <v>0</v>
      </c>
      <c r="K1830">
        <f t="shared" si="170"/>
        <v>0</v>
      </c>
      <c r="L1830">
        <f t="shared" si="171"/>
        <v>1</v>
      </c>
      <c r="M1830">
        <f t="shared" si="172"/>
        <v>0</v>
      </c>
      <c r="N1830">
        <f t="shared" si="173"/>
        <v>0</v>
      </c>
    </row>
    <row r="1831" spans="1:14" x14ac:dyDescent="0.35">
      <c r="A1831" t="s">
        <v>1440</v>
      </c>
      <c r="B1831" t="s">
        <v>2686</v>
      </c>
      <c r="C1831" s="7" t="s">
        <v>6</v>
      </c>
      <c r="D1831" t="s">
        <v>97</v>
      </c>
      <c r="E1831" t="s">
        <v>1917</v>
      </c>
      <c r="F1831" t="s">
        <v>1754</v>
      </c>
      <c r="G1831" t="s">
        <v>2687</v>
      </c>
      <c r="H1831" t="s">
        <v>2688</v>
      </c>
      <c r="I1831">
        <f t="shared" si="168"/>
        <v>0</v>
      </c>
      <c r="J1831">
        <f t="shared" si="169"/>
        <v>0</v>
      </c>
      <c r="K1831">
        <f t="shared" si="170"/>
        <v>0</v>
      </c>
      <c r="L1831">
        <f t="shared" si="171"/>
        <v>1</v>
      </c>
      <c r="M1831">
        <f t="shared" si="172"/>
        <v>0</v>
      </c>
      <c r="N1831">
        <f t="shared" si="173"/>
        <v>1</v>
      </c>
    </row>
    <row r="1832" spans="1:14" x14ac:dyDescent="0.35">
      <c r="A1832" t="s">
        <v>1440</v>
      </c>
      <c r="B1832" t="s">
        <v>2686</v>
      </c>
      <c r="C1832" s="7" t="s">
        <v>6</v>
      </c>
      <c r="D1832" t="s">
        <v>97</v>
      </c>
      <c r="E1832" t="s">
        <v>1889</v>
      </c>
      <c r="F1832" t="s">
        <v>1754</v>
      </c>
      <c r="G1832" t="s">
        <v>2687</v>
      </c>
      <c r="H1832" t="s">
        <v>2688</v>
      </c>
      <c r="I1832">
        <f t="shared" si="168"/>
        <v>0</v>
      </c>
      <c r="J1832">
        <f t="shared" si="169"/>
        <v>0</v>
      </c>
      <c r="K1832">
        <f t="shared" si="170"/>
        <v>0</v>
      </c>
      <c r="L1832">
        <f t="shared" si="171"/>
        <v>1</v>
      </c>
      <c r="M1832">
        <f t="shared" si="172"/>
        <v>0</v>
      </c>
      <c r="N1832">
        <f t="shared" si="173"/>
        <v>1</v>
      </c>
    </row>
    <row r="1833" spans="1:14" x14ac:dyDescent="0.35">
      <c r="A1833" t="s">
        <v>1440</v>
      </c>
      <c r="B1833" t="s">
        <v>2686</v>
      </c>
      <c r="C1833" s="7" t="s">
        <v>6</v>
      </c>
      <c r="D1833" t="s">
        <v>97</v>
      </c>
      <c r="E1833" t="s">
        <v>1888</v>
      </c>
      <c r="F1833" t="s">
        <v>1754</v>
      </c>
      <c r="G1833" t="s">
        <v>2687</v>
      </c>
      <c r="H1833" t="s">
        <v>2688</v>
      </c>
      <c r="I1833">
        <f t="shared" si="168"/>
        <v>0</v>
      </c>
      <c r="J1833">
        <f t="shared" si="169"/>
        <v>0</v>
      </c>
      <c r="K1833">
        <f t="shared" si="170"/>
        <v>0</v>
      </c>
      <c r="L1833">
        <f t="shared" si="171"/>
        <v>1</v>
      </c>
      <c r="M1833">
        <f t="shared" si="172"/>
        <v>0</v>
      </c>
      <c r="N1833">
        <f t="shared" si="173"/>
        <v>1</v>
      </c>
    </row>
    <row r="1834" spans="1:14" x14ac:dyDescent="0.35">
      <c r="A1834" t="s">
        <v>1343</v>
      </c>
      <c r="B1834" t="s">
        <v>1796</v>
      </c>
      <c r="C1834" s="7" t="s">
        <v>6</v>
      </c>
      <c r="D1834" t="s">
        <v>55</v>
      </c>
      <c r="E1834" t="s">
        <v>2040</v>
      </c>
      <c r="F1834" t="s">
        <v>1727</v>
      </c>
      <c r="I1834">
        <f t="shared" si="168"/>
        <v>0</v>
      </c>
      <c r="J1834">
        <f t="shared" si="169"/>
        <v>0</v>
      </c>
      <c r="K1834">
        <f t="shared" si="170"/>
        <v>0</v>
      </c>
      <c r="L1834">
        <f t="shared" si="171"/>
        <v>0</v>
      </c>
      <c r="M1834">
        <f t="shared" si="172"/>
        <v>1</v>
      </c>
      <c r="N1834">
        <f t="shared" si="173"/>
        <v>0</v>
      </c>
    </row>
    <row r="1835" spans="1:14" x14ac:dyDescent="0.35">
      <c r="A1835" t="s">
        <v>734</v>
      </c>
      <c r="B1835" t="s">
        <v>1797</v>
      </c>
      <c r="C1835" s="7" t="s">
        <v>6</v>
      </c>
      <c r="D1835" t="s">
        <v>55</v>
      </c>
      <c r="E1835" t="s">
        <v>1953</v>
      </c>
      <c r="F1835" t="s">
        <v>1754</v>
      </c>
      <c r="I1835">
        <f t="shared" si="168"/>
        <v>0</v>
      </c>
      <c r="J1835">
        <f t="shared" si="169"/>
        <v>0</v>
      </c>
      <c r="K1835">
        <f t="shared" si="170"/>
        <v>0</v>
      </c>
      <c r="L1835">
        <f t="shared" si="171"/>
        <v>1</v>
      </c>
      <c r="M1835">
        <f t="shared" si="172"/>
        <v>0</v>
      </c>
      <c r="N1835">
        <f t="shared" si="173"/>
        <v>0</v>
      </c>
    </row>
    <row r="1836" spans="1:14" x14ac:dyDescent="0.35">
      <c r="A1836" t="s">
        <v>734</v>
      </c>
      <c r="B1836" t="s">
        <v>1797</v>
      </c>
      <c r="C1836" s="7" t="s">
        <v>6</v>
      </c>
      <c r="D1836" t="s">
        <v>55</v>
      </c>
      <c r="E1836" t="s">
        <v>2068</v>
      </c>
      <c r="F1836" t="s">
        <v>1754</v>
      </c>
      <c r="I1836">
        <f t="shared" si="168"/>
        <v>0</v>
      </c>
      <c r="J1836">
        <f t="shared" si="169"/>
        <v>0</v>
      </c>
      <c r="K1836">
        <f t="shared" si="170"/>
        <v>0</v>
      </c>
      <c r="L1836">
        <f t="shared" si="171"/>
        <v>1</v>
      </c>
      <c r="M1836">
        <f t="shared" si="172"/>
        <v>0</v>
      </c>
      <c r="N1836">
        <f t="shared" si="173"/>
        <v>0</v>
      </c>
    </row>
    <row r="1837" spans="1:14" x14ac:dyDescent="0.35">
      <c r="A1837" t="s">
        <v>734</v>
      </c>
      <c r="B1837" t="s">
        <v>1797</v>
      </c>
      <c r="C1837" s="7" t="s">
        <v>9</v>
      </c>
      <c r="D1837" t="s">
        <v>55</v>
      </c>
      <c r="E1837" t="s">
        <v>1810</v>
      </c>
      <c r="F1837" t="s">
        <v>1754</v>
      </c>
      <c r="I1837">
        <f t="shared" si="168"/>
        <v>0</v>
      </c>
      <c r="J1837">
        <f t="shared" si="169"/>
        <v>0</v>
      </c>
      <c r="K1837">
        <f t="shared" si="170"/>
        <v>0</v>
      </c>
      <c r="L1837">
        <f t="shared" si="171"/>
        <v>1</v>
      </c>
      <c r="M1837">
        <f t="shared" si="172"/>
        <v>0</v>
      </c>
      <c r="N1837">
        <f t="shared" si="173"/>
        <v>0</v>
      </c>
    </row>
    <row r="1838" spans="1:14" x14ac:dyDescent="0.35">
      <c r="A1838" t="s">
        <v>734</v>
      </c>
      <c r="B1838" t="s">
        <v>1797</v>
      </c>
      <c r="C1838" s="7" t="s">
        <v>9</v>
      </c>
      <c r="D1838" t="s">
        <v>55</v>
      </c>
      <c r="E1838" t="s">
        <v>2070</v>
      </c>
      <c r="F1838" t="s">
        <v>1754</v>
      </c>
      <c r="I1838">
        <f t="shared" si="168"/>
        <v>0</v>
      </c>
      <c r="J1838">
        <f t="shared" si="169"/>
        <v>0</v>
      </c>
      <c r="K1838">
        <f t="shared" si="170"/>
        <v>0</v>
      </c>
      <c r="L1838">
        <f t="shared" si="171"/>
        <v>1</v>
      </c>
      <c r="M1838">
        <f t="shared" si="172"/>
        <v>0</v>
      </c>
      <c r="N1838">
        <f t="shared" si="173"/>
        <v>0</v>
      </c>
    </row>
    <row r="1839" spans="1:14" x14ac:dyDescent="0.35">
      <c r="A1839" t="s">
        <v>734</v>
      </c>
      <c r="B1839" t="s">
        <v>1797</v>
      </c>
      <c r="C1839" s="7" t="s">
        <v>9</v>
      </c>
      <c r="D1839" t="s">
        <v>55</v>
      </c>
      <c r="E1839" t="s">
        <v>1951</v>
      </c>
      <c r="F1839" t="s">
        <v>1754</v>
      </c>
      <c r="I1839">
        <f t="shared" si="168"/>
        <v>0</v>
      </c>
      <c r="J1839">
        <f t="shared" si="169"/>
        <v>0</v>
      </c>
      <c r="K1839">
        <f t="shared" si="170"/>
        <v>0</v>
      </c>
      <c r="L1839">
        <f t="shared" si="171"/>
        <v>1</v>
      </c>
      <c r="M1839">
        <f t="shared" si="172"/>
        <v>0</v>
      </c>
      <c r="N1839">
        <f t="shared" si="173"/>
        <v>0</v>
      </c>
    </row>
    <row r="1840" spans="1:14" x14ac:dyDescent="0.35">
      <c r="A1840" t="s">
        <v>734</v>
      </c>
      <c r="B1840" t="s">
        <v>1797</v>
      </c>
      <c r="C1840" s="7" t="s">
        <v>9</v>
      </c>
      <c r="D1840" t="s">
        <v>55</v>
      </c>
      <c r="E1840" t="s">
        <v>2069</v>
      </c>
      <c r="F1840" t="s">
        <v>1754</v>
      </c>
      <c r="I1840">
        <f t="shared" si="168"/>
        <v>0</v>
      </c>
      <c r="J1840">
        <f t="shared" si="169"/>
        <v>0</v>
      </c>
      <c r="K1840">
        <f t="shared" si="170"/>
        <v>0</v>
      </c>
      <c r="L1840">
        <f t="shared" si="171"/>
        <v>1</v>
      </c>
      <c r="M1840">
        <f t="shared" si="172"/>
        <v>0</v>
      </c>
      <c r="N1840">
        <f t="shared" si="173"/>
        <v>0</v>
      </c>
    </row>
    <row r="1841" spans="1:14" x14ac:dyDescent="0.35">
      <c r="A1841" t="s">
        <v>615</v>
      </c>
      <c r="B1841" t="s">
        <v>2689</v>
      </c>
      <c r="C1841" s="7" t="s">
        <v>9</v>
      </c>
      <c r="D1841" t="s">
        <v>55</v>
      </c>
      <c r="E1841" t="s">
        <v>1956</v>
      </c>
      <c r="F1841" t="s">
        <v>1760</v>
      </c>
      <c r="I1841">
        <f t="shared" si="168"/>
        <v>0</v>
      </c>
      <c r="J1841">
        <f t="shared" si="169"/>
        <v>0</v>
      </c>
      <c r="K1841">
        <f t="shared" si="170"/>
        <v>1</v>
      </c>
      <c r="L1841">
        <f t="shared" si="171"/>
        <v>0</v>
      </c>
      <c r="M1841">
        <f t="shared" si="172"/>
        <v>0</v>
      </c>
      <c r="N1841">
        <f t="shared" si="173"/>
        <v>0</v>
      </c>
    </row>
    <row r="1842" spans="1:14" x14ac:dyDescent="0.35">
      <c r="A1842" t="s">
        <v>615</v>
      </c>
      <c r="B1842" t="s">
        <v>2689</v>
      </c>
      <c r="C1842" s="7" t="s">
        <v>9</v>
      </c>
      <c r="D1842" t="s">
        <v>55</v>
      </c>
      <c r="E1842" t="s">
        <v>1856</v>
      </c>
      <c r="F1842" t="s">
        <v>1760</v>
      </c>
      <c r="I1842">
        <f t="shared" si="168"/>
        <v>0</v>
      </c>
      <c r="J1842">
        <f t="shared" si="169"/>
        <v>0</v>
      </c>
      <c r="K1842">
        <f t="shared" si="170"/>
        <v>1</v>
      </c>
      <c r="L1842">
        <f t="shared" si="171"/>
        <v>0</v>
      </c>
      <c r="M1842">
        <f t="shared" si="172"/>
        <v>0</v>
      </c>
      <c r="N1842">
        <f t="shared" si="173"/>
        <v>0</v>
      </c>
    </row>
    <row r="1843" spans="1:14" x14ac:dyDescent="0.35">
      <c r="A1843" t="s">
        <v>885</v>
      </c>
      <c r="B1843" t="s">
        <v>2690</v>
      </c>
      <c r="C1843" s="7" t="s">
        <v>9</v>
      </c>
      <c r="D1843" t="s">
        <v>152</v>
      </c>
      <c r="E1843" t="s">
        <v>2278</v>
      </c>
      <c r="F1843" t="s">
        <v>1727</v>
      </c>
      <c r="I1843">
        <f t="shared" si="168"/>
        <v>0</v>
      </c>
      <c r="J1843">
        <f t="shared" si="169"/>
        <v>0</v>
      </c>
      <c r="K1843">
        <f t="shared" si="170"/>
        <v>0</v>
      </c>
      <c r="L1843">
        <f t="shared" si="171"/>
        <v>0</v>
      </c>
      <c r="M1843">
        <f t="shared" si="172"/>
        <v>1</v>
      </c>
      <c r="N1843">
        <f t="shared" si="173"/>
        <v>0</v>
      </c>
    </row>
    <row r="1844" spans="1:14" x14ac:dyDescent="0.35">
      <c r="A1844" t="s">
        <v>885</v>
      </c>
      <c r="B1844" t="s">
        <v>2690</v>
      </c>
      <c r="C1844" s="7" t="s">
        <v>9</v>
      </c>
      <c r="D1844" t="s">
        <v>152</v>
      </c>
      <c r="E1844" t="s">
        <v>2691</v>
      </c>
      <c r="F1844" t="s">
        <v>1727</v>
      </c>
      <c r="I1844">
        <f t="shared" si="168"/>
        <v>0</v>
      </c>
      <c r="J1844">
        <f t="shared" si="169"/>
        <v>0</v>
      </c>
      <c r="K1844">
        <f t="shared" si="170"/>
        <v>0</v>
      </c>
      <c r="L1844">
        <f t="shared" si="171"/>
        <v>0</v>
      </c>
      <c r="M1844">
        <f t="shared" si="172"/>
        <v>1</v>
      </c>
      <c r="N1844">
        <f t="shared" si="173"/>
        <v>0</v>
      </c>
    </row>
    <row r="1845" spans="1:14" x14ac:dyDescent="0.35">
      <c r="A1845" t="s">
        <v>971</v>
      </c>
      <c r="B1845" t="s">
        <v>2692</v>
      </c>
      <c r="C1845" s="7" t="s">
        <v>9</v>
      </c>
      <c r="D1845" t="s">
        <v>180</v>
      </c>
      <c r="E1845" t="s">
        <v>1811</v>
      </c>
      <c r="F1845" t="s">
        <v>1754</v>
      </c>
      <c r="I1845">
        <f t="shared" si="168"/>
        <v>0</v>
      </c>
      <c r="J1845">
        <f t="shared" si="169"/>
        <v>0</v>
      </c>
      <c r="K1845">
        <f t="shared" si="170"/>
        <v>0</v>
      </c>
      <c r="L1845">
        <f t="shared" si="171"/>
        <v>1</v>
      </c>
      <c r="M1845">
        <f t="shared" si="172"/>
        <v>0</v>
      </c>
      <c r="N1845">
        <f t="shared" si="173"/>
        <v>0</v>
      </c>
    </row>
    <row r="1846" spans="1:14" x14ac:dyDescent="0.35">
      <c r="A1846" t="s">
        <v>878</v>
      </c>
      <c r="B1846" t="s">
        <v>2693</v>
      </c>
      <c r="C1846" s="7" t="s">
        <v>9</v>
      </c>
      <c r="D1846" t="s">
        <v>51</v>
      </c>
      <c r="E1846" t="s">
        <v>1849</v>
      </c>
      <c r="F1846" t="s">
        <v>1754</v>
      </c>
      <c r="I1846">
        <f t="shared" si="168"/>
        <v>0</v>
      </c>
      <c r="J1846">
        <f t="shared" si="169"/>
        <v>0</v>
      </c>
      <c r="K1846">
        <f t="shared" si="170"/>
        <v>0</v>
      </c>
      <c r="L1846">
        <f t="shared" si="171"/>
        <v>1</v>
      </c>
      <c r="M1846">
        <f t="shared" si="172"/>
        <v>0</v>
      </c>
      <c r="N1846">
        <f t="shared" si="173"/>
        <v>0</v>
      </c>
    </row>
    <row r="1847" spans="1:14" x14ac:dyDescent="0.35">
      <c r="A1847" t="s">
        <v>878</v>
      </c>
      <c r="B1847" t="s">
        <v>2693</v>
      </c>
      <c r="C1847" s="7" t="s">
        <v>9</v>
      </c>
      <c r="D1847" t="s">
        <v>51</v>
      </c>
      <c r="E1847" t="s">
        <v>1877</v>
      </c>
      <c r="F1847" t="s">
        <v>1754</v>
      </c>
      <c r="I1847">
        <f t="shared" si="168"/>
        <v>0</v>
      </c>
      <c r="J1847">
        <f t="shared" si="169"/>
        <v>0</v>
      </c>
      <c r="K1847">
        <f t="shared" si="170"/>
        <v>0</v>
      </c>
      <c r="L1847">
        <f t="shared" si="171"/>
        <v>1</v>
      </c>
      <c r="M1847">
        <f t="shared" si="172"/>
        <v>0</v>
      </c>
      <c r="N1847">
        <f t="shared" si="173"/>
        <v>0</v>
      </c>
    </row>
    <row r="1848" spans="1:14" x14ac:dyDescent="0.35">
      <c r="A1848" t="s">
        <v>1501</v>
      </c>
      <c r="B1848" t="s">
        <v>2694</v>
      </c>
      <c r="C1848" s="7" t="s">
        <v>9</v>
      </c>
      <c r="D1848" t="s">
        <v>51</v>
      </c>
      <c r="E1848" t="s">
        <v>1828</v>
      </c>
      <c r="F1848" t="s">
        <v>1754</v>
      </c>
      <c r="G1848" t="s">
        <v>2695</v>
      </c>
      <c r="H1848" t="s">
        <v>2696</v>
      </c>
      <c r="I1848">
        <f t="shared" si="168"/>
        <v>0</v>
      </c>
      <c r="J1848">
        <f t="shared" si="169"/>
        <v>0</v>
      </c>
      <c r="K1848">
        <f t="shared" si="170"/>
        <v>0</v>
      </c>
      <c r="L1848">
        <f t="shared" si="171"/>
        <v>1</v>
      </c>
      <c r="M1848">
        <f t="shared" si="172"/>
        <v>0</v>
      </c>
      <c r="N1848">
        <f t="shared" si="173"/>
        <v>1</v>
      </c>
    </row>
    <row r="1849" spans="1:14" x14ac:dyDescent="0.35">
      <c r="A1849" t="s">
        <v>1501</v>
      </c>
      <c r="B1849" t="s">
        <v>2694</v>
      </c>
      <c r="C1849" s="7" t="s">
        <v>9</v>
      </c>
      <c r="D1849" t="s">
        <v>51</v>
      </c>
      <c r="E1849" t="s">
        <v>1860</v>
      </c>
      <c r="F1849" t="s">
        <v>1754</v>
      </c>
      <c r="G1849" t="s">
        <v>2695</v>
      </c>
      <c r="H1849" t="s">
        <v>2696</v>
      </c>
      <c r="I1849">
        <f t="shared" si="168"/>
        <v>0</v>
      </c>
      <c r="J1849">
        <f t="shared" si="169"/>
        <v>0</v>
      </c>
      <c r="K1849">
        <f t="shared" si="170"/>
        <v>0</v>
      </c>
      <c r="L1849">
        <f t="shared" si="171"/>
        <v>1</v>
      </c>
      <c r="M1849">
        <f t="shared" si="172"/>
        <v>0</v>
      </c>
      <c r="N1849">
        <f t="shared" si="173"/>
        <v>1</v>
      </c>
    </row>
    <row r="1850" spans="1:14" x14ac:dyDescent="0.35">
      <c r="A1850" t="s">
        <v>1501</v>
      </c>
      <c r="B1850" t="s">
        <v>2694</v>
      </c>
      <c r="C1850" s="7" t="s">
        <v>6</v>
      </c>
      <c r="D1850" t="s">
        <v>51</v>
      </c>
      <c r="E1850" t="s">
        <v>1829</v>
      </c>
      <c r="F1850" t="s">
        <v>1754</v>
      </c>
      <c r="G1850" t="s">
        <v>2695</v>
      </c>
      <c r="H1850" t="s">
        <v>2696</v>
      </c>
      <c r="I1850">
        <f t="shared" si="168"/>
        <v>0</v>
      </c>
      <c r="J1850">
        <f t="shared" si="169"/>
        <v>0</v>
      </c>
      <c r="K1850">
        <f t="shared" si="170"/>
        <v>0</v>
      </c>
      <c r="L1850">
        <f t="shared" si="171"/>
        <v>1</v>
      </c>
      <c r="M1850">
        <f t="shared" si="172"/>
        <v>0</v>
      </c>
      <c r="N1850">
        <f t="shared" si="173"/>
        <v>1</v>
      </c>
    </row>
    <row r="1851" spans="1:14" x14ac:dyDescent="0.35">
      <c r="A1851" t="s">
        <v>984</v>
      </c>
      <c r="B1851" t="s">
        <v>2697</v>
      </c>
      <c r="C1851" s="7" t="s">
        <v>6</v>
      </c>
      <c r="D1851" t="s">
        <v>51</v>
      </c>
      <c r="E1851" t="s">
        <v>1821</v>
      </c>
      <c r="F1851" t="s">
        <v>1760</v>
      </c>
      <c r="I1851">
        <f t="shared" si="168"/>
        <v>0</v>
      </c>
      <c r="J1851">
        <f t="shared" si="169"/>
        <v>0</v>
      </c>
      <c r="K1851">
        <f t="shared" si="170"/>
        <v>1</v>
      </c>
      <c r="L1851">
        <f t="shared" si="171"/>
        <v>0</v>
      </c>
      <c r="M1851">
        <f t="shared" si="172"/>
        <v>0</v>
      </c>
      <c r="N1851">
        <f t="shared" si="173"/>
        <v>0</v>
      </c>
    </row>
    <row r="1852" spans="1:14" x14ac:dyDescent="0.35">
      <c r="A1852" t="s">
        <v>1106</v>
      </c>
      <c r="B1852" t="s">
        <v>2698</v>
      </c>
      <c r="C1852" s="7" t="s">
        <v>6</v>
      </c>
      <c r="D1852" t="s">
        <v>51</v>
      </c>
      <c r="E1852" t="s">
        <v>1843</v>
      </c>
      <c r="F1852" t="s">
        <v>1760</v>
      </c>
      <c r="I1852">
        <f t="shared" si="168"/>
        <v>0</v>
      </c>
      <c r="J1852">
        <f t="shared" si="169"/>
        <v>0</v>
      </c>
      <c r="K1852">
        <f t="shared" si="170"/>
        <v>1</v>
      </c>
      <c r="L1852">
        <f t="shared" si="171"/>
        <v>0</v>
      </c>
      <c r="M1852">
        <f t="shared" si="172"/>
        <v>0</v>
      </c>
      <c r="N1852">
        <f t="shared" si="173"/>
        <v>0</v>
      </c>
    </row>
    <row r="1853" spans="1:14" x14ac:dyDescent="0.35">
      <c r="A1853" t="s">
        <v>1106</v>
      </c>
      <c r="B1853" t="s">
        <v>2698</v>
      </c>
      <c r="C1853" s="7" t="s">
        <v>6</v>
      </c>
      <c r="D1853" t="s">
        <v>51</v>
      </c>
      <c r="E1853" t="s">
        <v>1839</v>
      </c>
      <c r="F1853" t="s">
        <v>1760</v>
      </c>
      <c r="I1853">
        <f t="shared" si="168"/>
        <v>0</v>
      </c>
      <c r="J1853">
        <f t="shared" si="169"/>
        <v>0</v>
      </c>
      <c r="K1853">
        <f t="shared" si="170"/>
        <v>1</v>
      </c>
      <c r="L1853">
        <f t="shared" si="171"/>
        <v>0</v>
      </c>
      <c r="M1853">
        <f t="shared" si="172"/>
        <v>0</v>
      </c>
      <c r="N1853">
        <f t="shared" si="173"/>
        <v>0</v>
      </c>
    </row>
    <row r="1854" spans="1:14" x14ac:dyDescent="0.35">
      <c r="A1854" t="s">
        <v>1106</v>
      </c>
      <c r="B1854" t="s">
        <v>2698</v>
      </c>
      <c r="C1854" s="7" t="s">
        <v>10</v>
      </c>
      <c r="D1854" t="s">
        <v>51</v>
      </c>
      <c r="E1854" t="s">
        <v>1823</v>
      </c>
      <c r="F1854" t="s">
        <v>1760</v>
      </c>
      <c r="I1854">
        <f t="shared" si="168"/>
        <v>0</v>
      </c>
      <c r="J1854">
        <f t="shared" si="169"/>
        <v>0</v>
      </c>
      <c r="K1854">
        <f t="shared" si="170"/>
        <v>1</v>
      </c>
      <c r="L1854">
        <f t="shared" si="171"/>
        <v>0</v>
      </c>
      <c r="M1854">
        <f t="shared" si="172"/>
        <v>0</v>
      </c>
      <c r="N1854">
        <f t="shared" si="173"/>
        <v>0</v>
      </c>
    </row>
    <row r="1855" spans="1:14" x14ac:dyDescent="0.35">
      <c r="A1855" t="s">
        <v>1106</v>
      </c>
      <c r="B1855" t="s">
        <v>2698</v>
      </c>
      <c r="C1855" s="7" t="s">
        <v>10</v>
      </c>
      <c r="D1855" t="s">
        <v>51</v>
      </c>
      <c r="E1855" t="s">
        <v>1842</v>
      </c>
      <c r="F1855" t="s">
        <v>1760</v>
      </c>
      <c r="I1855">
        <f t="shared" si="168"/>
        <v>0</v>
      </c>
      <c r="J1855">
        <f t="shared" si="169"/>
        <v>0</v>
      </c>
      <c r="K1855">
        <f t="shared" si="170"/>
        <v>1</v>
      </c>
      <c r="L1855">
        <f t="shared" si="171"/>
        <v>0</v>
      </c>
      <c r="M1855">
        <f t="shared" si="172"/>
        <v>0</v>
      </c>
      <c r="N1855">
        <f t="shared" si="173"/>
        <v>0</v>
      </c>
    </row>
    <row r="1856" spans="1:14" x14ac:dyDescent="0.35">
      <c r="A1856" t="s">
        <v>1106</v>
      </c>
      <c r="B1856" t="s">
        <v>2698</v>
      </c>
      <c r="C1856" s="7" t="s">
        <v>10</v>
      </c>
      <c r="D1856" t="s">
        <v>51</v>
      </c>
      <c r="E1856" t="s">
        <v>1841</v>
      </c>
      <c r="F1856" t="s">
        <v>1760</v>
      </c>
      <c r="I1856">
        <f t="shared" si="168"/>
        <v>0</v>
      </c>
      <c r="J1856">
        <f t="shared" si="169"/>
        <v>0</v>
      </c>
      <c r="K1856">
        <f t="shared" si="170"/>
        <v>1</v>
      </c>
      <c r="L1856">
        <f t="shared" si="171"/>
        <v>0</v>
      </c>
      <c r="M1856">
        <f t="shared" si="172"/>
        <v>0</v>
      </c>
      <c r="N1856">
        <f t="shared" si="173"/>
        <v>0</v>
      </c>
    </row>
    <row r="1857" spans="1:14" x14ac:dyDescent="0.35">
      <c r="A1857" t="s">
        <v>1106</v>
      </c>
      <c r="B1857" t="s">
        <v>2698</v>
      </c>
      <c r="C1857" s="7" t="s">
        <v>10</v>
      </c>
      <c r="D1857" t="s">
        <v>51</v>
      </c>
      <c r="E1857" t="s">
        <v>1838</v>
      </c>
      <c r="F1857" t="s">
        <v>1760</v>
      </c>
      <c r="I1857">
        <f t="shared" si="168"/>
        <v>0</v>
      </c>
      <c r="J1857">
        <f t="shared" si="169"/>
        <v>0</v>
      </c>
      <c r="K1857">
        <f t="shared" si="170"/>
        <v>1</v>
      </c>
      <c r="L1857">
        <f t="shared" si="171"/>
        <v>0</v>
      </c>
      <c r="M1857">
        <f t="shared" si="172"/>
        <v>0</v>
      </c>
      <c r="N1857">
        <f t="shared" si="173"/>
        <v>0</v>
      </c>
    </row>
    <row r="1858" spans="1:14" x14ac:dyDescent="0.35">
      <c r="A1858" t="s">
        <v>1106</v>
      </c>
      <c r="B1858" t="s">
        <v>2698</v>
      </c>
      <c r="C1858" s="7" t="s">
        <v>10</v>
      </c>
      <c r="D1858" t="s">
        <v>51</v>
      </c>
      <c r="E1858" t="s">
        <v>1904</v>
      </c>
      <c r="F1858" t="s">
        <v>1760</v>
      </c>
      <c r="I1858">
        <f t="shared" si="168"/>
        <v>0</v>
      </c>
      <c r="J1858">
        <f t="shared" si="169"/>
        <v>0</v>
      </c>
      <c r="K1858">
        <f t="shared" si="170"/>
        <v>1</v>
      </c>
      <c r="L1858">
        <f t="shared" si="171"/>
        <v>0</v>
      </c>
      <c r="M1858">
        <f t="shared" si="172"/>
        <v>0</v>
      </c>
      <c r="N1858">
        <f t="shared" si="173"/>
        <v>0</v>
      </c>
    </row>
    <row r="1859" spans="1:14" x14ac:dyDescent="0.35">
      <c r="A1859" t="s">
        <v>1106</v>
      </c>
      <c r="B1859" t="s">
        <v>2698</v>
      </c>
      <c r="C1859" s="7" t="s">
        <v>10</v>
      </c>
      <c r="D1859" t="s">
        <v>51</v>
      </c>
      <c r="E1859" t="s">
        <v>1821</v>
      </c>
      <c r="F1859" t="s">
        <v>1760</v>
      </c>
      <c r="I1859">
        <f t="shared" ref="I1859:I1922" si="174">IF($F1859=$F$1,1,0)</f>
        <v>0</v>
      </c>
      <c r="J1859">
        <f t="shared" ref="J1859:J1922" si="175">IF($F1859=$J$1,1,0)</f>
        <v>0</v>
      </c>
      <c r="K1859">
        <f t="shared" ref="K1859:K1922" si="176">IF($F1859=$K$1,1,0)</f>
        <v>1</v>
      </c>
      <c r="L1859">
        <f t="shared" ref="L1859:L1922" si="177">IF($F1859=$L$1,1,0)</f>
        <v>0</v>
      </c>
      <c r="M1859">
        <f t="shared" ref="M1859:M1922" si="178">IF($F1859=$M$1,1,0)</f>
        <v>0</v>
      </c>
      <c r="N1859">
        <f t="shared" ref="N1859:N1922" si="179">IF($G1859&lt;&gt;"",1,0)</f>
        <v>0</v>
      </c>
    </row>
    <row r="1860" spans="1:14" x14ac:dyDescent="0.35">
      <c r="A1860" t="s">
        <v>1106</v>
      </c>
      <c r="B1860" t="s">
        <v>2698</v>
      </c>
      <c r="C1860" s="7" t="s">
        <v>10</v>
      </c>
      <c r="D1860" t="s">
        <v>51</v>
      </c>
      <c r="E1860" t="s">
        <v>1822</v>
      </c>
      <c r="F1860" t="s">
        <v>1760</v>
      </c>
      <c r="I1860">
        <f t="shared" si="174"/>
        <v>0</v>
      </c>
      <c r="J1860">
        <f t="shared" si="175"/>
        <v>0</v>
      </c>
      <c r="K1860">
        <f t="shared" si="176"/>
        <v>1</v>
      </c>
      <c r="L1860">
        <f t="shared" si="177"/>
        <v>0</v>
      </c>
      <c r="M1860">
        <f t="shared" si="178"/>
        <v>0</v>
      </c>
      <c r="N1860">
        <f t="shared" si="179"/>
        <v>0</v>
      </c>
    </row>
    <row r="1861" spans="1:14" x14ac:dyDescent="0.35">
      <c r="A1861" t="s">
        <v>776</v>
      </c>
      <c r="B1861" t="s">
        <v>2699</v>
      </c>
      <c r="C1861" s="7" t="s">
        <v>10</v>
      </c>
      <c r="D1861" t="s">
        <v>447</v>
      </c>
      <c r="E1861" t="s">
        <v>1845</v>
      </c>
      <c r="F1861" t="s">
        <v>1754</v>
      </c>
      <c r="I1861">
        <f t="shared" si="174"/>
        <v>0</v>
      </c>
      <c r="J1861">
        <f t="shared" si="175"/>
        <v>0</v>
      </c>
      <c r="K1861">
        <f t="shared" si="176"/>
        <v>0</v>
      </c>
      <c r="L1861">
        <f t="shared" si="177"/>
        <v>1</v>
      </c>
      <c r="M1861">
        <f t="shared" si="178"/>
        <v>0</v>
      </c>
      <c r="N1861">
        <f t="shared" si="179"/>
        <v>0</v>
      </c>
    </row>
    <row r="1862" spans="1:14" x14ac:dyDescent="0.35">
      <c r="A1862" t="s">
        <v>776</v>
      </c>
      <c r="B1862" t="s">
        <v>2699</v>
      </c>
      <c r="C1862" s="7" t="s">
        <v>10</v>
      </c>
      <c r="D1862" t="s">
        <v>447</v>
      </c>
      <c r="E1862" t="s">
        <v>1847</v>
      </c>
      <c r="F1862" t="s">
        <v>1754</v>
      </c>
      <c r="I1862">
        <f t="shared" si="174"/>
        <v>0</v>
      </c>
      <c r="J1862">
        <f t="shared" si="175"/>
        <v>0</v>
      </c>
      <c r="K1862">
        <f t="shared" si="176"/>
        <v>0</v>
      </c>
      <c r="L1862">
        <f t="shared" si="177"/>
        <v>1</v>
      </c>
      <c r="M1862">
        <f t="shared" si="178"/>
        <v>0</v>
      </c>
      <c r="N1862">
        <f t="shared" si="179"/>
        <v>0</v>
      </c>
    </row>
    <row r="1863" spans="1:14" x14ac:dyDescent="0.35">
      <c r="A1863" t="s">
        <v>776</v>
      </c>
      <c r="B1863" t="s">
        <v>2699</v>
      </c>
      <c r="C1863" s="7" t="s">
        <v>10</v>
      </c>
      <c r="D1863" t="s">
        <v>447</v>
      </c>
      <c r="E1863" t="s">
        <v>1867</v>
      </c>
      <c r="F1863" t="s">
        <v>1727</v>
      </c>
      <c r="I1863">
        <f t="shared" si="174"/>
        <v>0</v>
      </c>
      <c r="J1863">
        <f t="shared" si="175"/>
        <v>0</v>
      </c>
      <c r="K1863">
        <f t="shared" si="176"/>
        <v>0</v>
      </c>
      <c r="L1863">
        <f t="shared" si="177"/>
        <v>0</v>
      </c>
      <c r="M1863">
        <f t="shared" si="178"/>
        <v>1</v>
      </c>
      <c r="N1863">
        <f t="shared" si="179"/>
        <v>0</v>
      </c>
    </row>
    <row r="1864" spans="1:14" x14ac:dyDescent="0.35">
      <c r="A1864" t="s">
        <v>1056</v>
      </c>
      <c r="B1864" t="s">
        <v>2700</v>
      </c>
      <c r="C1864" s="7" t="s">
        <v>10</v>
      </c>
      <c r="D1864" t="s">
        <v>1058</v>
      </c>
      <c r="E1864" t="s">
        <v>2000</v>
      </c>
      <c r="F1864" t="s">
        <v>1886</v>
      </c>
      <c r="I1864">
        <f t="shared" si="174"/>
        <v>0</v>
      </c>
      <c r="J1864">
        <f t="shared" si="175"/>
        <v>0</v>
      </c>
      <c r="K1864">
        <f t="shared" si="176"/>
        <v>0</v>
      </c>
      <c r="L1864">
        <f t="shared" si="177"/>
        <v>0</v>
      </c>
      <c r="M1864">
        <f t="shared" si="178"/>
        <v>0</v>
      </c>
      <c r="N1864">
        <f t="shared" si="179"/>
        <v>0</v>
      </c>
    </row>
    <row r="1865" spans="1:14" x14ac:dyDescent="0.35">
      <c r="A1865" t="s">
        <v>1345</v>
      </c>
      <c r="B1865" t="s">
        <v>2701</v>
      </c>
      <c r="C1865" s="7" t="s">
        <v>10</v>
      </c>
      <c r="D1865" t="s">
        <v>1347</v>
      </c>
      <c r="E1865" t="s">
        <v>1818</v>
      </c>
      <c r="F1865" t="s">
        <v>1760</v>
      </c>
      <c r="I1865">
        <f t="shared" si="174"/>
        <v>0</v>
      </c>
      <c r="J1865">
        <f t="shared" si="175"/>
        <v>0</v>
      </c>
      <c r="K1865">
        <f t="shared" si="176"/>
        <v>1</v>
      </c>
      <c r="L1865">
        <f t="shared" si="177"/>
        <v>0</v>
      </c>
      <c r="M1865">
        <f t="shared" si="178"/>
        <v>0</v>
      </c>
      <c r="N1865">
        <f t="shared" si="179"/>
        <v>0</v>
      </c>
    </row>
    <row r="1866" spans="1:14" x14ac:dyDescent="0.35">
      <c r="A1866" t="s">
        <v>1345</v>
      </c>
      <c r="B1866" t="s">
        <v>2701</v>
      </c>
      <c r="C1866" s="7" t="s">
        <v>10</v>
      </c>
      <c r="D1866" t="s">
        <v>1347</v>
      </c>
      <c r="E1866" t="s">
        <v>1941</v>
      </c>
      <c r="F1866" t="s">
        <v>1754</v>
      </c>
      <c r="I1866">
        <f t="shared" si="174"/>
        <v>0</v>
      </c>
      <c r="J1866">
        <f t="shared" si="175"/>
        <v>0</v>
      </c>
      <c r="K1866">
        <f t="shared" si="176"/>
        <v>0</v>
      </c>
      <c r="L1866">
        <f t="shared" si="177"/>
        <v>1</v>
      </c>
      <c r="M1866">
        <f t="shared" si="178"/>
        <v>0</v>
      </c>
      <c r="N1866">
        <f t="shared" si="179"/>
        <v>0</v>
      </c>
    </row>
    <row r="1867" spans="1:14" x14ac:dyDescent="0.35">
      <c r="A1867" t="s">
        <v>1345</v>
      </c>
      <c r="B1867" t="s">
        <v>2701</v>
      </c>
      <c r="C1867" s="7" t="s">
        <v>10</v>
      </c>
      <c r="D1867" t="s">
        <v>1347</v>
      </c>
      <c r="E1867" t="s">
        <v>1816</v>
      </c>
      <c r="F1867" t="s">
        <v>1760</v>
      </c>
      <c r="I1867">
        <f t="shared" si="174"/>
        <v>0</v>
      </c>
      <c r="J1867">
        <f t="shared" si="175"/>
        <v>0</v>
      </c>
      <c r="K1867">
        <f t="shared" si="176"/>
        <v>1</v>
      </c>
      <c r="L1867">
        <f t="shared" si="177"/>
        <v>0</v>
      </c>
      <c r="M1867">
        <f t="shared" si="178"/>
        <v>0</v>
      </c>
      <c r="N1867">
        <f t="shared" si="179"/>
        <v>0</v>
      </c>
    </row>
    <row r="1868" spans="1:14" x14ac:dyDescent="0.35">
      <c r="A1868" t="s">
        <v>1345</v>
      </c>
      <c r="B1868" t="s">
        <v>2701</v>
      </c>
      <c r="C1868" s="7" t="s">
        <v>10</v>
      </c>
      <c r="D1868" t="s">
        <v>1347</v>
      </c>
      <c r="E1868" t="s">
        <v>1813</v>
      </c>
      <c r="F1868" t="s">
        <v>1760</v>
      </c>
      <c r="I1868">
        <f t="shared" si="174"/>
        <v>0</v>
      </c>
      <c r="J1868">
        <f t="shared" si="175"/>
        <v>0</v>
      </c>
      <c r="K1868">
        <f t="shared" si="176"/>
        <v>1</v>
      </c>
      <c r="L1868">
        <f t="shared" si="177"/>
        <v>0</v>
      </c>
      <c r="M1868">
        <f t="shared" si="178"/>
        <v>0</v>
      </c>
      <c r="N1868">
        <f t="shared" si="179"/>
        <v>0</v>
      </c>
    </row>
    <row r="1869" spans="1:14" x14ac:dyDescent="0.35">
      <c r="A1869" t="s">
        <v>1345</v>
      </c>
      <c r="B1869" t="s">
        <v>2701</v>
      </c>
      <c r="C1869" s="7" t="s">
        <v>10</v>
      </c>
      <c r="D1869" t="s">
        <v>1347</v>
      </c>
      <c r="E1869" t="s">
        <v>1940</v>
      </c>
      <c r="F1869" t="s">
        <v>1754</v>
      </c>
      <c r="I1869">
        <f t="shared" si="174"/>
        <v>0</v>
      </c>
      <c r="J1869">
        <f t="shared" si="175"/>
        <v>0</v>
      </c>
      <c r="K1869">
        <f t="shared" si="176"/>
        <v>0</v>
      </c>
      <c r="L1869">
        <f t="shared" si="177"/>
        <v>1</v>
      </c>
      <c r="M1869">
        <f t="shared" si="178"/>
        <v>0</v>
      </c>
      <c r="N1869">
        <f t="shared" si="179"/>
        <v>0</v>
      </c>
    </row>
    <row r="1870" spans="1:14" x14ac:dyDescent="0.35">
      <c r="A1870" t="s">
        <v>1345</v>
      </c>
      <c r="B1870" t="s">
        <v>2701</v>
      </c>
      <c r="C1870" s="7" t="s">
        <v>10</v>
      </c>
      <c r="D1870" t="s">
        <v>1347</v>
      </c>
      <c r="E1870" t="s">
        <v>1819</v>
      </c>
      <c r="F1870" t="s">
        <v>1760</v>
      </c>
      <c r="I1870">
        <f t="shared" si="174"/>
        <v>0</v>
      </c>
      <c r="J1870">
        <f t="shared" si="175"/>
        <v>0</v>
      </c>
      <c r="K1870">
        <f t="shared" si="176"/>
        <v>1</v>
      </c>
      <c r="L1870">
        <f t="shared" si="177"/>
        <v>0</v>
      </c>
      <c r="M1870">
        <f t="shared" si="178"/>
        <v>0</v>
      </c>
      <c r="N1870">
        <f t="shared" si="179"/>
        <v>0</v>
      </c>
    </row>
    <row r="1871" spans="1:14" x14ac:dyDescent="0.35">
      <c r="A1871" t="s">
        <v>1345</v>
      </c>
      <c r="B1871" t="s">
        <v>2701</v>
      </c>
      <c r="C1871" s="7" t="s">
        <v>10</v>
      </c>
      <c r="D1871" t="s">
        <v>1347</v>
      </c>
      <c r="E1871" t="s">
        <v>1829</v>
      </c>
      <c r="F1871" t="s">
        <v>1754</v>
      </c>
      <c r="I1871">
        <f t="shared" si="174"/>
        <v>0</v>
      </c>
      <c r="J1871">
        <f t="shared" si="175"/>
        <v>0</v>
      </c>
      <c r="K1871">
        <f t="shared" si="176"/>
        <v>0</v>
      </c>
      <c r="L1871">
        <f t="shared" si="177"/>
        <v>1</v>
      </c>
      <c r="M1871">
        <f t="shared" si="178"/>
        <v>0</v>
      </c>
      <c r="N1871">
        <f t="shared" si="179"/>
        <v>0</v>
      </c>
    </row>
    <row r="1872" spans="1:14" x14ac:dyDescent="0.35">
      <c r="A1872" t="s">
        <v>1345</v>
      </c>
      <c r="B1872" t="s">
        <v>2701</v>
      </c>
      <c r="C1872" s="7" t="s">
        <v>10</v>
      </c>
      <c r="D1872" t="s">
        <v>1347</v>
      </c>
      <c r="E1872" t="s">
        <v>1814</v>
      </c>
      <c r="F1872" t="s">
        <v>1760</v>
      </c>
      <c r="I1872">
        <f t="shared" si="174"/>
        <v>0</v>
      </c>
      <c r="J1872">
        <f t="shared" si="175"/>
        <v>0</v>
      </c>
      <c r="K1872">
        <f t="shared" si="176"/>
        <v>1</v>
      </c>
      <c r="L1872">
        <f t="shared" si="177"/>
        <v>0</v>
      </c>
      <c r="M1872">
        <f t="shared" si="178"/>
        <v>0</v>
      </c>
      <c r="N1872">
        <f t="shared" si="179"/>
        <v>0</v>
      </c>
    </row>
    <row r="1873" spans="1:14" x14ac:dyDescent="0.35">
      <c r="A1873" t="s">
        <v>847</v>
      </c>
      <c r="B1873" t="s">
        <v>2702</v>
      </c>
      <c r="C1873" s="7" t="s">
        <v>10</v>
      </c>
      <c r="D1873" t="s">
        <v>55</v>
      </c>
      <c r="E1873" t="s">
        <v>1840</v>
      </c>
      <c r="F1873" t="s">
        <v>1760</v>
      </c>
      <c r="I1873">
        <f t="shared" si="174"/>
        <v>0</v>
      </c>
      <c r="J1873">
        <f t="shared" si="175"/>
        <v>0</v>
      </c>
      <c r="K1873">
        <f t="shared" si="176"/>
        <v>1</v>
      </c>
      <c r="L1873">
        <f t="shared" si="177"/>
        <v>0</v>
      </c>
      <c r="M1873">
        <f t="shared" si="178"/>
        <v>0</v>
      </c>
      <c r="N1873">
        <f t="shared" si="179"/>
        <v>0</v>
      </c>
    </row>
    <row r="1874" spans="1:14" x14ac:dyDescent="0.35">
      <c r="A1874" t="s">
        <v>847</v>
      </c>
      <c r="B1874" t="s">
        <v>2702</v>
      </c>
      <c r="C1874" s="7" t="s">
        <v>10</v>
      </c>
      <c r="D1874" t="s">
        <v>55</v>
      </c>
      <c r="E1874" t="s">
        <v>1938</v>
      </c>
      <c r="F1874" t="s">
        <v>1760</v>
      </c>
      <c r="I1874">
        <f t="shared" si="174"/>
        <v>0</v>
      </c>
      <c r="J1874">
        <f t="shared" si="175"/>
        <v>0</v>
      </c>
      <c r="K1874">
        <f t="shared" si="176"/>
        <v>1</v>
      </c>
      <c r="L1874">
        <f t="shared" si="177"/>
        <v>0</v>
      </c>
      <c r="M1874">
        <f t="shared" si="178"/>
        <v>0</v>
      </c>
      <c r="N1874">
        <f t="shared" si="179"/>
        <v>0</v>
      </c>
    </row>
    <row r="1875" spans="1:14" x14ac:dyDescent="0.35">
      <c r="A1875" t="s">
        <v>847</v>
      </c>
      <c r="B1875" t="s">
        <v>2702</v>
      </c>
      <c r="C1875" s="7" t="s">
        <v>10</v>
      </c>
      <c r="D1875" t="s">
        <v>55</v>
      </c>
      <c r="E1875" t="s">
        <v>1821</v>
      </c>
      <c r="F1875" t="s">
        <v>1760</v>
      </c>
      <c r="I1875">
        <f t="shared" si="174"/>
        <v>0</v>
      </c>
      <c r="J1875">
        <f t="shared" si="175"/>
        <v>0</v>
      </c>
      <c r="K1875">
        <f t="shared" si="176"/>
        <v>1</v>
      </c>
      <c r="L1875">
        <f t="shared" si="177"/>
        <v>0</v>
      </c>
      <c r="M1875">
        <f t="shared" si="178"/>
        <v>0</v>
      </c>
      <c r="N1875">
        <f t="shared" si="179"/>
        <v>0</v>
      </c>
    </row>
    <row r="1876" spans="1:14" x14ac:dyDescent="0.35">
      <c r="A1876" t="s">
        <v>897</v>
      </c>
      <c r="B1876" t="s">
        <v>2703</v>
      </c>
      <c r="C1876" s="7" t="s">
        <v>10</v>
      </c>
      <c r="D1876" t="s">
        <v>55</v>
      </c>
      <c r="E1876" t="s">
        <v>1930</v>
      </c>
      <c r="F1876" t="s">
        <v>1754</v>
      </c>
      <c r="I1876">
        <f t="shared" si="174"/>
        <v>0</v>
      </c>
      <c r="J1876">
        <f t="shared" si="175"/>
        <v>0</v>
      </c>
      <c r="K1876">
        <f t="shared" si="176"/>
        <v>0</v>
      </c>
      <c r="L1876">
        <f t="shared" si="177"/>
        <v>1</v>
      </c>
      <c r="M1876">
        <f t="shared" si="178"/>
        <v>0</v>
      </c>
      <c r="N1876">
        <f t="shared" si="179"/>
        <v>0</v>
      </c>
    </row>
    <row r="1877" spans="1:14" x14ac:dyDescent="0.35">
      <c r="A1877" t="s">
        <v>897</v>
      </c>
      <c r="B1877" t="s">
        <v>2703</v>
      </c>
      <c r="C1877" s="7" t="s">
        <v>10</v>
      </c>
      <c r="D1877" t="s">
        <v>55</v>
      </c>
      <c r="E1877" t="s">
        <v>1929</v>
      </c>
      <c r="F1877" t="s">
        <v>1754</v>
      </c>
      <c r="I1877">
        <f t="shared" si="174"/>
        <v>0</v>
      </c>
      <c r="J1877">
        <f t="shared" si="175"/>
        <v>0</v>
      </c>
      <c r="K1877">
        <f t="shared" si="176"/>
        <v>0</v>
      </c>
      <c r="L1877">
        <f t="shared" si="177"/>
        <v>1</v>
      </c>
      <c r="M1877">
        <f t="shared" si="178"/>
        <v>0</v>
      </c>
      <c r="N1877">
        <f t="shared" si="179"/>
        <v>0</v>
      </c>
    </row>
    <row r="1878" spans="1:14" x14ac:dyDescent="0.35">
      <c r="A1878" t="s">
        <v>1500</v>
      </c>
      <c r="B1878" t="s">
        <v>2704</v>
      </c>
      <c r="C1878" s="7" t="s">
        <v>10</v>
      </c>
      <c r="D1878" t="s">
        <v>55</v>
      </c>
      <c r="E1878" t="s">
        <v>1928</v>
      </c>
      <c r="F1878" t="s">
        <v>1754</v>
      </c>
      <c r="I1878">
        <f t="shared" si="174"/>
        <v>0</v>
      </c>
      <c r="J1878">
        <f t="shared" si="175"/>
        <v>0</v>
      </c>
      <c r="K1878">
        <f t="shared" si="176"/>
        <v>0</v>
      </c>
      <c r="L1878">
        <f t="shared" si="177"/>
        <v>1</v>
      </c>
      <c r="M1878">
        <f t="shared" si="178"/>
        <v>0</v>
      </c>
      <c r="N1878">
        <f t="shared" si="179"/>
        <v>0</v>
      </c>
    </row>
    <row r="1879" spans="1:14" x14ac:dyDescent="0.35">
      <c r="A1879" t="s">
        <v>1500</v>
      </c>
      <c r="B1879" t="s">
        <v>2704</v>
      </c>
      <c r="C1879" s="7" t="s">
        <v>10</v>
      </c>
      <c r="D1879" t="s">
        <v>55</v>
      </c>
      <c r="E1879" t="s">
        <v>1931</v>
      </c>
      <c r="F1879" t="s">
        <v>1754</v>
      </c>
      <c r="I1879">
        <f t="shared" si="174"/>
        <v>0</v>
      </c>
      <c r="J1879">
        <f t="shared" si="175"/>
        <v>0</v>
      </c>
      <c r="K1879">
        <f t="shared" si="176"/>
        <v>0</v>
      </c>
      <c r="L1879">
        <f t="shared" si="177"/>
        <v>1</v>
      </c>
      <c r="M1879">
        <f t="shared" si="178"/>
        <v>0</v>
      </c>
      <c r="N1879">
        <f t="shared" si="179"/>
        <v>0</v>
      </c>
    </row>
    <row r="1880" spans="1:14" x14ac:dyDescent="0.35">
      <c r="A1880" t="s">
        <v>647</v>
      </c>
      <c r="B1880" t="s">
        <v>1798</v>
      </c>
      <c r="C1880" s="7" t="s">
        <v>10</v>
      </c>
      <c r="D1880" t="s">
        <v>444</v>
      </c>
      <c r="E1880" t="s">
        <v>1806</v>
      </c>
      <c r="F1880" t="s">
        <v>1754</v>
      </c>
      <c r="I1880">
        <f t="shared" si="174"/>
        <v>0</v>
      </c>
      <c r="J1880">
        <f t="shared" si="175"/>
        <v>0</v>
      </c>
      <c r="K1880">
        <f t="shared" si="176"/>
        <v>0</v>
      </c>
      <c r="L1880">
        <f t="shared" si="177"/>
        <v>1</v>
      </c>
      <c r="M1880">
        <f t="shared" si="178"/>
        <v>0</v>
      </c>
      <c r="N1880">
        <f t="shared" si="179"/>
        <v>0</v>
      </c>
    </row>
    <row r="1881" spans="1:14" x14ac:dyDescent="0.35">
      <c r="A1881" t="s">
        <v>647</v>
      </c>
      <c r="B1881" t="s">
        <v>1798</v>
      </c>
      <c r="C1881" s="7" t="s">
        <v>10</v>
      </c>
      <c r="D1881" t="s">
        <v>444</v>
      </c>
      <c r="E1881" t="s">
        <v>1807</v>
      </c>
      <c r="F1881" t="s">
        <v>1754</v>
      </c>
      <c r="I1881">
        <f t="shared" si="174"/>
        <v>0</v>
      </c>
      <c r="J1881">
        <f t="shared" si="175"/>
        <v>0</v>
      </c>
      <c r="K1881">
        <f t="shared" si="176"/>
        <v>0</v>
      </c>
      <c r="L1881">
        <f t="shared" si="177"/>
        <v>1</v>
      </c>
      <c r="M1881">
        <f t="shared" si="178"/>
        <v>0</v>
      </c>
      <c r="N1881">
        <f t="shared" si="179"/>
        <v>0</v>
      </c>
    </row>
    <row r="1882" spans="1:14" x14ac:dyDescent="0.35">
      <c r="A1882" t="s">
        <v>1532</v>
      </c>
      <c r="B1882" t="s">
        <v>2705</v>
      </c>
      <c r="C1882" s="7" t="s">
        <v>10</v>
      </c>
      <c r="D1882" t="s">
        <v>55</v>
      </c>
      <c r="E1882" t="s">
        <v>1963</v>
      </c>
      <c r="F1882" t="s">
        <v>1760</v>
      </c>
      <c r="I1882">
        <f t="shared" si="174"/>
        <v>0</v>
      </c>
      <c r="J1882">
        <f t="shared" si="175"/>
        <v>0</v>
      </c>
      <c r="K1882">
        <f t="shared" si="176"/>
        <v>1</v>
      </c>
      <c r="L1882">
        <f t="shared" si="177"/>
        <v>0</v>
      </c>
      <c r="M1882">
        <f t="shared" si="178"/>
        <v>0</v>
      </c>
      <c r="N1882">
        <f t="shared" si="179"/>
        <v>0</v>
      </c>
    </row>
    <row r="1883" spans="1:14" x14ac:dyDescent="0.35">
      <c r="A1883" t="s">
        <v>1532</v>
      </c>
      <c r="B1883" t="s">
        <v>2705</v>
      </c>
      <c r="C1883" s="7" t="s">
        <v>10</v>
      </c>
      <c r="D1883" t="s">
        <v>55</v>
      </c>
      <c r="E1883" t="s">
        <v>1968</v>
      </c>
      <c r="F1883" t="s">
        <v>1760</v>
      </c>
      <c r="I1883">
        <f t="shared" si="174"/>
        <v>0</v>
      </c>
      <c r="J1883">
        <f t="shared" si="175"/>
        <v>0</v>
      </c>
      <c r="K1883">
        <f t="shared" si="176"/>
        <v>1</v>
      </c>
      <c r="L1883">
        <f t="shared" si="177"/>
        <v>0</v>
      </c>
      <c r="M1883">
        <f t="shared" si="178"/>
        <v>0</v>
      </c>
      <c r="N1883">
        <f t="shared" si="179"/>
        <v>0</v>
      </c>
    </row>
    <row r="1884" spans="1:14" x14ac:dyDescent="0.35">
      <c r="A1884" t="s">
        <v>1532</v>
      </c>
      <c r="B1884" t="s">
        <v>2705</v>
      </c>
      <c r="C1884" s="7" t="s">
        <v>10</v>
      </c>
      <c r="D1884" t="s">
        <v>55</v>
      </c>
      <c r="E1884" t="s">
        <v>1839</v>
      </c>
      <c r="F1884" t="s">
        <v>1760</v>
      </c>
      <c r="I1884">
        <f t="shared" si="174"/>
        <v>0</v>
      </c>
      <c r="J1884">
        <f t="shared" si="175"/>
        <v>0</v>
      </c>
      <c r="K1884">
        <f t="shared" si="176"/>
        <v>1</v>
      </c>
      <c r="L1884">
        <f t="shared" si="177"/>
        <v>0</v>
      </c>
      <c r="M1884">
        <f t="shared" si="178"/>
        <v>0</v>
      </c>
      <c r="N1884">
        <f t="shared" si="179"/>
        <v>0</v>
      </c>
    </row>
    <row r="1885" spans="1:14" x14ac:dyDescent="0.35">
      <c r="A1885" t="s">
        <v>89</v>
      </c>
      <c r="B1885" t="s">
        <v>2706</v>
      </c>
      <c r="C1885" s="7" t="s">
        <v>10</v>
      </c>
      <c r="D1885" t="s">
        <v>92</v>
      </c>
      <c r="E1885" t="s">
        <v>1928</v>
      </c>
      <c r="F1885" t="s">
        <v>1754</v>
      </c>
      <c r="I1885">
        <f t="shared" si="174"/>
        <v>0</v>
      </c>
      <c r="J1885">
        <f t="shared" si="175"/>
        <v>0</v>
      </c>
      <c r="K1885">
        <f t="shared" si="176"/>
        <v>0</v>
      </c>
      <c r="L1885">
        <f t="shared" si="177"/>
        <v>1</v>
      </c>
      <c r="M1885">
        <f t="shared" si="178"/>
        <v>0</v>
      </c>
      <c r="N1885">
        <f t="shared" si="179"/>
        <v>0</v>
      </c>
    </row>
    <row r="1886" spans="1:14" x14ac:dyDescent="0.35">
      <c r="A1886" t="s">
        <v>89</v>
      </c>
      <c r="B1886" t="s">
        <v>2706</v>
      </c>
      <c r="C1886" s="7" t="s">
        <v>10</v>
      </c>
      <c r="D1886" t="s">
        <v>92</v>
      </c>
      <c r="E1886" t="s">
        <v>1896</v>
      </c>
      <c r="F1886" t="s">
        <v>1754</v>
      </c>
      <c r="I1886">
        <f t="shared" si="174"/>
        <v>0</v>
      </c>
      <c r="J1886">
        <f t="shared" si="175"/>
        <v>0</v>
      </c>
      <c r="K1886">
        <f t="shared" si="176"/>
        <v>0</v>
      </c>
      <c r="L1886">
        <f t="shared" si="177"/>
        <v>1</v>
      </c>
      <c r="M1886">
        <f t="shared" si="178"/>
        <v>0</v>
      </c>
      <c r="N1886">
        <f t="shared" si="179"/>
        <v>0</v>
      </c>
    </row>
    <row r="1887" spans="1:14" x14ac:dyDescent="0.35">
      <c r="A1887" t="s">
        <v>89</v>
      </c>
      <c r="B1887" t="s">
        <v>2706</v>
      </c>
      <c r="C1887" s="7" t="s">
        <v>10</v>
      </c>
      <c r="D1887" t="s">
        <v>92</v>
      </c>
      <c r="E1887" t="s">
        <v>2003</v>
      </c>
      <c r="F1887" t="s">
        <v>1754</v>
      </c>
      <c r="I1887">
        <f t="shared" si="174"/>
        <v>0</v>
      </c>
      <c r="J1887">
        <f t="shared" si="175"/>
        <v>0</v>
      </c>
      <c r="K1887">
        <f t="shared" si="176"/>
        <v>0</v>
      </c>
      <c r="L1887">
        <f t="shared" si="177"/>
        <v>1</v>
      </c>
      <c r="M1887">
        <f t="shared" si="178"/>
        <v>0</v>
      </c>
      <c r="N1887">
        <f t="shared" si="179"/>
        <v>0</v>
      </c>
    </row>
    <row r="1888" spans="1:14" x14ac:dyDescent="0.35">
      <c r="A1888" t="s">
        <v>89</v>
      </c>
      <c r="B1888" t="s">
        <v>2706</v>
      </c>
      <c r="C1888" s="7" t="s">
        <v>10</v>
      </c>
      <c r="D1888" t="s">
        <v>92</v>
      </c>
      <c r="E1888" t="s">
        <v>2002</v>
      </c>
      <c r="F1888" t="s">
        <v>1754</v>
      </c>
      <c r="I1888">
        <f t="shared" si="174"/>
        <v>0</v>
      </c>
      <c r="J1888">
        <f t="shared" si="175"/>
        <v>0</v>
      </c>
      <c r="K1888">
        <f t="shared" si="176"/>
        <v>0</v>
      </c>
      <c r="L1888">
        <f t="shared" si="177"/>
        <v>1</v>
      </c>
      <c r="M1888">
        <f t="shared" si="178"/>
        <v>0</v>
      </c>
      <c r="N1888">
        <f t="shared" si="179"/>
        <v>0</v>
      </c>
    </row>
    <row r="1889" spans="1:14" x14ac:dyDescent="0.35">
      <c r="A1889" t="s">
        <v>89</v>
      </c>
      <c r="B1889" t="s">
        <v>2706</v>
      </c>
      <c r="C1889" s="7" t="s">
        <v>10</v>
      </c>
      <c r="D1889" t="s">
        <v>92</v>
      </c>
      <c r="E1889" t="s">
        <v>1894</v>
      </c>
      <c r="F1889" t="s">
        <v>1754</v>
      </c>
      <c r="I1889">
        <f t="shared" si="174"/>
        <v>0</v>
      </c>
      <c r="J1889">
        <f t="shared" si="175"/>
        <v>0</v>
      </c>
      <c r="K1889">
        <f t="shared" si="176"/>
        <v>0</v>
      </c>
      <c r="L1889">
        <f t="shared" si="177"/>
        <v>1</v>
      </c>
      <c r="M1889">
        <f t="shared" si="178"/>
        <v>0</v>
      </c>
      <c r="N1889">
        <f t="shared" si="179"/>
        <v>0</v>
      </c>
    </row>
    <row r="1890" spans="1:14" x14ac:dyDescent="0.35">
      <c r="A1890" t="s">
        <v>89</v>
      </c>
      <c r="B1890" t="s">
        <v>2706</v>
      </c>
      <c r="C1890" s="7" t="s">
        <v>10</v>
      </c>
      <c r="D1890" t="s">
        <v>92</v>
      </c>
      <c r="E1890" t="s">
        <v>1931</v>
      </c>
      <c r="F1890" t="s">
        <v>1754</v>
      </c>
      <c r="I1890">
        <f t="shared" si="174"/>
        <v>0</v>
      </c>
      <c r="J1890">
        <f t="shared" si="175"/>
        <v>0</v>
      </c>
      <c r="K1890">
        <f t="shared" si="176"/>
        <v>0</v>
      </c>
      <c r="L1890">
        <f t="shared" si="177"/>
        <v>1</v>
      </c>
      <c r="M1890">
        <f t="shared" si="178"/>
        <v>0</v>
      </c>
      <c r="N1890">
        <f t="shared" si="179"/>
        <v>0</v>
      </c>
    </row>
    <row r="1891" spans="1:14" x14ac:dyDescent="0.35">
      <c r="A1891" t="s">
        <v>948</v>
      </c>
      <c r="B1891" t="s">
        <v>2707</v>
      </c>
      <c r="C1891" s="7" t="s">
        <v>10</v>
      </c>
      <c r="D1891" t="s">
        <v>276</v>
      </c>
      <c r="E1891" t="s">
        <v>1888</v>
      </c>
      <c r="F1891" t="s">
        <v>1754</v>
      </c>
      <c r="I1891">
        <f t="shared" si="174"/>
        <v>0</v>
      </c>
      <c r="J1891">
        <f t="shared" si="175"/>
        <v>0</v>
      </c>
      <c r="K1891">
        <f t="shared" si="176"/>
        <v>0</v>
      </c>
      <c r="L1891">
        <f t="shared" si="177"/>
        <v>1</v>
      </c>
      <c r="M1891">
        <f t="shared" si="178"/>
        <v>0</v>
      </c>
      <c r="N1891">
        <f t="shared" si="179"/>
        <v>0</v>
      </c>
    </row>
    <row r="1892" spans="1:14" x14ac:dyDescent="0.35">
      <c r="A1892" t="s">
        <v>948</v>
      </c>
      <c r="B1892" t="s">
        <v>2707</v>
      </c>
      <c r="C1892" s="7" t="s">
        <v>10</v>
      </c>
      <c r="D1892" t="s">
        <v>276</v>
      </c>
      <c r="E1892" t="s">
        <v>1889</v>
      </c>
      <c r="F1892" t="s">
        <v>1754</v>
      </c>
      <c r="I1892">
        <f t="shared" si="174"/>
        <v>0</v>
      </c>
      <c r="J1892">
        <f t="shared" si="175"/>
        <v>0</v>
      </c>
      <c r="K1892">
        <f t="shared" si="176"/>
        <v>0</v>
      </c>
      <c r="L1892">
        <f t="shared" si="177"/>
        <v>1</v>
      </c>
      <c r="M1892">
        <f t="shared" si="178"/>
        <v>0</v>
      </c>
      <c r="N1892">
        <f t="shared" si="179"/>
        <v>0</v>
      </c>
    </row>
    <row r="1893" spans="1:14" x14ac:dyDescent="0.35">
      <c r="A1893" t="s">
        <v>747</v>
      </c>
      <c r="B1893" t="s">
        <v>2708</v>
      </c>
      <c r="C1893" s="7" t="s">
        <v>10</v>
      </c>
      <c r="D1893" t="s">
        <v>55</v>
      </c>
      <c r="E1893" t="s">
        <v>1817</v>
      </c>
      <c r="F1893" t="s">
        <v>1754</v>
      </c>
      <c r="I1893">
        <f t="shared" si="174"/>
        <v>0</v>
      </c>
      <c r="J1893">
        <f t="shared" si="175"/>
        <v>0</v>
      </c>
      <c r="K1893">
        <f t="shared" si="176"/>
        <v>0</v>
      </c>
      <c r="L1893">
        <f t="shared" si="177"/>
        <v>1</v>
      </c>
      <c r="M1893">
        <f t="shared" si="178"/>
        <v>0</v>
      </c>
      <c r="N1893">
        <f t="shared" si="179"/>
        <v>0</v>
      </c>
    </row>
    <row r="1894" spans="1:14" x14ac:dyDescent="0.35">
      <c r="A1894" t="s">
        <v>747</v>
      </c>
      <c r="B1894" t="s">
        <v>2708</v>
      </c>
      <c r="C1894" s="7" t="s">
        <v>10</v>
      </c>
      <c r="D1894" t="s">
        <v>55</v>
      </c>
      <c r="E1894" t="s">
        <v>1815</v>
      </c>
      <c r="F1894" t="s">
        <v>1754</v>
      </c>
      <c r="I1894">
        <f t="shared" si="174"/>
        <v>0</v>
      </c>
      <c r="J1894">
        <f t="shared" si="175"/>
        <v>0</v>
      </c>
      <c r="K1894">
        <f t="shared" si="176"/>
        <v>0</v>
      </c>
      <c r="L1894">
        <f t="shared" si="177"/>
        <v>1</v>
      </c>
      <c r="M1894">
        <f t="shared" si="178"/>
        <v>0</v>
      </c>
      <c r="N1894">
        <f t="shared" si="179"/>
        <v>0</v>
      </c>
    </row>
    <row r="1895" spans="1:14" x14ac:dyDescent="0.35">
      <c r="A1895" t="s">
        <v>2709</v>
      </c>
      <c r="B1895" t="s">
        <v>2501</v>
      </c>
      <c r="C1895" s="7" t="s">
        <v>10</v>
      </c>
      <c r="D1895" t="s">
        <v>409</v>
      </c>
      <c r="E1895" t="s">
        <v>2101</v>
      </c>
      <c r="F1895" t="s">
        <v>1805</v>
      </c>
      <c r="I1895">
        <f t="shared" si="174"/>
        <v>0</v>
      </c>
      <c r="J1895">
        <f t="shared" si="175"/>
        <v>1</v>
      </c>
      <c r="K1895">
        <f t="shared" si="176"/>
        <v>0</v>
      </c>
      <c r="L1895">
        <f t="shared" si="177"/>
        <v>0</v>
      </c>
      <c r="M1895">
        <f t="shared" si="178"/>
        <v>0</v>
      </c>
      <c r="N1895">
        <f t="shared" si="179"/>
        <v>0</v>
      </c>
    </row>
    <row r="1896" spans="1:14" x14ac:dyDescent="0.35">
      <c r="A1896" t="s">
        <v>2709</v>
      </c>
      <c r="B1896" t="s">
        <v>2501</v>
      </c>
      <c r="C1896" s="7" t="s">
        <v>10</v>
      </c>
      <c r="D1896" t="s">
        <v>409</v>
      </c>
      <c r="E1896" t="s">
        <v>1821</v>
      </c>
      <c r="F1896" t="s">
        <v>1760</v>
      </c>
      <c r="I1896">
        <f t="shared" si="174"/>
        <v>0</v>
      </c>
      <c r="J1896">
        <f t="shared" si="175"/>
        <v>0</v>
      </c>
      <c r="K1896">
        <f t="shared" si="176"/>
        <v>1</v>
      </c>
      <c r="L1896">
        <f t="shared" si="177"/>
        <v>0</v>
      </c>
      <c r="M1896">
        <f t="shared" si="178"/>
        <v>0</v>
      </c>
      <c r="N1896">
        <f t="shared" si="179"/>
        <v>0</v>
      </c>
    </row>
    <row r="1897" spans="1:14" x14ac:dyDescent="0.35">
      <c r="A1897" t="s">
        <v>2709</v>
      </c>
      <c r="B1897" t="s">
        <v>2501</v>
      </c>
      <c r="C1897" s="7" t="s">
        <v>10</v>
      </c>
      <c r="D1897" t="s">
        <v>409</v>
      </c>
      <c r="E1897" t="s">
        <v>2238</v>
      </c>
      <c r="F1897" t="s">
        <v>1754</v>
      </c>
      <c r="I1897">
        <f t="shared" si="174"/>
        <v>0</v>
      </c>
      <c r="J1897">
        <f t="shared" si="175"/>
        <v>0</v>
      </c>
      <c r="K1897">
        <f t="shared" si="176"/>
        <v>0</v>
      </c>
      <c r="L1897">
        <f t="shared" si="177"/>
        <v>1</v>
      </c>
      <c r="M1897">
        <f t="shared" si="178"/>
        <v>0</v>
      </c>
      <c r="N1897">
        <f t="shared" si="179"/>
        <v>0</v>
      </c>
    </row>
    <row r="1898" spans="1:14" x14ac:dyDescent="0.35">
      <c r="A1898" t="s">
        <v>2709</v>
      </c>
      <c r="B1898" t="s">
        <v>2501</v>
      </c>
      <c r="C1898" s="7" t="s">
        <v>10</v>
      </c>
      <c r="D1898" t="s">
        <v>409</v>
      </c>
      <c r="E1898" t="s">
        <v>1928</v>
      </c>
      <c r="F1898" t="s">
        <v>1754</v>
      </c>
      <c r="I1898">
        <f t="shared" si="174"/>
        <v>0</v>
      </c>
      <c r="J1898">
        <f t="shared" si="175"/>
        <v>0</v>
      </c>
      <c r="K1898">
        <f t="shared" si="176"/>
        <v>0</v>
      </c>
      <c r="L1898">
        <f t="shared" si="177"/>
        <v>1</v>
      </c>
      <c r="M1898">
        <f t="shared" si="178"/>
        <v>0</v>
      </c>
      <c r="N1898">
        <f t="shared" si="179"/>
        <v>0</v>
      </c>
    </row>
    <row r="1899" spans="1:14" x14ac:dyDescent="0.35">
      <c r="A1899" t="s">
        <v>2709</v>
      </c>
      <c r="B1899" t="s">
        <v>2501</v>
      </c>
      <c r="C1899" s="7" t="s">
        <v>10</v>
      </c>
      <c r="D1899" t="s">
        <v>409</v>
      </c>
      <c r="E1899" t="s">
        <v>1931</v>
      </c>
      <c r="F1899" t="s">
        <v>1754</v>
      </c>
      <c r="I1899">
        <f t="shared" si="174"/>
        <v>0</v>
      </c>
      <c r="J1899">
        <f t="shared" si="175"/>
        <v>0</v>
      </c>
      <c r="K1899">
        <f t="shared" si="176"/>
        <v>0</v>
      </c>
      <c r="L1899">
        <f t="shared" si="177"/>
        <v>1</v>
      </c>
      <c r="M1899">
        <f t="shared" si="178"/>
        <v>0</v>
      </c>
      <c r="N1899">
        <f t="shared" si="179"/>
        <v>0</v>
      </c>
    </row>
    <row r="1900" spans="1:14" x14ac:dyDescent="0.35">
      <c r="A1900" t="s">
        <v>2709</v>
      </c>
      <c r="B1900" t="s">
        <v>2501</v>
      </c>
      <c r="C1900" s="7" t="s">
        <v>10</v>
      </c>
      <c r="D1900" t="s">
        <v>409</v>
      </c>
      <c r="E1900" t="s">
        <v>1822</v>
      </c>
      <c r="F1900" t="s">
        <v>1760</v>
      </c>
      <c r="I1900">
        <f t="shared" si="174"/>
        <v>0</v>
      </c>
      <c r="J1900">
        <f t="shared" si="175"/>
        <v>0</v>
      </c>
      <c r="K1900">
        <f t="shared" si="176"/>
        <v>1</v>
      </c>
      <c r="L1900">
        <f t="shared" si="177"/>
        <v>0</v>
      </c>
      <c r="M1900">
        <f t="shared" si="178"/>
        <v>0</v>
      </c>
      <c r="N1900">
        <f t="shared" si="179"/>
        <v>0</v>
      </c>
    </row>
    <row r="1901" spans="1:14" x14ac:dyDescent="0.35">
      <c r="A1901" t="s">
        <v>2709</v>
      </c>
      <c r="B1901" t="s">
        <v>2501</v>
      </c>
      <c r="C1901" s="7" t="s">
        <v>10</v>
      </c>
      <c r="D1901" t="s">
        <v>409</v>
      </c>
      <c r="E1901" t="s">
        <v>1843</v>
      </c>
      <c r="F1901" t="s">
        <v>1760</v>
      </c>
      <c r="I1901">
        <f t="shared" si="174"/>
        <v>0</v>
      </c>
      <c r="J1901">
        <f t="shared" si="175"/>
        <v>0</v>
      </c>
      <c r="K1901">
        <f t="shared" si="176"/>
        <v>1</v>
      </c>
      <c r="L1901">
        <f t="shared" si="177"/>
        <v>0</v>
      </c>
      <c r="M1901">
        <f t="shared" si="178"/>
        <v>0</v>
      </c>
      <c r="N1901">
        <f t="shared" si="179"/>
        <v>0</v>
      </c>
    </row>
    <row r="1902" spans="1:14" x14ac:dyDescent="0.35">
      <c r="A1902" t="s">
        <v>2709</v>
      </c>
      <c r="B1902" t="s">
        <v>2501</v>
      </c>
      <c r="C1902" s="7" t="s">
        <v>10</v>
      </c>
      <c r="D1902" t="s">
        <v>409</v>
      </c>
      <c r="E1902" t="s">
        <v>1842</v>
      </c>
      <c r="F1902" t="s">
        <v>1760</v>
      </c>
      <c r="I1902">
        <f t="shared" si="174"/>
        <v>0</v>
      </c>
      <c r="J1902">
        <f t="shared" si="175"/>
        <v>0</v>
      </c>
      <c r="K1902">
        <f t="shared" si="176"/>
        <v>1</v>
      </c>
      <c r="L1902">
        <f t="shared" si="177"/>
        <v>0</v>
      </c>
      <c r="M1902">
        <f t="shared" si="178"/>
        <v>0</v>
      </c>
      <c r="N1902">
        <f t="shared" si="179"/>
        <v>0</v>
      </c>
    </row>
    <row r="1903" spans="1:14" x14ac:dyDescent="0.35">
      <c r="A1903" t="s">
        <v>2709</v>
      </c>
      <c r="B1903" t="s">
        <v>2501</v>
      </c>
      <c r="C1903" s="7" t="s">
        <v>10</v>
      </c>
      <c r="D1903" t="s">
        <v>409</v>
      </c>
      <c r="E1903" t="s">
        <v>1823</v>
      </c>
      <c r="F1903" t="s">
        <v>1760</v>
      </c>
      <c r="I1903">
        <f t="shared" si="174"/>
        <v>0</v>
      </c>
      <c r="J1903">
        <f t="shared" si="175"/>
        <v>0</v>
      </c>
      <c r="K1903">
        <f t="shared" si="176"/>
        <v>1</v>
      </c>
      <c r="L1903">
        <f t="shared" si="177"/>
        <v>0</v>
      </c>
      <c r="M1903">
        <f t="shared" si="178"/>
        <v>0</v>
      </c>
      <c r="N1903">
        <f t="shared" si="179"/>
        <v>0</v>
      </c>
    </row>
    <row r="1904" spans="1:14" x14ac:dyDescent="0.35">
      <c r="A1904" t="s">
        <v>2709</v>
      </c>
      <c r="B1904" t="s">
        <v>2501</v>
      </c>
      <c r="C1904" s="7" t="s">
        <v>10</v>
      </c>
      <c r="D1904" t="s">
        <v>409</v>
      </c>
      <c r="E1904" t="s">
        <v>1841</v>
      </c>
      <c r="F1904" t="s">
        <v>1760</v>
      </c>
      <c r="I1904">
        <f t="shared" si="174"/>
        <v>0</v>
      </c>
      <c r="J1904">
        <f t="shared" si="175"/>
        <v>0</v>
      </c>
      <c r="K1904">
        <f t="shared" si="176"/>
        <v>1</v>
      </c>
      <c r="L1904">
        <f t="shared" si="177"/>
        <v>0</v>
      </c>
      <c r="M1904">
        <f t="shared" si="178"/>
        <v>0</v>
      </c>
      <c r="N1904">
        <f t="shared" si="179"/>
        <v>0</v>
      </c>
    </row>
    <row r="1905" spans="1:14" x14ac:dyDescent="0.35">
      <c r="A1905" t="s">
        <v>2709</v>
      </c>
      <c r="B1905" t="s">
        <v>2501</v>
      </c>
      <c r="C1905" s="7" t="s">
        <v>10</v>
      </c>
      <c r="D1905" t="s">
        <v>409</v>
      </c>
      <c r="E1905" t="s">
        <v>1838</v>
      </c>
      <c r="F1905" t="s">
        <v>1760</v>
      </c>
      <c r="I1905">
        <f t="shared" si="174"/>
        <v>0</v>
      </c>
      <c r="J1905">
        <f t="shared" si="175"/>
        <v>0</v>
      </c>
      <c r="K1905">
        <f t="shared" si="176"/>
        <v>1</v>
      </c>
      <c r="L1905">
        <f t="shared" si="177"/>
        <v>0</v>
      </c>
      <c r="M1905">
        <f t="shared" si="178"/>
        <v>0</v>
      </c>
      <c r="N1905">
        <f t="shared" si="179"/>
        <v>0</v>
      </c>
    </row>
    <row r="1906" spans="1:14" x14ac:dyDescent="0.35">
      <c r="A1906" t="s">
        <v>2709</v>
      </c>
      <c r="B1906" t="s">
        <v>2501</v>
      </c>
      <c r="C1906" s="7" t="s">
        <v>10</v>
      </c>
      <c r="D1906" t="s">
        <v>409</v>
      </c>
      <c r="E1906" t="s">
        <v>1821</v>
      </c>
      <c r="F1906" t="s">
        <v>1760</v>
      </c>
      <c r="I1906">
        <f t="shared" si="174"/>
        <v>0</v>
      </c>
      <c r="J1906">
        <f t="shared" si="175"/>
        <v>0</v>
      </c>
      <c r="K1906">
        <f t="shared" si="176"/>
        <v>1</v>
      </c>
      <c r="L1906">
        <f t="shared" si="177"/>
        <v>0</v>
      </c>
      <c r="M1906">
        <f t="shared" si="178"/>
        <v>0</v>
      </c>
      <c r="N1906">
        <f t="shared" si="179"/>
        <v>0</v>
      </c>
    </row>
    <row r="1907" spans="1:14" x14ac:dyDescent="0.35">
      <c r="A1907" t="s">
        <v>2709</v>
      </c>
      <c r="B1907" t="s">
        <v>2501</v>
      </c>
      <c r="C1907" s="7" t="s">
        <v>10</v>
      </c>
      <c r="D1907" t="s">
        <v>409</v>
      </c>
      <c r="E1907" t="s">
        <v>1839</v>
      </c>
      <c r="F1907" t="s">
        <v>1760</v>
      </c>
      <c r="I1907">
        <f t="shared" si="174"/>
        <v>0</v>
      </c>
      <c r="J1907">
        <f t="shared" si="175"/>
        <v>0</v>
      </c>
      <c r="K1907">
        <f t="shared" si="176"/>
        <v>1</v>
      </c>
      <c r="L1907">
        <f t="shared" si="177"/>
        <v>0</v>
      </c>
      <c r="M1907">
        <f t="shared" si="178"/>
        <v>0</v>
      </c>
      <c r="N1907">
        <f t="shared" si="179"/>
        <v>0</v>
      </c>
    </row>
    <row r="1908" spans="1:14" x14ac:dyDescent="0.35">
      <c r="A1908" t="s">
        <v>2709</v>
      </c>
      <c r="B1908" t="s">
        <v>2501</v>
      </c>
      <c r="C1908" s="7" t="s">
        <v>10</v>
      </c>
      <c r="D1908" t="s">
        <v>409</v>
      </c>
      <c r="E1908" t="s">
        <v>1822</v>
      </c>
      <c r="F1908" t="s">
        <v>1760</v>
      </c>
      <c r="I1908">
        <f t="shared" si="174"/>
        <v>0</v>
      </c>
      <c r="J1908">
        <f t="shared" si="175"/>
        <v>0</v>
      </c>
      <c r="K1908">
        <f t="shared" si="176"/>
        <v>1</v>
      </c>
      <c r="L1908">
        <f t="shared" si="177"/>
        <v>0</v>
      </c>
      <c r="M1908">
        <f t="shared" si="178"/>
        <v>0</v>
      </c>
      <c r="N1908">
        <f t="shared" si="179"/>
        <v>0</v>
      </c>
    </row>
    <row r="1909" spans="1:14" x14ac:dyDescent="0.35">
      <c r="A1909" t="s">
        <v>2709</v>
      </c>
      <c r="B1909" t="s">
        <v>2501</v>
      </c>
      <c r="C1909" s="7" t="s">
        <v>10</v>
      </c>
      <c r="D1909" t="s">
        <v>409</v>
      </c>
      <c r="E1909" t="s">
        <v>1838</v>
      </c>
      <c r="F1909" t="s">
        <v>1760</v>
      </c>
      <c r="I1909">
        <f t="shared" si="174"/>
        <v>0</v>
      </c>
      <c r="J1909">
        <f t="shared" si="175"/>
        <v>0</v>
      </c>
      <c r="K1909">
        <f t="shared" si="176"/>
        <v>1</v>
      </c>
      <c r="L1909">
        <f t="shared" si="177"/>
        <v>0</v>
      </c>
      <c r="M1909">
        <f t="shared" si="178"/>
        <v>0</v>
      </c>
      <c r="N1909">
        <f t="shared" si="179"/>
        <v>0</v>
      </c>
    </row>
    <row r="1910" spans="1:14" x14ac:dyDescent="0.35">
      <c r="A1910" t="s">
        <v>2709</v>
      </c>
      <c r="B1910" t="s">
        <v>2501</v>
      </c>
      <c r="C1910" s="7" t="s">
        <v>10</v>
      </c>
      <c r="D1910" t="s">
        <v>409</v>
      </c>
      <c r="E1910" t="s">
        <v>1843</v>
      </c>
      <c r="F1910" t="s">
        <v>1760</v>
      </c>
      <c r="I1910">
        <f t="shared" si="174"/>
        <v>0</v>
      </c>
      <c r="J1910">
        <f t="shared" si="175"/>
        <v>0</v>
      </c>
      <c r="K1910">
        <f t="shared" si="176"/>
        <v>1</v>
      </c>
      <c r="L1910">
        <f t="shared" si="177"/>
        <v>0</v>
      </c>
      <c r="M1910">
        <f t="shared" si="178"/>
        <v>0</v>
      </c>
      <c r="N1910">
        <f t="shared" si="179"/>
        <v>0</v>
      </c>
    </row>
    <row r="1911" spans="1:14" x14ac:dyDescent="0.35">
      <c r="A1911" t="s">
        <v>2709</v>
      </c>
      <c r="B1911" t="s">
        <v>2501</v>
      </c>
      <c r="C1911" s="7" t="s">
        <v>10</v>
      </c>
      <c r="D1911" t="s">
        <v>409</v>
      </c>
      <c r="E1911" t="s">
        <v>1842</v>
      </c>
      <c r="F1911" t="s">
        <v>1760</v>
      </c>
      <c r="I1911">
        <f t="shared" si="174"/>
        <v>0</v>
      </c>
      <c r="J1911">
        <f t="shared" si="175"/>
        <v>0</v>
      </c>
      <c r="K1911">
        <f t="shared" si="176"/>
        <v>1</v>
      </c>
      <c r="L1911">
        <f t="shared" si="177"/>
        <v>0</v>
      </c>
      <c r="M1911">
        <f t="shared" si="178"/>
        <v>0</v>
      </c>
      <c r="N1911">
        <f t="shared" si="179"/>
        <v>0</v>
      </c>
    </row>
    <row r="1912" spans="1:14" x14ac:dyDescent="0.35">
      <c r="A1912" t="s">
        <v>2709</v>
      </c>
      <c r="B1912" t="s">
        <v>2501</v>
      </c>
      <c r="C1912" s="7" t="s">
        <v>10</v>
      </c>
      <c r="D1912" t="s">
        <v>409</v>
      </c>
      <c r="E1912" t="s">
        <v>1841</v>
      </c>
      <c r="F1912" t="s">
        <v>1760</v>
      </c>
      <c r="I1912">
        <f t="shared" si="174"/>
        <v>0</v>
      </c>
      <c r="J1912">
        <f t="shared" si="175"/>
        <v>0</v>
      </c>
      <c r="K1912">
        <f t="shared" si="176"/>
        <v>1</v>
      </c>
      <c r="L1912">
        <f t="shared" si="177"/>
        <v>0</v>
      </c>
      <c r="M1912">
        <f t="shared" si="178"/>
        <v>0</v>
      </c>
      <c r="N1912">
        <f t="shared" si="179"/>
        <v>0</v>
      </c>
    </row>
    <row r="1913" spans="1:14" x14ac:dyDescent="0.35">
      <c r="A1913" t="s">
        <v>1112</v>
      </c>
      <c r="B1913" t="s">
        <v>2710</v>
      </c>
      <c r="C1913" s="7" t="s">
        <v>10</v>
      </c>
      <c r="D1913" t="s">
        <v>55</v>
      </c>
      <c r="E1913" t="s">
        <v>1813</v>
      </c>
      <c r="F1913" t="s">
        <v>1760</v>
      </c>
      <c r="I1913">
        <f t="shared" si="174"/>
        <v>0</v>
      </c>
      <c r="J1913">
        <f t="shared" si="175"/>
        <v>0</v>
      </c>
      <c r="K1913">
        <f t="shared" si="176"/>
        <v>1</v>
      </c>
      <c r="L1913">
        <f t="shared" si="177"/>
        <v>0</v>
      </c>
      <c r="M1913">
        <f t="shared" si="178"/>
        <v>0</v>
      </c>
      <c r="N1913">
        <f t="shared" si="179"/>
        <v>0</v>
      </c>
    </row>
    <row r="1914" spans="1:14" x14ac:dyDescent="0.35">
      <c r="A1914" t="s">
        <v>1112</v>
      </c>
      <c r="B1914" t="s">
        <v>2710</v>
      </c>
      <c r="C1914" s="7" t="s">
        <v>10</v>
      </c>
      <c r="D1914" t="s">
        <v>55</v>
      </c>
      <c r="E1914" t="s">
        <v>1846</v>
      </c>
      <c r="F1914" t="s">
        <v>1760</v>
      </c>
      <c r="I1914">
        <f t="shared" si="174"/>
        <v>0</v>
      </c>
      <c r="J1914">
        <f t="shared" si="175"/>
        <v>0</v>
      </c>
      <c r="K1914">
        <f t="shared" si="176"/>
        <v>1</v>
      </c>
      <c r="L1914">
        <f t="shared" si="177"/>
        <v>0</v>
      </c>
      <c r="M1914">
        <f t="shared" si="178"/>
        <v>0</v>
      </c>
      <c r="N1914">
        <f t="shared" si="179"/>
        <v>0</v>
      </c>
    </row>
    <row r="1915" spans="1:14" x14ac:dyDescent="0.35">
      <c r="A1915" t="s">
        <v>688</v>
      </c>
      <c r="B1915" t="s">
        <v>2711</v>
      </c>
      <c r="C1915" s="7" t="s">
        <v>10</v>
      </c>
      <c r="D1915" t="s">
        <v>690</v>
      </c>
      <c r="E1915" t="s">
        <v>1885</v>
      </c>
      <c r="F1915" t="s">
        <v>1886</v>
      </c>
      <c r="I1915">
        <f t="shared" si="174"/>
        <v>0</v>
      </c>
      <c r="J1915">
        <f t="shared" si="175"/>
        <v>0</v>
      </c>
      <c r="K1915">
        <f t="shared" si="176"/>
        <v>0</v>
      </c>
      <c r="L1915">
        <f t="shared" si="177"/>
        <v>0</v>
      </c>
      <c r="M1915">
        <f t="shared" si="178"/>
        <v>0</v>
      </c>
      <c r="N1915">
        <f t="shared" si="179"/>
        <v>0</v>
      </c>
    </row>
    <row r="1916" spans="1:14" x14ac:dyDescent="0.35">
      <c r="A1916" t="s">
        <v>286</v>
      </c>
      <c r="B1916" t="s">
        <v>2712</v>
      </c>
      <c r="C1916" s="7" t="s">
        <v>10</v>
      </c>
      <c r="D1916" t="s">
        <v>55</v>
      </c>
      <c r="E1916" t="s">
        <v>1874</v>
      </c>
      <c r="F1916" t="s">
        <v>1727</v>
      </c>
      <c r="I1916">
        <f t="shared" si="174"/>
        <v>0</v>
      </c>
      <c r="J1916">
        <f t="shared" si="175"/>
        <v>0</v>
      </c>
      <c r="K1916">
        <f t="shared" si="176"/>
        <v>0</v>
      </c>
      <c r="L1916">
        <f t="shared" si="177"/>
        <v>0</v>
      </c>
      <c r="M1916">
        <f t="shared" si="178"/>
        <v>1</v>
      </c>
      <c r="N1916">
        <f t="shared" si="179"/>
        <v>0</v>
      </c>
    </row>
    <row r="1917" spans="1:14" x14ac:dyDescent="0.35">
      <c r="A1917" t="s">
        <v>286</v>
      </c>
      <c r="B1917" t="s">
        <v>2712</v>
      </c>
      <c r="C1917" s="7" t="s">
        <v>10</v>
      </c>
      <c r="D1917" t="s">
        <v>55</v>
      </c>
      <c r="E1917" t="s">
        <v>1875</v>
      </c>
      <c r="F1917" t="s">
        <v>1727</v>
      </c>
      <c r="I1917">
        <f t="shared" si="174"/>
        <v>0</v>
      </c>
      <c r="J1917">
        <f t="shared" si="175"/>
        <v>0</v>
      </c>
      <c r="K1917">
        <f t="shared" si="176"/>
        <v>0</v>
      </c>
      <c r="L1917">
        <f t="shared" si="177"/>
        <v>0</v>
      </c>
      <c r="M1917">
        <f t="shared" si="178"/>
        <v>1</v>
      </c>
      <c r="N1917">
        <f t="shared" si="179"/>
        <v>0</v>
      </c>
    </row>
    <row r="1918" spans="1:14" x14ac:dyDescent="0.35">
      <c r="A1918" t="s">
        <v>1535</v>
      </c>
      <c r="B1918" t="s">
        <v>2713</v>
      </c>
      <c r="C1918" s="7" t="s">
        <v>10</v>
      </c>
      <c r="D1918" t="s">
        <v>92</v>
      </c>
      <c r="E1918" t="s">
        <v>2714</v>
      </c>
      <c r="F1918" t="s">
        <v>1727</v>
      </c>
      <c r="I1918">
        <f t="shared" si="174"/>
        <v>0</v>
      </c>
      <c r="J1918">
        <f t="shared" si="175"/>
        <v>0</v>
      </c>
      <c r="K1918">
        <f t="shared" si="176"/>
        <v>0</v>
      </c>
      <c r="L1918">
        <f t="shared" si="177"/>
        <v>0</v>
      </c>
      <c r="M1918">
        <f t="shared" si="178"/>
        <v>1</v>
      </c>
      <c r="N1918">
        <f t="shared" si="179"/>
        <v>0</v>
      </c>
    </row>
    <row r="1919" spans="1:14" x14ac:dyDescent="0.35">
      <c r="A1919" t="s">
        <v>599</v>
      </c>
      <c r="B1919" t="s">
        <v>2715</v>
      </c>
      <c r="C1919" s="7" t="s">
        <v>10</v>
      </c>
      <c r="D1919" t="s">
        <v>55</v>
      </c>
      <c r="E1919" t="s">
        <v>1815</v>
      </c>
      <c r="F1919" t="s">
        <v>1754</v>
      </c>
      <c r="I1919">
        <f t="shared" si="174"/>
        <v>0</v>
      </c>
      <c r="J1919">
        <f t="shared" si="175"/>
        <v>0</v>
      </c>
      <c r="K1919">
        <f t="shared" si="176"/>
        <v>0</v>
      </c>
      <c r="L1919">
        <f t="shared" si="177"/>
        <v>1</v>
      </c>
      <c r="M1919">
        <f t="shared" si="178"/>
        <v>0</v>
      </c>
      <c r="N1919">
        <f t="shared" si="179"/>
        <v>0</v>
      </c>
    </row>
    <row r="1920" spans="1:14" x14ac:dyDescent="0.35">
      <c r="A1920" t="s">
        <v>599</v>
      </c>
      <c r="B1920" t="s">
        <v>2715</v>
      </c>
      <c r="C1920" s="7" t="s">
        <v>10</v>
      </c>
      <c r="D1920" t="s">
        <v>55</v>
      </c>
      <c r="E1920" t="s">
        <v>1817</v>
      </c>
      <c r="F1920" t="s">
        <v>1754</v>
      </c>
      <c r="I1920">
        <f t="shared" si="174"/>
        <v>0</v>
      </c>
      <c r="J1920">
        <f t="shared" si="175"/>
        <v>0</v>
      </c>
      <c r="K1920">
        <f t="shared" si="176"/>
        <v>0</v>
      </c>
      <c r="L1920">
        <f t="shared" si="177"/>
        <v>1</v>
      </c>
      <c r="M1920">
        <f t="shared" si="178"/>
        <v>0</v>
      </c>
      <c r="N1920">
        <f t="shared" si="179"/>
        <v>0</v>
      </c>
    </row>
    <row r="1921" spans="1:14" x14ac:dyDescent="0.35">
      <c r="A1921" t="s">
        <v>1096</v>
      </c>
      <c r="B1921" t="s">
        <v>2716</v>
      </c>
      <c r="C1921" s="7" t="s">
        <v>10</v>
      </c>
      <c r="D1921" t="s">
        <v>97</v>
      </c>
      <c r="E1921" t="s">
        <v>1870</v>
      </c>
      <c r="F1921" t="s">
        <v>1727</v>
      </c>
      <c r="I1921">
        <f t="shared" si="174"/>
        <v>0</v>
      </c>
      <c r="J1921">
        <f t="shared" si="175"/>
        <v>0</v>
      </c>
      <c r="K1921">
        <f t="shared" si="176"/>
        <v>0</v>
      </c>
      <c r="L1921">
        <f t="shared" si="177"/>
        <v>0</v>
      </c>
      <c r="M1921">
        <f t="shared" si="178"/>
        <v>1</v>
      </c>
      <c r="N1921">
        <f t="shared" si="179"/>
        <v>0</v>
      </c>
    </row>
    <row r="1922" spans="1:14" x14ac:dyDescent="0.35">
      <c r="A1922" t="s">
        <v>1628</v>
      </c>
      <c r="B1922" t="s">
        <v>2717</v>
      </c>
      <c r="C1922" s="7" t="s">
        <v>10</v>
      </c>
      <c r="D1922" t="s">
        <v>55</v>
      </c>
      <c r="E1922" t="s">
        <v>1911</v>
      </c>
      <c r="F1922" t="s">
        <v>1754</v>
      </c>
      <c r="I1922">
        <f t="shared" si="174"/>
        <v>0</v>
      </c>
      <c r="J1922">
        <f t="shared" si="175"/>
        <v>0</v>
      </c>
      <c r="K1922">
        <f t="shared" si="176"/>
        <v>0</v>
      </c>
      <c r="L1922">
        <f t="shared" si="177"/>
        <v>1</v>
      </c>
      <c r="M1922">
        <f t="shared" si="178"/>
        <v>0</v>
      </c>
      <c r="N1922">
        <f t="shared" si="179"/>
        <v>0</v>
      </c>
    </row>
    <row r="1923" spans="1:14" x14ac:dyDescent="0.35">
      <c r="A1923" t="s">
        <v>1628</v>
      </c>
      <c r="B1923" t="s">
        <v>2717</v>
      </c>
      <c r="C1923" s="7" t="s">
        <v>10</v>
      </c>
      <c r="D1923" t="s">
        <v>55</v>
      </c>
      <c r="E1923" t="s">
        <v>1910</v>
      </c>
      <c r="F1923" t="s">
        <v>1754</v>
      </c>
      <c r="I1923">
        <f t="shared" ref="I1923:I1986" si="180">IF($F1923=$F$1,1,0)</f>
        <v>0</v>
      </c>
      <c r="J1923">
        <f t="shared" ref="J1923:J1986" si="181">IF($F1923=$J$1,1,0)</f>
        <v>0</v>
      </c>
      <c r="K1923">
        <f t="shared" ref="K1923:K1986" si="182">IF($F1923=$K$1,1,0)</f>
        <v>0</v>
      </c>
      <c r="L1923">
        <f t="shared" ref="L1923:L1986" si="183">IF($F1923=$L$1,1,0)</f>
        <v>1</v>
      </c>
      <c r="M1923">
        <f t="shared" ref="M1923:M1986" si="184">IF($F1923=$M$1,1,0)</f>
        <v>0</v>
      </c>
      <c r="N1923">
        <f t="shared" ref="N1923:N1986" si="185">IF($G1923&lt;&gt;"",1,0)</f>
        <v>0</v>
      </c>
    </row>
    <row r="1924" spans="1:14" x14ac:dyDescent="0.35">
      <c r="A1924" t="s">
        <v>1226</v>
      </c>
      <c r="B1924" t="s">
        <v>2718</v>
      </c>
      <c r="C1924" s="7" t="s">
        <v>10</v>
      </c>
      <c r="D1924" t="s">
        <v>152</v>
      </c>
      <c r="E1924" t="s">
        <v>1823</v>
      </c>
      <c r="F1924" t="s">
        <v>1760</v>
      </c>
      <c r="I1924">
        <f t="shared" si="180"/>
        <v>0</v>
      </c>
      <c r="J1924">
        <f t="shared" si="181"/>
        <v>0</v>
      </c>
      <c r="K1924">
        <f t="shared" si="182"/>
        <v>1</v>
      </c>
      <c r="L1924">
        <f t="shared" si="183"/>
        <v>0</v>
      </c>
      <c r="M1924">
        <f t="shared" si="184"/>
        <v>0</v>
      </c>
      <c r="N1924">
        <f t="shared" si="185"/>
        <v>0</v>
      </c>
    </row>
    <row r="1925" spans="1:14" x14ac:dyDescent="0.35">
      <c r="A1925" t="s">
        <v>1226</v>
      </c>
      <c r="B1925" t="s">
        <v>2718</v>
      </c>
      <c r="C1925" s="7" t="s">
        <v>10</v>
      </c>
      <c r="D1925" t="s">
        <v>152</v>
      </c>
      <c r="E1925" t="s">
        <v>1840</v>
      </c>
      <c r="F1925" t="s">
        <v>1760</v>
      </c>
      <c r="I1925">
        <f t="shared" si="180"/>
        <v>0</v>
      </c>
      <c r="J1925">
        <f t="shared" si="181"/>
        <v>0</v>
      </c>
      <c r="K1925">
        <f t="shared" si="182"/>
        <v>1</v>
      </c>
      <c r="L1925">
        <f t="shared" si="183"/>
        <v>0</v>
      </c>
      <c r="M1925">
        <f t="shared" si="184"/>
        <v>0</v>
      </c>
      <c r="N1925">
        <f t="shared" si="185"/>
        <v>0</v>
      </c>
    </row>
    <row r="1926" spans="1:14" x14ac:dyDescent="0.35">
      <c r="A1926" t="s">
        <v>1226</v>
      </c>
      <c r="B1926" t="s">
        <v>2718</v>
      </c>
      <c r="C1926" s="7" t="s">
        <v>10</v>
      </c>
      <c r="D1926" t="s">
        <v>152</v>
      </c>
      <c r="E1926" t="s">
        <v>1838</v>
      </c>
      <c r="F1926" t="s">
        <v>1760</v>
      </c>
      <c r="I1926">
        <f t="shared" si="180"/>
        <v>0</v>
      </c>
      <c r="J1926">
        <f t="shared" si="181"/>
        <v>0</v>
      </c>
      <c r="K1926">
        <f t="shared" si="182"/>
        <v>1</v>
      </c>
      <c r="L1926">
        <f t="shared" si="183"/>
        <v>0</v>
      </c>
      <c r="M1926">
        <f t="shared" si="184"/>
        <v>0</v>
      </c>
      <c r="N1926">
        <f t="shared" si="185"/>
        <v>0</v>
      </c>
    </row>
    <row r="1927" spans="1:14" x14ac:dyDescent="0.35">
      <c r="A1927" t="s">
        <v>1226</v>
      </c>
      <c r="B1927" t="s">
        <v>2718</v>
      </c>
      <c r="C1927" s="7" t="s">
        <v>10</v>
      </c>
      <c r="D1927" t="s">
        <v>152</v>
      </c>
      <c r="E1927" t="s">
        <v>1839</v>
      </c>
      <c r="F1927" t="s">
        <v>1760</v>
      </c>
      <c r="I1927">
        <f t="shared" si="180"/>
        <v>0</v>
      </c>
      <c r="J1927">
        <f t="shared" si="181"/>
        <v>0</v>
      </c>
      <c r="K1927">
        <f t="shared" si="182"/>
        <v>1</v>
      </c>
      <c r="L1927">
        <f t="shared" si="183"/>
        <v>0</v>
      </c>
      <c r="M1927">
        <f t="shared" si="184"/>
        <v>0</v>
      </c>
      <c r="N1927">
        <f t="shared" si="185"/>
        <v>0</v>
      </c>
    </row>
    <row r="1928" spans="1:14" x14ac:dyDescent="0.35">
      <c r="A1928" t="s">
        <v>1226</v>
      </c>
      <c r="B1928" t="s">
        <v>2718</v>
      </c>
      <c r="C1928" s="7" t="s">
        <v>10</v>
      </c>
      <c r="D1928" t="s">
        <v>152</v>
      </c>
      <c r="E1928" t="s">
        <v>1813</v>
      </c>
      <c r="F1928" t="s">
        <v>1760</v>
      </c>
      <c r="I1928">
        <f t="shared" si="180"/>
        <v>0</v>
      </c>
      <c r="J1928">
        <f t="shared" si="181"/>
        <v>0</v>
      </c>
      <c r="K1928">
        <f t="shared" si="182"/>
        <v>1</v>
      </c>
      <c r="L1928">
        <f t="shared" si="183"/>
        <v>0</v>
      </c>
      <c r="M1928">
        <f t="shared" si="184"/>
        <v>0</v>
      </c>
      <c r="N1928">
        <f t="shared" si="185"/>
        <v>0</v>
      </c>
    </row>
    <row r="1929" spans="1:14" x14ac:dyDescent="0.35">
      <c r="A1929" t="s">
        <v>1226</v>
      </c>
      <c r="B1929" t="s">
        <v>2718</v>
      </c>
      <c r="C1929" s="7" t="s">
        <v>10</v>
      </c>
      <c r="D1929" t="s">
        <v>152</v>
      </c>
      <c r="E1929" t="s">
        <v>1821</v>
      </c>
      <c r="F1929" t="s">
        <v>1760</v>
      </c>
      <c r="I1929">
        <f t="shared" si="180"/>
        <v>0</v>
      </c>
      <c r="J1929">
        <f t="shared" si="181"/>
        <v>0</v>
      </c>
      <c r="K1929">
        <f t="shared" si="182"/>
        <v>1</v>
      </c>
      <c r="L1929">
        <f t="shared" si="183"/>
        <v>0</v>
      </c>
      <c r="M1929">
        <f t="shared" si="184"/>
        <v>0</v>
      </c>
      <c r="N1929">
        <f t="shared" si="185"/>
        <v>0</v>
      </c>
    </row>
    <row r="1930" spans="1:14" x14ac:dyDescent="0.35">
      <c r="A1930" t="s">
        <v>1226</v>
      </c>
      <c r="B1930" t="s">
        <v>2718</v>
      </c>
      <c r="C1930" s="7" t="s">
        <v>10</v>
      </c>
      <c r="D1930" t="s">
        <v>152</v>
      </c>
      <c r="E1930" t="s">
        <v>1842</v>
      </c>
      <c r="F1930" t="s">
        <v>1760</v>
      </c>
      <c r="I1930">
        <f t="shared" si="180"/>
        <v>0</v>
      </c>
      <c r="J1930">
        <f t="shared" si="181"/>
        <v>0</v>
      </c>
      <c r="K1930">
        <f t="shared" si="182"/>
        <v>1</v>
      </c>
      <c r="L1930">
        <f t="shared" si="183"/>
        <v>0</v>
      </c>
      <c r="M1930">
        <f t="shared" si="184"/>
        <v>0</v>
      </c>
      <c r="N1930">
        <f t="shared" si="185"/>
        <v>0</v>
      </c>
    </row>
    <row r="1931" spans="1:14" x14ac:dyDescent="0.35">
      <c r="A1931" t="s">
        <v>1226</v>
      </c>
      <c r="B1931" t="s">
        <v>2718</v>
      </c>
      <c r="C1931" s="7" t="s">
        <v>10</v>
      </c>
      <c r="D1931" t="s">
        <v>152</v>
      </c>
      <c r="E1931" t="s">
        <v>1843</v>
      </c>
      <c r="F1931" t="s">
        <v>1760</v>
      </c>
      <c r="I1931">
        <f t="shared" si="180"/>
        <v>0</v>
      </c>
      <c r="J1931">
        <f t="shared" si="181"/>
        <v>0</v>
      </c>
      <c r="K1931">
        <f t="shared" si="182"/>
        <v>1</v>
      </c>
      <c r="L1931">
        <f t="shared" si="183"/>
        <v>0</v>
      </c>
      <c r="M1931">
        <f t="shared" si="184"/>
        <v>0</v>
      </c>
      <c r="N1931">
        <f t="shared" si="185"/>
        <v>0</v>
      </c>
    </row>
    <row r="1932" spans="1:14" x14ac:dyDescent="0.35">
      <c r="A1932" t="s">
        <v>1226</v>
      </c>
      <c r="B1932" t="s">
        <v>2718</v>
      </c>
      <c r="C1932" s="7" t="s">
        <v>10</v>
      </c>
      <c r="D1932" t="s">
        <v>152</v>
      </c>
      <c r="E1932" t="s">
        <v>1822</v>
      </c>
      <c r="F1932" t="s">
        <v>1760</v>
      </c>
      <c r="I1932">
        <f t="shared" si="180"/>
        <v>0</v>
      </c>
      <c r="J1932">
        <f t="shared" si="181"/>
        <v>0</v>
      </c>
      <c r="K1932">
        <f t="shared" si="182"/>
        <v>1</v>
      </c>
      <c r="L1932">
        <f t="shared" si="183"/>
        <v>0</v>
      </c>
      <c r="M1932">
        <f t="shared" si="184"/>
        <v>0</v>
      </c>
      <c r="N1932">
        <f t="shared" si="185"/>
        <v>0</v>
      </c>
    </row>
    <row r="1933" spans="1:14" x14ac:dyDescent="0.35">
      <c r="A1933" t="s">
        <v>1226</v>
      </c>
      <c r="B1933" t="s">
        <v>2718</v>
      </c>
      <c r="C1933" s="7" t="s">
        <v>10</v>
      </c>
      <c r="D1933" t="s">
        <v>152</v>
      </c>
      <c r="E1933" t="s">
        <v>1841</v>
      </c>
      <c r="F1933" t="s">
        <v>1760</v>
      </c>
      <c r="I1933">
        <f t="shared" si="180"/>
        <v>0</v>
      </c>
      <c r="J1933">
        <f t="shared" si="181"/>
        <v>0</v>
      </c>
      <c r="K1933">
        <f t="shared" si="182"/>
        <v>1</v>
      </c>
      <c r="L1933">
        <f t="shared" si="183"/>
        <v>0</v>
      </c>
      <c r="M1933">
        <f t="shared" si="184"/>
        <v>0</v>
      </c>
      <c r="N1933">
        <f t="shared" si="185"/>
        <v>0</v>
      </c>
    </row>
    <row r="1934" spans="1:14" x14ac:dyDescent="0.35">
      <c r="A1934" t="s">
        <v>194</v>
      </c>
      <c r="B1934" t="s">
        <v>2719</v>
      </c>
      <c r="C1934" s="7" t="s">
        <v>10</v>
      </c>
      <c r="D1934" t="s">
        <v>55</v>
      </c>
      <c r="E1934" t="s">
        <v>1856</v>
      </c>
      <c r="F1934" t="s">
        <v>1760</v>
      </c>
      <c r="I1934">
        <f t="shared" si="180"/>
        <v>0</v>
      </c>
      <c r="J1934">
        <f t="shared" si="181"/>
        <v>0</v>
      </c>
      <c r="K1934">
        <f t="shared" si="182"/>
        <v>1</v>
      </c>
      <c r="L1934">
        <f t="shared" si="183"/>
        <v>0</v>
      </c>
      <c r="M1934">
        <f t="shared" si="184"/>
        <v>0</v>
      </c>
      <c r="N1934">
        <f t="shared" si="185"/>
        <v>0</v>
      </c>
    </row>
    <row r="1935" spans="1:14" x14ac:dyDescent="0.35">
      <c r="A1935" t="s">
        <v>194</v>
      </c>
      <c r="B1935" t="s">
        <v>2719</v>
      </c>
      <c r="C1935" s="7" t="s">
        <v>10</v>
      </c>
      <c r="D1935" t="s">
        <v>55</v>
      </c>
      <c r="E1935" t="s">
        <v>1953</v>
      </c>
      <c r="F1935" t="s">
        <v>1754</v>
      </c>
      <c r="I1935">
        <f t="shared" si="180"/>
        <v>0</v>
      </c>
      <c r="J1935">
        <f t="shared" si="181"/>
        <v>0</v>
      </c>
      <c r="K1935">
        <f t="shared" si="182"/>
        <v>0</v>
      </c>
      <c r="L1935">
        <f t="shared" si="183"/>
        <v>1</v>
      </c>
      <c r="M1935">
        <f t="shared" si="184"/>
        <v>0</v>
      </c>
      <c r="N1935">
        <f t="shared" si="185"/>
        <v>0</v>
      </c>
    </row>
    <row r="1936" spans="1:14" x14ac:dyDescent="0.35">
      <c r="A1936" t="s">
        <v>194</v>
      </c>
      <c r="B1936" t="s">
        <v>2719</v>
      </c>
      <c r="C1936" s="7" t="s">
        <v>10</v>
      </c>
      <c r="D1936" t="s">
        <v>55</v>
      </c>
      <c r="E1936" t="s">
        <v>1910</v>
      </c>
      <c r="F1936" t="s">
        <v>1754</v>
      </c>
      <c r="I1936">
        <f t="shared" si="180"/>
        <v>0</v>
      </c>
      <c r="J1936">
        <f t="shared" si="181"/>
        <v>0</v>
      </c>
      <c r="K1936">
        <f t="shared" si="182"/>
        <v>0</v>
      </c>
      <c r="L1936">
        <f t="shared" si="183"/>
        <v>1</v>
      </c>
      <c r="M1936">
        <f t="shared" si="184"/>
        <v>0</v>
      </c>
      <c r="N1936">
        <f t="shared" si="185"/>
        <v>0</v>
      </c>
    </row>
    <row r="1937" spans="1:14" x14ac:dyDescent="0.35">
      <c r="A1937" t="s">
        <v>194</v>
      </c>
      <c r="B1937" t="s">
        <v>2719</v>
      </c>
      <c r="C1937" s="7" t="s">
        <v>10</v>
      </c>
      <c r="D1937" t="s">
        <v>55</v>
      </c>
      <c r="E1937" t="s">
        <v>2159</v>
      </c>
      <c r="F1937" t="s">
        <v>1805</v>
      </c>
      <c r="I1937">
        <f t="shared" si="180"/>
        <v>0</v>
      </c>
      <c r="J1937">
        <f t="shared" si="181"/>
        <v>1</v>
      </c>
      <c r="K1937">
        <f t="shared" si="182"/>
        <v>0</v>
      </c>
      <c r="L1937">
        <f t="shared" si="183"/>
        <v>0</v>
      </c>
      <c r="M1937">
        <f t="shared" si="184"/>
        <v>0</v>
      </c>
      <c r="N1937">
        <f t="shared" si="185"/>
        <v>0</v>
      </c>
    </row>
    <row r="1938" spans="1:14" x14ac:dyDescent="0.35">
      <c r="A1938" t="s">
        <v>194</v>
      </c>
      <c r="B1938" t="s">
        <v>2719</v>
      </c>
      <c r="C1938" s="7" t="s">
        <v>10</v>
      </c>
      <c r="D1938" t="s">
        <v>55</v>
      </c>
      <c r="E1938" t="s">
        <v>1951</v>
      </c>
      <c r="F1938" t="s">
        <v>1754</v>
      </c>
      <c r="I1938">
        <f t="shared" si="180"/>
        <v>0</v>
      </c>
      <c r="J1938">
        <f t="shared" si="181"/>
        <v>0</v>
      </c>
      <c r="K1938">
        <f t="shared" si="182"/>
        <v>0</v>
      </c>
      <c r="L1938">
        <f t="shared" si="183"/>
        <v>1</v>
      </c>
      <c r="M1938">
        <f t="shared" si="184"/>
        <v>0</v>
      </c>
      <c r="N1938">
        <f t="shared" si="185"/>
        <v>0</v>
      </c>
    </row>
    <row r="1939" spans="1:14" x14ac:dyDescent="0.35">
      <c r="A1939" t="s">
        <v>194</v>
      </c>
      <c r="B1939" t="s">
        <v>2719</v>
      </c>
      <c r="C1939" s="7" t="s">
        <v>10</v>
      </c>
      <c r="D1939" t="s">
        <v>55</v>
      </c>
      <c r="E1939" t="s">
        <v>1911</v>
      </c>
      <c r="F1939" t="s">
        <v>1754</v>
      </c>
      <c r="I1939">
        <f t="shared" si="180"/>
        <v>0</v>
      </c>
      <c r="J1939">
        <f t="shared" si="181"/>
        <v>0</v>
      </c>
      <c r="K1939">
        <f t="shared" si="182"/>
        <v>0</v>
      </c>
      <c r="L1939">
        <f t="shared" si="183"/>
        <v>1</v>
      </c>
      <c r="M1939">
        <f t="shared" si="184"/>
        <v>0</v>
      </c>
      <c r="N1939">
        <f t="shared" si="185"/>
        <v>0</v>
      </c>
    </row>
    <row r="1940" spans="1:14" x14ac:dyDescent="0.35">
      <c r="A1940" t="s">
        <v>135</v>
      </c>
      <c r="B1940" t="s">
        <v>2720</v>
      </c>
      <c r="C1940" s="7" t="s">
        <v>10</v>
      </c>
      <c r="D1940" t="s">
        <v>51</v>
      </c>
      <c r="E1940" t="s">
        <v>1946</v>
      </c>
      <c r="F1940" t="s">
        <v>1754</v>
      </c>
      <c r="I1940">
        <f t="shared" si="180"/>
        <v>0</v>
      </c>
      <c r="J1940">
        <f t="shared" si="181"/>
        <v>0</v>
      </c>
      <c r="K1940">
        <f t="shared" si="182"/>
        <v>0</v>
      </c>
      <c r="L1940">
        <f t="shared" si="183"/>
        <v>1</v>
      </c>
      <c r="M1940">
        <f t="shared" si="184"/>
        <v>0</v>
      </c>
      <c r="N1940">
        <f t="shared" si="185"/>
        <v>0</v>
      </c>
    </row>
    <row r="1941" spans="1:14" x14ac:dyDescent="0.35">
      <c r="A1941" t="s">
        <v>135</v>
      </c>
      <c r="B1941" t="s">
        <v>2720</v>
      </c>
      <c r="C1941" s="7" t="s">
        <v>10</v>
      </c>
      <c r="D1941" t="s">
        <v>51</v>
      </c>
      <c r="E1941" t="s">
        <v>1945</v>
      </c>
      <c r="F1941" t="s">
        <v>1754</v>
      </c>
      <c r="I1941">
        <f t="shared" si="180"/>
        <v>0</v>
      </c>
      <c r="J1941">
        <f t="shared" si="181"/>
        <v>0</v>
      </c>
      <c r="K1941">
        <f t="shared" si="182"/>
        <v>0</v>
      </c>
      <c r="L1941">
        <f t="shared" si="183"/>
        <v>1</v>
      </c>
      <c r="M1941">
        <f t="shared" si="184"/>
        <v>0</v>
      </c>
      <c r="N1941">
        <f t="shared" si="185"/>
        <v>0</v>
      </c>
    </row>
    <row r="1942" spans="1:14" x14ac:dyDescent="0.35">
      <c r="A1942" t="s">
        <v>135</v>
      </c>
      <c r="B1942" t="s">
        <v>2720</v>
      </c>
      <c r="C1942" s="7" t="s">
        <v>10</v>
      </c>
      <c r="D1942" t="s">
        <v>51</v>
      </c>
      <c r="E1942" t="s">
        <v>2121</v>
      </c>
      <c r="F1942" t="s">
        <v>1727</v>
      </c>
      <c r="I1942">
        <f t="shared" si="180"/>
        <v>0</v>
      </c>
      <c r="J1942">
        <f t="shared" si="181"/>
        <v>0</v>
      </c>
      <c r="K1942">
        <f t="shared" si="182"/>
        <v>0</v>
      </c>
      <c r="L1942">
        <f t="shared" si="183"/>
        <v>0</v>
      </c>
      <c r="M1942">
        <f t="shared" si="184"/>
        <v>1</v>
      </c>
      <c r="N1942">
        <f t="shared" si="185"/>
        <v>0</v>
      </c>
    </row>
    <row r="1943" spans="1:14" x14ac:dyDescent="0.35">
      <c r="A1943" t="s">
        <v>135</v>
      </c>
      <c r="B1943" t="s">
        <v>2720</v>
      </c>
      <c r="C1943" s="7" t="s">
        <v>10</v>
      </c>
      <c r="D1943" t="s">
        <v>51</v>
      </c>
      <c r="E1943" t="s">
        <v>2095</v>
      </c>
      <c r="F1943" t="s">
        <v>1754</v>
      </c>
      <c r="I1943">
        <f t="shared" si="180"/>
        <v>0</v>
      </c>
      <c r="J1943">
        <f t="shared" si="181"/>
        <v>0</v>
      </c>
      <c r="K1943">
        <f t="shared" si="182"/>
        <v>0</v>
      </c>
      <c r="L1943">
        <f t="shared" si="183"/>
        <v>1</v>
      </c>
      <c r="M1943">
        <f t="shared" si="184"/>
        <v>0</v>
      </c>
      <c r="N1943">
        <f t="shared" si="185"/>
        <v>0</v>
      </c>
    </row>
    <row r="1944" spans="1:14" x14ac:dyDescent="0.35">
      <c r="A1944" t="s">
        <v>636</v>
      </c>
      <c r="B1944" t="s">
        <v>2721</v>
      </c>
      <c r="C1944" s="7" t="s">
        <v>10</v>
      </c>
      <c r="D1944" t="s">
        <v>55</v>
      </c>
      <c r="E1944" t="s">
        <v>1911</v>
      </c>
      <c r="F1944" t="s">
        <v>1754</v>
      </c>
      <c r="I1944">
        <f t="shared" si="180"/>
        <v>0</v>
      </c>
      <c r="J1944">
        <f t="shared" si="181"/>
        <v>0</v>
      </c>
      <c r="K1944">
        <f t="shared" si="182"/>
        <v>0</v>
      </c>
      <c r="L1944">
        <f t="shared" si="183"/>
        <v>1</v>
      </c>
      <c r="M1944">
        <f t="shared" si="184"/>
        <v>0</v>
      </c>
      <c r="N1944">
        <f t="shared" si="185"/>
        <v>0</v>
      </c>
    </row>
    <row r="1945" spans="1:14" x14ac:dyDescent="0.35">
      <c r="A1945" t="s">
        <v>636</v>
      </c>
      <c r="B1945" t="s">
        <v>2721</v>
      </c>
      <c r="C1945" s="7" t="s">
        <v>10</v>
      </c>
      <c r="D1945" t="s">
        <v>55</v>
      </c>
      <c r="E1945" t="s">
        <v>1910</v>
      </c>
      <c r="F1945" t="s">
        <v>1754</v>
      </c>
      <c r="I1945">
        <f t="shared" si="180"/>
        <v>0</v>
      </c>
      <c r="J1945">
        <f t="shared" si="181"/>
        <v>0</v>
      </c>
      <c r="K1945">
        <f t="shared" si="182"/>
        <v>0</v>
      </c>
      <c r="L1945">
        <f t="shared" si="183"/>
        <v>1</v>
      </c>
      <c r="M1945">
        <f t="shared" si="184"/>
        <v>0</v>
      </c>
      <c r="N1945">
        <f t="shared" si="185"/>
        <v>0</v>
      </c>
    </row>
    <row r="1946" spans="1:14" x14ac:dyDescent="0.35">
      <c r="A1946" t="s">
        <v>636</v>
      </c>
      <c r="B1946" t="s">
        <v>2721</v>
      </c>
      <c r="C1946" s="7" t="s">
        <v>10</v>
      </c>
      <c r="D1946" t="s">
        <v>55</v>
      </c>
      <c r="E1946" t="s">
        <v>1945</v>
      </c>
      <c r="F1946" t="s">
        <v>1754</v>
      </c>
      <c r="I1946">
        <f t="shared" si="180"/>
        <v>0</v>
      </c>
      <c r="J1946">
        <f t="shared" si="181"/>
        <v>0</v>
      </c>
      <c r="K1946">
        <f t="shared" si="182"/>
        <v>0</v>
      </c>
      <c r="L1946">
        <f t="shared" si="183"/>
        <v>1</v>
      </c>
      <c r="M1946">
        <f t="shared" si="184"/>
        <v>0</v>
      </c>
      <c r="N1946">
        <f t="shared" si="185"/>
        <v>0</v>
      </c>
    </row>
    <row r="1947" spans="1:14" x14ac:dyDescent="0.35">
      <c r="A1947" t="s">
        <v>636</v>
      </c>
      <c r="B1947" t="s">
        <v>2721</v>
      </c>
      <c r="C1947" s="7" t="s">
        <v>10</v>
      </c>
      <c r="D1947" t="s">
        <v>55</v>
      </c>
      <c r="E1947" t="s">
        <v>1944</v>
      </c>
      <c r="F1947" t="s">
        <v>1754</v>
      </c>
      <c r="I1947">
        <f t="shared" si="180"/>
        <v>0</v>
      </c>
      <c r="J1947">
        <f t="shared" si="181"/>
        <v>0</v>
      </c>
      <c r="K1947">
        <f t="shared" si="182"/>
        <v>0</v>
      </c>
      <c r="L1947">
        <f t="shared" si="183"/>
        <v>1</v>
      </c>
      <c r="M1947">
        <f t="shared" si="184"/>
        <v>0</v>
      </c>
      <c r="N1947">
        <f t="shared" si="185"/>
        <v>0</v>
      </c>
    </row>
    <row r="1948" spans="1:14" x14ac:dyDescent="0.35">
      <c r="A1948" t="s">
        <v>669</v>
      </c>
      <c r="B1948" t="s">
        <v>2722</v>
      </c>
      <c r="C1948" s="7" t="s">
        <v>10</v>
      </c>
      <c r="D1948" t="s">
        <v>51</v>
      </c>
      <c r="E1948" t="s">
        <v>1910</v>
      </c>
      <c r="F1948" t="s">
        <v>1754</v>
      </c>
      <c r="G1948" t="s">
        <v>2723</v>
      </c>
      <c r="H1948" t="s">
        <v>2724</v>
      </c>
      <c r="I1948">
        <f t="shared" si="180"/>
        <v>0</v>
      </c>
      <c r="J1948">
        <f t="shared" si="181"/>
        <v>0</v>
      </c>
      <c r="K1948">
        <f t="shared" si="182"/>
        <v>0</v>
      </c>
      <c r="L1948">
        <f t="shared" si="183"/>
        <v>1</v>
      </c>
      <c r="M1948">
        <f t="shared" si="184"/>
        <v>0</v>
      </c>
      <c r="N1948">
        <f t="shared" si="185"/>
        <v>1</v>
      </c>
    </row>
    <row r="1949" spans="1:14" x14ac:dyDescent="0.35">
      <c r="A1949" t="s">
        <v>669</v>
      </c>
      <c r="B1949" t="s">
        <v>2722</v>
      </c>
      <c r="C1949" s="7" t="s">
        <v>10</v>
      </c>
      <c r="D1949" t="s">
        <v>51</v>
      </c>
      <c r="E1949" t="s">
        <v>2095</v>
      </c>
      <c r="F1949" t="s">
        <v>1754</v>
      </c>
      <c r="G1949" t="s">
        <v>2723</v>
      </c>
      <c r="H1949" t="s">
        <v>2724</v>
      </c>
      <c r="I1949">
        <f t="shared" si="180"/>
        <v>0</v>
      </c>
      <c r="J1949">
        <f t="shared" si="181"/>
        <v>0</v>
      </c>
      <c r="K1949">
        <f t="shared" si="182"/>
        <v>0</v>
      </c>
      <c r="L1949">
        <f t="shared" si="183"/>
        <v>1</v>
      </c>
      <c r="M1949">
        <f t="shared" si="184"/>
        <v>0</v>
      </c>
      <c r="N1949">
        <f t="shared" si="185"/>
        <v>1</v>
      </c>
    </row>
    <row r="1950" spans="1:14" x14ac:dyDescent="0.35">
      <c r="A1950" t="s">
        <v>669</v>
      </c>
      <c r="B1950" t="s">
        <v>2722</v>
      </c>
      <c r="C1950" s="7" t="s">
        <v>10</v>
      </c>
      <c r="D1950" t="s">
        <v>51</v>
      </c>
      <c r="E1950" t="s">
        <v>1946</v>
      </c>
      <c r="F1950" t="s">
        <v>1754</v>
      </c>
      <c r="G1950" t="s">
        <v>2723</v>
      </c>
      <c r="H1950" t="s">
        <v>2724</v>
      </c>
      <c r="I1950">
        <f t="shared" si="180"/>
        <v>0</v>
      </c>
      <c r="J1950">
        <f t="shared" si="181"/>
        <v>0</v>
      </c>
      <c r="K1950">
        <f t="shared" si="182"/>
        <v>0</v>
      </c>
      <c r="L1950">
        <f t="shared" si="183"/>
        <v>1</v>
      </c>
      <c r="M1950">
        <f t="shared" si="184"/>
        <v>0</v>
      </c>
      <c r="N1950">
        <f t="shared" si="185"/>
        <v>1</v>
      </c>
    </row>
    <row r="1951" spans="1:14" x14ac:dyDescent="0.35">
      <c r="A1951" t="s">
        <v>669</v>
      </c>
      <c r="B1951" t="s">
        <v>2722</v>
      </c>
      <c r="C1951" s="7" t="s">
        <v>10</v>
      </c>
      <c r="D1951" t="s">
        <v>51</v>
      </c>
      <c r="E1951" t="s">
        <v>1911</v>
      </c>
      <c r="F1951" t="s">
        <v>1754</v>
      </c>
      <c r="G1951" t="s">
        <v>2723</v>
      </c>
      <c r="H1951" t="s">
        <v>2724</v>
      </c>
      <c r="I1951">
        <f t="shared" si="180"/>
        <v>0</v>
      </c>
      <c r="J1951">
        <f t="shared" si="181"/>
        <v>0</v>
      </c>
      <c r="K1951">
        <f t="shared" si="182"/>
        <v>0</v>
      </c>
      <c r="L1951">
        <f t="shared" si="183"/>
        <v>1</v>
      </c>
      <c r="M1951">
        <f t="shared" si="184"/>
        <v>0</v>
      </c>
      <c r="N1951">
        <f t="shared" si="185"/>
        <v>1</v>
      </c>
    </row>
    <row r="1952" spans="1:14" x14ac:dyDescent="0.35">
      <c r="A1952" t="s">
        <v>669</v>
      </c>
      <c r="B1952" t="s">
        <v>2722</v>
      </c>
      <c r="C1952" s="7" t="s">
        <v>10</v>
      </c>
      <c r="D1952" t="s">
        <v>51</v>
      </c>
      <c r="E1952" t="s">
        <v>1945</v>
      </c>
      <c r="F1952" t="s">
        <v>1754</v>
      </c>
      <c r="G1952" t="s">
        <v>2723</v>
      </c>
      <c r="H1952" t="s">
        <v>2724</v>
      </c>
      <c r="I1952">
        <f t="shared" si="180"/>
        <v>0</v>
      </c>
      <c r="J1952">
        <f t="shared" si="181"/>
        <v>0</v>
      </c>
      <c r="K1952">
        <f t="shared" si="182"/>
        <v>0</v>
      </c>
      <c r="L1952">
        <f t="shared" si="183"/>
        <v>1</v>
      </c>
      <c r="M1952">
        <f t="shared" si="184"/>
        <v>0</v>
      </c>
      <c r="N1952">
        <f t="shared" si="185"/>
        <v>1</v>
      </c>
    </row>
    <row r="1953" spans="1:14" x14ac:dyDescent="0.35">
      <c r="A1953" t="s">
        <v>986</v>
      </c>
      <c r="B1953" t="s">
        <v>2725</v>
      </c>
      <c r="C1953" s="7" t="s">
        <v>10</v>
      </c>
      <c r="D1953" t="s">
        <v>55</v>
      </c>
      <c r="E1953" t="s">
        <v>1847</v>
      </c>
      <c r="F1953" t="s">
        <v>1754</v>
      </c>
      <c r="I1953">
        <f t="shared" si="180"/>
        <v>0</v>
      </c>
      <c r="J1953">
        <f t="shared" si="181"/>
        <v>0</v>
      </c>
      <c r="K1953">
        <f t="shared" si="182"/>
        <v>0</v>
      </c>
      <c r="L1953">
        <f t="shared" si="183"/>
        <v>1</v>
      </c>
      <c r="M1953">
        <f t="shared" si="184"/>
        <v>0</v>
      </c>
      <c r="N1953">
        <f t="shared" si="185"/>
        <v>0</v>
      </c>
    </row>
    <row r="1954" spans="1:14" x14ac:dyDescent="0.35">
      <c r="A1954" t="s">
        <v>986</v>
      </c>
      <c r="B1954" t="s">
        <v>2725</v>
      </c>
      <c r="C1954" s="7" t="s">
        <v>10</v>
      </c>
      <c r="D1954" t="s">
        <v>55</v>
      </c>
      <c r="E1954" t="s">
        <v>1845</v>
      </c>
      <c r="F1954" t="s">
        <v>1754</v>
      </c>
      <c r="I1954">
        <f t="shared" si="180"/>
        <v>0</v>
      </c>
      <c r="J1954">
        <f t="shared" si="181"/>
        <v>0</v>
      </c>
      <c r="K1954">
        <f t="shared" si="182"/>
        <v>0</v>
      </c>
      <c r="L1954">
        <f t="shared" si="183"/>
        <v>1</v>
      </c>
      <c r="M1954">
        <f t="shared" si="184"/>
        <v>0</v>
      </c>
      <c r="N1954">
        <f t="shared" si="185"/>
        <v>0</v>
      </c>
    </row>
    <row r="1955" spans="1:14" x14ac:dyDescent="0.35">
      <c r="A1955" t="s">
        <v>695</v>
      </c>
      <c r="B1955" t="s">
        <v>2726</v>
      </c>
      <c r="C1955" s="7" t="s">
        <v>10</v>
      </c>
      <c r="D1955" t="s">
        <v>696</v>
      </c>
      <c r="E1955" t="s">
        <v>1911</v>
      </c>
      <c r="F1955" t="s">
        <v>1754</v>
      </c>
      <c r="I1955">
        <f t="shared" si="180"/>
        <v>0</v>
      </c>
      <c r="J1955">
        <f t="shared" si="181"/>
        <v>0</v>
      </c>
      <c r="K1955">
        <f t="shared" si="182"/>
        <v>0</v>
      </c>
      <c r="L1955">
        <f t="shared" si="183"/>
        <v>1</v>
      </c>
      <c r="M1955">
        <f t="shared" si="184"/>
        <v>0</v>
      </c>
      <c r="N1955">
        <f t="shared" si="185"/>
        <v>0</v>
      </c>
    </row>
    <row r="1956" spans="1:14" x14ac:dyDescent="0.35">
      <c r="A1956" t="s">
        <v>695</v>
      </c>
      <c r="B1956" t="s">
        <v>2726</v>
      </c>
      <c r="C1956" s="7" t="s">
        <v>10</v>
      </c>
      <c r="D1956" t="s">
        <v>696</v>
      </c>
      <c r="E1956" t="s">
        <v>1910</v>
      </c>
      <c r="F1956" t="s">
        <v>1754</v>
      </c>
      <c r="I1956">
        <f t="shared" si="180"/>
        <v>0</v>
      </c>
      <c r="J1956">
        <f t="shared" si="181"/>
        <v>0</v>
      </c>
      <c r="K1956">
        <f t="shared" si="182"/>
        <v>0</v>
      </c>
      <c r="L1956">
        <f t="shared" si="183"/>
        <v>1</v>
      </c>
      <c r="M1956">
        <f t="shared" si="184"/>
        <v>0</v>
      </c>
      <c r="N1956">
        <f t="shared" si="185"/>
        <v>0</v>
      </c>
    </row>
    <row r="1957" spans="1:14" x14ac:dyDescent="0.35">
      <c r="A1957" t="s">
        <v>695</v>
      </c>
      <c r="B1957" t="s">
        <v>2726</v>
      </c>
      <c r="C1957" s="7" t="s">
        <v>10</v>
      </c>
      <c r="D1957" t="s">
        <v>696</v>
      </c>
      <c r="E1957" t="s">
        <v>2175</v>
      </c>
      <c r="F1957" t="s">
        <v>1727</v>
      </c>
      <c r="I1957">
        <f t="shared" si="180"/>
        <v>0</v>
      </c>
      <c r="J1957">
        <f t="shared" si="181"/>
        <v>0</v>
      </c>
      <c r="K1957">
        <f t="shared" si="182"/>
        <v>0</v>
      </c>
      <c r="L1957">
        <f t="shared" si="183"/>
        <v>0</v>
      </c>
      <c r="M1957">
        <f t="shared" si="184"/>
        <v>1</v>
      </c>
      <c r="N1957">
        <f t="shared" si="185"/>
        <v>0</v>
      </c>
    </row>
    <row r="1958" spans="1:14" x14ac:dyDescent="0.35">
      <c r="A1958" t="s">
        <v>695</v>
      </c>
      <c r="B1958" t="s">
        <v>2726</v>
      </c>
      <c r="C1958" s="7" t="s">
        <v>10</v>
      </c>
      <c r="D1958" t="s">
        <v>696</v>
      </c>
      <c r="E1958" t="s">
        <v>2080</v>
      </c>
      <c r="F1958" t="s">
        <v>1727</v>
      </c>
      <c r="I1958">
        <f t="shared" si="180"/>
        <v>0</v>
      </c>
      <c r="J1958">
        <f t="shared" si="181"/>
        <v>0</v>
      </c>
      <c r="K1958">
        <f t="shared" si="182"/>
        <v>0</v>
      </c>
      <c r="L1958">
        <f t="shared" si="183"/>
        <v>0</v>
      </c>
      <c r="M1958">
        <f t="shared" si="184"/>
        <v>1</v>
      </c>
      <c r="N1958">
        <f t="shared" si="185"/>
        <v>0</v>
      </c>
    </row>
    <row r="1959" spans="1:14" x14ac:dyDescent="0.35">
      <c r="A1959" t="s">
        <v>695</v>
      </c>
      <c r="B1959" t="s">
        <v>2726</v>
      </c>
      <c r="C1959" s="7" t="s">
        <v>10</v>
      </c>
      <c r="D1959" t="s">
        <v>696</v>
      </c>
      <c r="E1959" t="s">
        <v>2473</v>
      </c>
      <c r="F1959" t="s">
        <v>1727</v>
      </c>
      <c r="I1959">
        <f t="shared" si="180"/>
        <v>0</v>
      </c>
      <c r="J1959">
        <f t="shared" si="181"/>
        <v>0</v>
      </c>
      <c r="K1959">
        <f t="shared" si="182"/>
        <v>0</v>
      </c>
      <c r="L1959">
        <f t="shared" si="183"/>
        <v>0</v>
      </c>
      <c r="M1959">
        <f t="shared" si="184"/>
        <v>1</v>
      </c>
      <c r="N1959">
        <f t="shared" si="185"/>
        <v>0</v>
      </c>
    </row>
    <row r="1960" spans="1:14" x14ac:dyDescent="0.35">
      <c r="A1960" t="s">
        <v>695</v>
      </c>
      <c r="B1960" t="s">
        <v>2726</v>
      </c>
      <c r="C1960" s="7" t="s">
        <v>10</v>
      </c>
      <c r="D1960" t="s">
        <v>696</v>
      </c>
      <c r="E1960" t="s">
        <v>2346</v>
      </c>
      <c r="F1960" t="s">
        <v>1727</v>
      </c>
      <c r="I1960">
        <f t="shared" si="180"/>
        <v>0</v>
      </c>
      <c r="J1960">
        <f t="shared" si="181"/>
        <v>0</v>
      </c>
      <c r="K1960">
        <f t="shared" si="182"/>
        <v>0</v>
      </c>
      <c r="L1960">
        <f t="shared" si="183"/>
        <v>0</v>
      </c>
      <c r="M1960">
        <f t="shared" si="184"/>
        <v>1</v>
      </c>
      <c r="N1960">
        <f t="shared" si="185"/>
        <v>0</v>
      </c>
    </row>
    <row r="1961" spans="1:14" x14ac:dyDescent="0.35">
      <c r="A1961" t="s">
        <v>1587</v>
      </c>
      <c r="B1961" t="s">
        <v>2727</v>
      </c>
      <c r="C1961" s="7" t="s">
        <v>10</v>
      </c>
      <c r="D1961" t="s">
        <v>51</v>
      </c>
      <c r="E1961" t="s">
        <v>1935</v>
      </c>
      <c r="F1961" t="s">
        <v>1760</v>
      </c>
      <c r="G1961" t="s">
        <v>2728</v>
      </c>
      <c r="H1961" t="s">
        <v>1834</v>
      </c>
      <c r="I1961">
        <f t="shared" si="180"/>
        <v>0</v>
      </c>
      <c r="J1961">
        <f t="shared" si="181"/>
        <v>0</v>
      </c>
      <c r="K1961">
        <f t="shared" si="182"/>
        <v>1</v>
      </c>
      <c r="L1961">
        <f t="shared" si="183"/>
        <v>0</v>
      </c>
      <c r="M1961">
        <f t="shared" si="184"/>
        <v>0</v>
      </c>
      <c r="N1961">
        <f t="shared" si="185"/>
        <v>1</v>
      </c>
    </row>
    <row r="1962" spans="1:14" x14ac:dyDescent="0.35">
      <c r="A1962" t="s">
        <v>1587</v>
      </c>
      <c r="B1962" t="s">
        <v>2727</v>
      </c>
      <c r="C1962" s="7" t="s">
        <v>10</v>
      </c>
      <c r="D1962" t="s">
        <v>51</v>
      </c>
      <c r="E1962" t="s">
        <v>1936</v>
      </c>
      <c r="F1962" t="s">
        <v>1760</v>
      </c>
      <c r="G1962" t="s">
        <v>2728</v>
      </c>
      <c r="H1962" t="s">
        <v>1834</v>
      </c>
      <c r="I1962">
        <f t="shared" si="180"/>
        <v>0</v>
      </c>
      <c r="J1962">
        <f t="shared" si="181"/>
        <v>0</v>
      </c>
      <c r="K1962">
        <f t="shared" si="182"/>
        <v>1</v>
      </c>
      <c r="L1962">
        <f t="shared" si="183"/>
        <v>0</v>
      </c>
      <c r="M1962">
        <f t="shared" si="184"/>
        <v>0</v>
      </c>
      <c r="N1962">
        <f t="shared" si="185"/>
        <v>1</v>
      </c>
    </row>
    <row r="1963" spans="1:14" x14ac:dyDescent="0.35">
      <c r="A1963" t="s">
        <v>837</v>
      </c>
      <c r="B1963" t="s">
        <v>2729</v>
      </c>
      <c r="C1963" s="7" t="s">
        <v>10</v>
      </c>
      <c r="D1963" t="s">
        <v>838</v>
      </c>
      <c r="E1963" t="s">
        <v>1894</v>
      </c>
      <c r="F1963" t="s">
        <v>1754</v>
      </c>
      <c r="I1963">
        <f t="shared" si="180"/>
        <v>0</v>
      </c>
      <c r="J1963">
        <f t="shared" si="181"/>
        <v>0</v>
      </c>
      <c r="K1963">
        <f t="shared" si="182"/>
        <v>0</v>
      </c>
      <c r="L1963">
        <f t="shared" si="183"/>
        <v>1</v>
      </c>
      <c r="M1963">
        <f t="shared" si="184"/>
        <v>0</v>
      </c>
      <c r="N1963">
        <f t="shared" si="185"/>
        <v>0</v>
      </c>
    </row>
    <row r="1964" spans="1:14" x14ac:dyDescent="0.35">
      <c r="A1964" t="s">
        <v>837</v>
      </c>
      <c r="B1964" t="s">
        <v>2729</v>
      </c>
      <c r="C1964" s="7" t="s">
        <v>10</v>
      </c>
      <c r="D1964" t="s">
        <v>838</v>
      </c>
      <c r="E1964" t="s">
        <v>1823</v>
      </c>
      <c r="F1964" t="s">
        <v>1760</v>
      </c>
      <c r="I1964">
        <f t="shared" si="180"/>
        <v>0</v>
      </c>
      <c r="J1964">
        <f t="shared" si="181"/>
        <v>0</v>
      </c>
      <c r="K1964">
        <f t="shared" si="182"/>
        <v>1</v>
      </c>
      <c r="L1964">
        <f t="shared" si="183"/>
        <v>0</v>
      </c>
      <c r="M1964">
        <f t="shared" si="184"/>
        <v>0</v>
      </c>
      <c r="N1964">
        <f t="shared" si="185"/>
        <v>0</v>
      </c>
    </row>
    <row r="1965" spans="1:14" x14ac:dyDescent="0.35">
      <c r="A1965" t="s">
        <v>837</v>
      </c>
      <c r="B1965" t="s">
        <v>2729</v>
      </c>
      <c r="C1965" s="7" t="s">
        <v>10</v>
      </c>
      <c r="D1965" t="s">
        <v>838</v>
      </c>
      <c r="E1965" t="s">
        <v>1896</v>
      </c>
      <c r="F1965" t="s">
        <v>1754</v>
      </c>
      <c r="I1965">
        <f t="shared" si="180"/>
        <v>0</v>
      </c>
      <c r="J1965">
        <f t="shared" si="181"/>
        <v>0</v>
      </c>
      <c r="K1965">
        <f t="shared" si="182"/>
        <v>0</v>
      </c>
      <c r="L1965">
        <f t="shared" si="183"/>
        <v>1</v>
      </c>
      <c r="M1965">
        <f t="shared" si="184"/>
        <v>0</v>
      </c>
      <c r="N1965">
        <f t="shared" si="185"/>
        <v>0</v>
      </c>
    </row>
    <row r="1966" spans="1:14" x14ac:dyDescent="0.35">
      <c r="A1966" t="s">
        <v>1658</v>
      </c>
      <c r="B1966" t="s">
        <v>2730</v>
      </c>
      <c r="C1966" s="7" t="s">
        <v>10</v>
      </c>
      <c r="D1966" t="s">
        <v>51</v>
      </c>
      <c r="E1966" t="s">
        <v>1963</v>
      </c>
      <c r="F1966" t="s">
        <v>1760</v>
      </c>
      <c r="I1966">
        <f t="shared" si="180"/>
        <v>0</v>
      </c>
      <c r="J1966">
        <f t="shared" si="181"/>
        <v>0</v>
      </c>
      <c r="K1966">
        <f t="shared" si="182"/>
        <v>1</v>
      </c>
      <c r="L1966">
        <f t="shared" si="183"/>
        <v>0</v>
      </c>
      <c r="M1966">
        <f t="shared" si="184"/>
        <v>0</v>
      </c>
      <c r="N1966">
        <f t="shared" si="185"/>
        <v>0</v>
      </c>
    </row>
    <row r="1967" spans="1:14" x14ac:dyDescent="0.35">
      <c r="A1967" t="s">
        <v>1658</v>
      </c>
      <c r="B1967" t="s">
        <v>2730</v>
      </c>
      <c r="C1967" s="7" t="s">
        <v>10</v>
      </c>
      <c r="D1967" t="s">
        <v>51</v>
      </c>
      <c r="E1967" t="s">
        <v>1823</v>
      </c>
      <c r="F1967" t="s">
        <v>1760</v>
      </c>
      <c r="I1967">
        <f t="shared" si="180"/>
        <v>0</v>
      </c>
      <c r="J1967">
        <f t="shared" si="181"/>
        <v>0</v>
      </c>
      <c r="K1967">
        <f t="shared" si="182"/>
        <v>1</v>
      </c>
      <c r="L1967">
        <f t="shared" si="183"/>
        <v>0</v>
      </c>
      <c r="M1967">
        <f t="shared" si="184"/>
        <v>0</v>
      </c>
      <c r="N1967">
        <f t="shared" si="185"/>
        <v>0</v>
      </c>
    </row>
    <row r="1968" spans="1:14" x14ac:dyDescent="0.35">
      <c r="A1968" t="s">
        <v>1240</v>
      </c>
      <c r="B1968" t="s">
        <v>2731</v>
      </c>
      <c r="C1968" s="7" t="s">
        <v>10</v>
      </c>
      <c r="D1968" t="s">
        <v>1055</v>
      </c>
      <c r="E1968" t="s">
        <v>1840</v>
      </c>
      <c r="F1968" t="s">
        <v>1760</v>
      </c>
      <c r="G1968" t="s">
        <v>2732</v>
      </c>
      <c r="H1968" t="s">
        <v>2733</v>
      </c>
      <c r="I1968">
        <f t="shared" si="180"/>
        <v>0</v>
      </c>
      <c r="J1968">
        <f t="shared" si="181"/>
        <v>0</v>
      </c>
      <c r="K1968">
        <f t="shared" si="182"/>
        <v>1</v>
      </c>
      <c r="L1968">
        <f t="shared" si="183"/>
        <v>0</v>
      </c>
      <c r="M1968">
        <f t="shared" si="184"/>
        <v>0</v>
      </c>
      <c r="N1968">
        <f t="shared" si="185"/>
        <v>1</v>
      </c>
    </row>
    <row r="1969" spans="1:14" x14ac:dyDescent="0.35">
      <c r="A1969" t="s">
        <v>1240</v>
      </c>
      <c r="B1969" t="s">
        <v>2731</v>
      </c>
      <c r="C1969" s="7" t="s">
        <v>10</v>
      </c>
      <c r="D1969" t="s">
        <v>1055</v>
      </c>
      <c r="E1969" t="s">
        <v>1821</v>
      </c>
      <c r="F1969" t="s">
        <v>1760</v>
      </c>
      <c r="G1969" t="s">
        <v>2732</v>
      </c>
      <c r="H1969" t="s">
        <v>2733</v>
      </c>
      <c r="I1969">
        <f t="shared" si="180"/>
        <v>0</v>
      </c>
      <c r="J1969">
        <f t="shared" si="181"/>
        <v>0</v>
      </c>
      <c r="K1969">
        <f t="shared" si="182"/>
        <v>1</v>
      </c>
      <c r="L1969">
        <f t="shared" si="183"/>
        <v>0</v>
      </c>
      <c r="M1969">
        <f t="shared" si="184"/>
        <v>0</v>
      </c>
      <c r="N1969">
        <f t="shared" si="185"/>
        <v>1</v>
      </c>
    </row>
    <row r="1970" spans="1:14" x14ac:dyDescent="0.35">
      <c r="A1970" t="s">
        <v>1240</v>
      </c>
      <c r="B1970" t="s">
        <v>2731</v>
      </c>
      <c r="C1970" s="7" t="s">
        <v>10</v>
      </c>
      <c r="D1970" t="s">
        <v>1055</v>
      </c>
      <c r="E1970" t="s">
        <v>1822</v>
      </c>
      <c r="F1970" t="s">
        <v>1760</v>
      </c>
      <c r="G1970" t="s">
        <v>2732</v>
      </c>
      <c r="H1970" t="s">
        <v>2733</v>
      </c>
      <c r="I1970">
        <f t="shared" si="180"/>
        <v>0</v>
      </c>
      <c r="J1970">
        <f t="shared" si="181"/>
        <v>0</v>
      </c>
      <c r="K1970">
        <f t="shared" si="182"/>
        <v>1</v>
      </c>
      <c r="L1970">
        <f t="shared" si="183"/>
        <v>0</v>
      </c>
      <c r="M1970">
        <f t="shared" si="184"/>
        <v>0</v>
      </c>
      <c r="N1970">
        <f t="shared" si="185"/>
        <v>1</v>
      </c>
    </row>
    <row r="1971" spans="1:14" x14ac:dyDescent="0.35">
      <c r="A1971" t="s">
        <v>1240</v>
      </c>
      <c r="B1971" t="s">
        <v>2731</v>
      </c>
      <c r="C1971" s="7" t="s">
        <v>10</v>
      </c>
      <c r="D1971" t="s">
        <v>1055</v>
      </c>
      <c r="E1971" t="s">
        <v>1840</v>
      </c>
      <c r="F1971" t="s">
        <v>1760</v>
      </c>
      <c r="G1971" t="s">
        <v>2732</v>
      </c>
      <c r="H1971" t="s">
        <v>2733</v>
      </c>
      <c r="I1971">
        <f t="shared" si="180"/>
        <v>0</v>
      </c>
      <c r="J1971">
        <f t="shared" si="181"/>
        <v>0</v>
      </c>
      <c r="K1971">
        <f t="shared" si="182"/>
        <v>1</v>
      </c>
      <c r="L1971">
        <f t="shared" si="183"/>
        <v>0</v>
      </c>
      <c r="M1971">
        <f t="shared" si="184"/>
        <v>0</v>
      </c>
      <c r="N1971">
        <f t="shared" si="185"/>
        <v>1</v>
      </c>
    </row>
    <row r="1972" spans="1:14" x14ac:dyDescent="0.35">
      <c r="A1972" t="s">
        <v>282</v>
      </c>
      <c r="B1972" t="s">
        <v>2734</v>
      </c>
      <c r="C1972" s="7" t="s">
        <v>10</v>
      </c>
      <c r="D1972" t="s">
        <v>55</v>
      </c>
      <c r="E1972" t="s">
        <v>1944</v>
      </c>
      <c r="F1972" t="s">
        <v>1754</v>
      </c>
      <c r="I1972">
        <f t="shared" si="180"/>
        <v>0</v>
      </c>
      <c r="J1972">
        <f t="shared" si="181"/>
        <v>0</v>
      </c>
      <c r="K1972">
        <f t="shared" si="182"/>
        <v>0</v>
      </c>
      <c r="L1972">
        <f t="shared" si="183"/>
        <v>1</v>
      </c>
      <c r="M1972">
        <f t="shared" si="184"/>
        <v>0</v>
      </c>
      <c r="N1972">
        <f t="shared" si="185"/>
        <v>0</v>
      </c>
    </row>
    <row r="1973" spans="1:14" x14ac:dyDescent="0.35">
      <c r="A1973" t="s">
        <v>282</v>
      </c>
      <c r="B1973" t="s">
        <v>2734</v>
      </c>
      <c r="C1973" s="7" t="s">
        <v>10</v>
      </c>
      <c r="D1973" t="s">
        <v>55</v>
      </c>
      <c r="E1973" t="s">
        <v>1945</v>
      </c>
      <c r="F1973" t="s">
        <v>1754</v>
      </c>
      <c r="I1973">
        <f t="shared" si="180"/>
        <v>0</v>
      </c>
      <c r="J1973">
        <f t="shared" si="181"/>
        <v>0</v>
      </c>
      <c r="K1973">
        <f t="shared" si="182"/>
        <v>0</v>
      </c>
      <c r="L1973">
        <f t="shared" si="183"/>
        <v>1</v>
      </c>
      <c r="M1973">
        <f t="shared" si="184"/>
        <v>0</v>
      </c>
      <c r="N1973">
        <f t="shared" si="185"/>
        <v>0</v>
      </c>
    </row>
    <row r="1974" spans="1:14" x14ac:dyDescent="0.35">
      <c r="A1974" t="s">
        <v>282</v>
      </c>
      <c r="B1974" t="s">
        <v>2734</v>
      </c>
      <c r="C1974" s="7" t="s">
        <v>10</v>
      </c>
      <c r="D1974" t="s">
        <v>55</v>
      </c>
      <c r="E1974" t="s">
        <v>2053</v>
      </c>
      <c r="F1974" t="s">
        <v>1805</v>
      </c>
      <c r="I1974">
        <f t="shared" si="180"/>
        <v>0</v>
      </c>
      <c r="J1974">
        <f t="shared" si="181"/>
        <v>1</v>
      </c>
      <c r="K1974">
        <f t="shared" si="182"/>
        <v>0</v>
      </c>
      <c r="L1974">
        <f t="shared" si="183"/>
        <v>0</v>
      </c>
      <c r="M1974">
        <f t="shared" si="184"/>
        <v>0</v>
      </c>
      <c r="N1974">
        <f t="shared" si="185"/>
        <v>0</v>
      </c>
    </row>
    <row r="1975" spans="1:14" x14ac:dyDescent="0.35">
      <c r="A1975" t="s">
        <v>1460</v>
      </c>
      <c r="B1975" t="s">
        <v>2735</v>
      </c>
      <c r="C1975" s="7" t="s">
        <v>10</v>
      </c>
      <c r="D1975" t="s">
        <v>111</v>
      </c>
      <c r="E1975" t="s">
        <v>1905</v>
      </c>
      <c r="F1975" t="s">
        <v>1760</v>
      </c>
      <c r="I1975">
        <f t="shared" si="180"/>
        <v>0</v>
      </c>
      <c r="J1975">
        <f t="shared" si="181"/>
        <v>0</v>
      </c>
      <c r="K1975">
        <f t="shared" si="182"/>
        <v>1</v>
      </c>
      <c r="L1975">
        <f t="shared" si="183"/>
        <v>0</v>
      </c>
      <c r="M1975">
        <f t="shared" si="184"/>
        <v>0</v>
      </c>
      <c r="N1975">
        <f t="shared" si="185"/>
        <v>0</v>
      </c>
    </row>
    <row r="1976" spans="1:14" x14ac:dyDescent="0.35">
      <c r="A1976" t="s">
        <v>1460</v>
      </c>
      <c r="B1976" t="s">
        <v>2735</v>
      </c>
      <c r="C1976" s="7" t="s">
        <v>10</v>
      </c>
      <c r="D1976" t="s">
        <v>111</v>
      </c>
      <c r="E1976" t="s">
        <v>1904</v>
      </c>
      <c r="F1976" t="s">
        <v>1760</v>
      </c>
      <c r="I1976">
        <f t="shared" si="180"/>
        <v>0</v>
      </c>
      <c r="J1976">
        <f t="shared" si="181"/>
        <v>0</v>
      </c>
      <c r="K1976">
        <f t="shared" si="182"/>
        <v>1</v>
      </c>
      <c r="L1976">
        <f t="shared" si="183"/>
        <v>0</v>
      </c>
      <c r="M1976">
        <f t="shared" si="184"/>
        <v>0</v>
      </c>
      <c r="N1976">
        <f t="shared" si="185"/>
        <v>0</v>
      </c>
    </row>
    <row r="1977" spans="1:14" x14ac:dyDescent="0.35">
      <c r="A1977" t="s">
        <v>887</v>
      </c>
      <c r="B1977" t="s">
        <v>2736</v>
      </c>
      <c r="C1977" s="7" t="s">
        <v>10</v>
      </c>
      <c r="D1977" t="s">
        <v>55</v>
      </c>
      <c r="E1977" t="s">
        <v>1889</v>
      </c>
      <c r="F1977" t="s">
        <v>1754</v>
      </c>
      <c r="I1977">
        <f t="shared" si="180"/>
        <v>0</v>
      </c>
      <c r="J1977">
        <f t="shared" si="181"/>
        <v>0</v>
      </c>
      <c r="K1977">
        <f t="shared" si="182"/>
        <v>0</v>
      </c>
      <c r="L1977">
        <f t="shared" si="183"/>
        <v>1</v>
      </c>
      <c r="M1977">
        <f t="shared" si="184"/>
        <v>0</v>
      </c>
      <c r="N1977">
        <f t="shared" si="185"/>
        <v>0</v>
      </c>
    </row>
    <row r="1978" spans="1:14" x14ac:dyDescent="0.35">
      <c r="A1978" t="s">
        <v>887</v>
      </c>
      <c r="B1978" t="s">
        <v>2736</v>
      </c>
      <c r="C1978" s="7" t="s">
        <v>10</v>
      </c>
      <c r="D1978" t="s">
        <v>55</v>
      </c>
      <c r="E1978" t="s">
        <v>1888</v>
      </c>
      <c r="F1978" t="s">
        <v>1754</v>
      </c>
      <c r="I1978">
        <f t="shared" si="180"/>
        <v>0</v>
      </c>
      <c r="J1978">
        <f t="shared" si="181"/>
        <v>0</v>
      </c>
      <c r="K1978">
        <f t="shared" si="182"/>
        <v>0</v>
      </c>
      <c r="L1978">
        <f t="shared" si="183"/>
        <v>1</v>
      </c>
      <c r="M1978">
        <f t="shared" si="184"/>
        <v>0</v>
      </c>
      <c r="N1978">
        <f t="shared" si="185"/>
        <v>0</v>
      </c>
    </row>
    <row r="1979" spans="1:14" x14ac:dyDescent="0.35">
      <c r="A1979" t="s">
        <v>1287</v>
      </c>
      <c r="B1979" t="s">
        <v>2737</v>
      </c>
      <c r="C1979" s="7" t="s">
        <v>10</v>
      </c>
      <c r="D1979" t="s">
        <v>74</v>
      </c>
      <c r="E1979" t="s">
        <v>1816</v>
      </c>
      <c r="F1979" t="s">
        <v>1760</v>
      </c>
      <c r="I1979">
        <f t="shared" si="180"/>
        <v>0</v>
      </c>
      <c r="J1979">
        <f t="shared" si="181"/>
        <v>0</v>
      </c>
      <c r="K1979">
        <f t="shared" si="182"/>
        <v>1</v>
      </c>
      <c r="L1979">
        <f t="shared" si="183"/>
        <v>0</v>
      </c>
      <c r="M1979">
        <f t="shared" si="184"/>
        <v>0</v>
      </c>
      <c r="N1979">
        <f t="shared" si="185"/>
        <v>0</v>
      </c>
    </row>
    <row r="1980" spans="1:14" x14ac:dyDescent="0.35">
      <c r="A1980" t="s">
        <v>1287</v>
      </c>
      <c r="B1980" t="s">
        <v>2737</v>
      </c>
      <c r="C1980" s="7" t="s">
        <v>10</v>
      </c>
      <c r="D1980" t="s">
        <v>74</v>
      </c>
      <c r="E1980" t="s">
        <v>1813</v>
      </c>
      <c r="F1980" t="s">
        <v>1760</v>
      </c>
      <c r="I1980">
        <f t="shared" si="180"/>
        <v>0</v>
      </c>
      <c r="J1980">
        <f t="shared" si="181"/>
        <v>0</v>
      </c>
      <c r="K1980">
        <f t="shared" si="182"/>
        <v>1</v>
      </c>
      <c r="L1980">
        <f t="shared" si="183"/>
        <v>0</v>
      </c>
      <c r="M1980">
        <f t="shared" si="184"/>
        <v>0</v>
      </c>
      <c r="N1980">
        <f t="shared" si="185"/>
        <v>0</v>
      </c>
    </row>
    <row r="1981" spans="1:14" x14ac:dyDescent="0.35">
      <c r="A1981" t="s">
        <v>1287</v>
      </c>
      <c r="B1981" t="s">
        <v>2737</v>
      </c>
      <c r="C1981" s="7" t="s">
        <v>10</v>
      </c>
      <c r="D1981" t="s">
        <v>74</v>
      </c>
      <c r="E1981" t="s">
        <v>1818</v>
      </c>
      <c r="F1981" t="s">
        <v>1760</v>
      </c>
      <c r="I1981">
        <f t="shared" si="180"/>
        <v>0</v>
      </c>
      <c r="J1981">
        <f t="shared" si="181"/>
        <v>0</v>
      </c>
      <c r="K1981">
        <f t="shared" si="182"/>
        <v>1</v>
      </c>
      <c r="L1981">
        <f t="shared" si="183"/>
        <v>0</v>
      </c>
      <c r="M1981">
        <f t="shared" si="184"/>
        <v>0</v>
      </c>
      <c r="N1981">
        <f t="shared" si="185"/>
        <v>0</v>
      </c>
    </row>
    <row r="1982" spans="1:14" x14ac:dyDescent="0.35">
      <c r="A1982" t="s">
        <v>1287</v>
      </c>
      <c r="B1982" t="s">
        <v>2737</v>
      </c>
      <c r="C1982" s="7" t="s">
        <v>10</v>
      </c>
      <c r="D1982" t="s">
        <v>74</v>
      </c>
      <c r="E1982" t="s">
        <v>1819</v>
      </c>
      <c r="F1982" t="s">
        <v>1760</v>
      </c>
      <c r="I1982">
        <f t="shared" si="180"/>
        <v>0</v>
      </c>
      <c r="J1982">
        <f t="shared" si="181"/>
        <v>0</v>
      </c>
      <c r="K1982">
        <f t="shared" si="182"/>
        <v>1</v>
      </c>
      <c r="L1982">
        <f t="shared" si="183"/>
        <v>0</v>
      </c>
      <c r="M1982">
        <f t="shared" si="184"/>
        <v>0</v>
      </c>
      <c r="N1982">
        <f t="shared" si="185"/>
        <v>0</v>
      </c>
    </row>
    <row r="1983" spans="1:14" x14ac:dyDescent="0.35">
      <c r="A1983" t="s">
        <v>1287</v>
      </c>
      <c r="B1983" t="s">
        <v>2737</v>
      </c>
      <c r="C1983" s="7" t="s">
        <v>10</v>
      </c>
      <c r="D1983" t="s">
        <v>74</v>
      </c>
      <c r="E1983" t="s">
        <v>1814</v>
      </c>
      <c r="F1983" t="s">
        <v>1760</v>
      </c>
      <c r="I1983">
        <f t="shared" si="180"/>
        <v>0</v>
      </c>
      <c r="J1983">
        <f t="shared" si="181"/>
        <v>0</v>
      </c>
      <c r="K1983">
        <f t="shared" si="182"/>
        <v>1</v>
      </c>
      <c r="L1983">
        <f t="shared" si="183"/>
        <v>0</v>
      </c>
      <c r="M1983">
        <f t="shared" si="184"/>
        <v>0</v>
      </c>
      <c r="N1983">
        <f t="shared" si="185"/>
        <v>0</v>
      </c>
    </row>
    <row r="1984" spans="1:14" x14ac:dyDescent="0.35">
      <c r="A1984" t="s">
        <v>1618</v>
      </c>
      <c r="B1984" t="s">
        <v>2738</v>
      </c>
      <c r="C1984" s="7" t="s">
        <v>10</v>
      </c>
      <c r="D1984" t="s">
        <v>55</v>
      </c>
      <c r="E1984" t="s">
        <v>1806</v>
      </c>
      <c r="F1984" t="s">
        <v>1754</v>
      </c>
      <c r="I1984">
        <f t="shared" si="180"/>
        <v>0</v>
      </c>
      <c r="J1984">
        <f t="shared" si="181"/>
        <v>0</v>
      </c>
      <c r="K1984">
        <f t="shared" si="182"/>
        <v>0</v>
      </c>
      <c r="L1984">
        <f t="shared" si="183"/>
        <v>1</v>
      </c>
      <c r="M1984">
        <f t="shared" si="184"/>
        <v>0</v>
      </c>
      <c r="N1984">
        <f t="shared" si="185"/>
        <v>0</v>
      </c>
    </row>
    <row r="1985" spans="1:14" x14ac:dyDescent="0.35">
      <c r="A1985" t="s">
        <v>1618</v>
      </c>
      <c r="B1985" t="s">
        <v>2738</v>
      </c>
      <c r="C1985" s="7" t="s">
        <v>10</v>
      </c>
      <c r="D1985" t="s">
        <v>55</v>
      </c>
      <c r="E1985" t="s">
        <v>1807</v>
      </c>
      <c r="F1985" t="s">
        <v>1754</v>
      </c>
      <c r="I1985">
        <f t="shared" si="180"/>
        <v>0</v>
      </c>
      <c r="J1985">
        <f t="shared" si="181"/>
        <v>0</v>
      </c>
      <c r="K1985">
        <f t="shared" si="182"/>
        <v>0</v>
      </c>
      <c r="L1985">
        <f t="shared" si="183"/>
        <v>1</v>
      </c>
      <c r="M1985">
        <f t="shared" si="184"/>
        <v>0</v>
      </c>
      <c r="N1985">
        <f t="shared" si="185"/>
        <v>0</v>
      </c>
    </row>
    <row r="1986" spans="1:14" x14ac:dyDescent="0.35">
      <c r="A1986" t="s">
        <v>1382</v>
      </c>
      <c r="B1986" t="s">
        <v>2739</v>
      </c>
      <c r="C1986" s="7" t="s">
        <v>10</v>
      </c>
      <c r="D1986" t="s">
        <v>907</v>
      </c>
      <c r="E1986" t="s">
        <v>1832</v>
      </c>
      <c r="F1986" t="s">
        <v>1754</v>
      </c>
      <c r="I1986">
        <f t="shared" si="180"/>
        <v>0</v>
      </c>
      <c r="J1986">
        <f t="shared" si="181"/>
        <v>0</v>
      </c>
      <c r="K1986">
        <f t="shared" si="182"/>
        <v>0</v>
      </c>
      <c r="L1986">
        <f t="shared" si="183"/>
        <v>1</v>
      </c>
      <c r="M1986">
        <f t="shared" si="184"/>
        <v>0</v>
      </c>
      <c r="N1986">
        <f t="shared" si="185"/>
        <v>0</v>
      </c>
    </row>
    <row r="1987" spans="1:14" x14ac:dyDescent="0.35">
      <c r="A1987" t="s">
        <v>1382</v>
      </c>
      <c r="B1987" t="s">
        <v>2739</v>
      </c>
      <c r="C1987" s="7" t="s">
        <v>10</v>
      </c>
      <c r="D1987" t="s">
        <v>907</v>
      </c>
      <c r="E1987" t="s">
        <v>1836</v>
      </c>
      <c r="F1987" t="s">
        <v>1754</v>
      </c>
      <c r="I1987">
        <f t="shared" ref="I1987:I2050" si="186">IF($F1987=$F$1,1,0)</f>
        <v>0</v>
      </c>
      <c r="J1987">
        <f t="shared" ref="J1987:J2050" si="187">IF($F1987=$J$1,1,0)</f>
        <v>0</v>
      </c>
      <c r="K1987">
        <f t="shared" ref="K1987:K2050" si="188">IF($F1987=$K$1,1,0)</f>
        <v>0</v>
      </c>
      <c r="L1987">
        <f t="shared" ref="L1987:L2050" si="189">IF($F1987=$L$1,1,0)</f>
        <v>1</v>
      </c>
      <c r="M1987">
        <f t="shared" ref="M1987:M2050" si="190">IF($F1987=$M$1,1,0)</f>
        <v>0</v>
      </c>
      <c r="N1987">
        <f t="shared" ref="N1987:N2050" si="191">IF($G1987&lt;&gt;"",1,0)</f>
        <v>0</v>
      </c>
    </row>
    <row r="1988" spans="1:14" x14ac:dyDescent="0.35">
      <c r="A1988" t="s">
        <v>223</v>
      </c>
      <c r="B1988" t="s">
        <v>2740</v>
      </c>
      <c r="C1988" s="7" t="s">
        <v>10</v>
      </c>
      <c r="D1988" t="s">
        <v>92</v>
      </c>
      <c r="E1988" t="s">
        <v>1885</v>
      </c>
      <c r="F1988" t="s">
        <v>1886</v>
      </c>
      <c r="G1988" t="s">
        <v>2741</v>
      </c>
      <c r="H1988" t="s">
        <v>2742</v>
      </c>
      <c r="I1988">
        <f t="shared" si="186"/>
        <v>0</v>
      </c>
      <c r="J1988">
        <f t="shared" si="187"/>
        <v>0</v>
      </c>
      <c r="K1988">
        <f t="shared" si="188"/>
        <v>0</v>
      </c>
      <c r="L1988">
        <f t="shared" si="189"/>
        <v>0</v>
      </c>
      <c r="M1988">
        <f t="shared" si="190"/>
        <v>0</v>
      </c>
      <c r="N1988">
        <f t="shared" si="191"/>
        <v>1</v>
      </c>
    </row>
    <row r="1989" spans="1:14" x14ac:dyDescent="0.35">
      <c r="A1989" t="s">
        <v>223</v>
      </c>
      <c r="B1989" t="s">
        <v>2740</v>
      </c>
      <c r="C1989" s="7" t="s">
        <v>10</v>
      </c>
      <c r="D1989" t="s">
        <v>92</v>
      </c>
      <c r="E1989" t="s">
        <v>1988</v>
      </c>
      <c r="F1989" t="s">
        <v>1805</v>
      </c>
      <c r="G1989" t="s">
        <v>2741</v>
      </c>
      <c r="H1989" t="s">
        <v>2742</v>
      </c>
      <c r="I1989">
        <f t="shared" si="186"/>
        <v>0</v>
      </c>
      <c r="J1989">
        <f t="shared" si="187"/>
        <v>1</v>
      </c>
      <c r="K1989">
        <f t="shared" si="188"/>
        <v>0</v>
      </c>
      <c r="L1989">
        <f t="shared" si="189"/>
        <v>0</v>
      </c>
      <c r="M1989">
        <f t="shared" si="190"/>
        <v>0</v>
      </c>
      <c r="N1989">
        <f t="shared" si="191"/>
        <v>1</v>
      </c>
    </row>
    <row r="1990" spans="1:14" x14ac:dyDescent="0.35">
      <c r="A1990" t="s">
        <v>223</v>
      </c>
      <c r="B1990" t="s">
        <v>2740</v>
      </c>
      <c r="C1990" s="7" t="s">
        <v>10</v>
      </c>
      <c r="D1990" t="s">
        <v>92</v>
      </c>
      <c r="E1990" t="s">
        <v>2235</v>
      </c>
      <c r="F1990" t="s">
        <v>1886</v>
      </c>
      <c r="G1990" t="s">
        <v>2741</v>
      </c>
      <c r="H1990" t="s">
        <v>2742</v>
      </c>
      <c r="I1990">
        <f t="shared" si="186"/>
        <v>0</v>
      </c>
      <c r="J1990">
        <f t="shared" si="187"/>
        <v>0</v>
      </c>
      <c r="K1990">
        <f t="shared" si="188"/>
        <v>0</v>
      </c>
      <c r="L1990">
        <f t="shared" si="189"/>
        <v>0</v>
      </c>
      <c r="M1990">
        <f t="shared" si="190"/>
        <v>0</v>
      </c>
      <c r="N1990">
        <f t="shared" si="191"/>
        <v>1</v>
      </c>
    </row>
    <row r="1991" spans="1:14" x14ac:dyDescent="0.35">
      <c r="A1991" t="s">
        <v>223</v>
      </c>
      <c r="B1991" t="s">
        <v>2740</v>
      </c>
      <c r="C1991" s="7" t="s">
        <v>6</v>
      </c>
      <c r="D1991" t="s">
        <v>92</v>
      </c>
      <c r="E1991" t="s">
        <v>1910</v>
      </c>
      <c r="F1991" t="s">
        <v>1754</v>
      </c>
      <c r="G1991" t="s">
        <v>2741</v>
      </c>
      <c r="H1991" t="s">
        <v>2742</v>
      </c>
      <c r="I1991">
        <f t="shared" si="186"/>
        <v>0</v>
      </c>
      <c r="J1991">
        <f t="shared" si="187"/>
        <v>0</v>
      </c>
      <c r="K1991">
        <f t="shared" si="188"/>
        <v>0</v>
      </c>
      <c r="L1991">
        <f t="shared" si="189"/>
        <v>1</v>
      </c>
      <c r="M1991">
        <f t="shared" si="190"/>
        <v>0</v>
      </c>
      <c r="N1991">
        <f t="shared" si="191"/>
        <v>1</v>
      </c>
    </row>
    <row r="1992" spans="1:14" x14ac:dyDescent="0.35">
      <c r="A1992" t="s">
        <v>223</v>
      </c>
      <c r="B1992" t="s">
        <v>2740</v>
      </c>
      <c r="C1992" s="7" t="s">
        <v>6</v>
      </c>
      <c r="D1992" t="s">
        <v>92</v>
      </c>
      <c r="E1992" t="s">
        <v>1944</v>
      </c>
      <c r="F1992" t="s">
        <v>1754</v>
      </c>
      <c r="G1992" t="s">
        <v>2741</v>
      </c>
      <c r="H1992" t="s">
        <v>2742</v>
      </c>
      <c r="I1992">
        <f t="shared" si="186"/>
        <v>0</v>
      </c>
      <c r="J1992">
        <f t="shared" si="187"/>
        <v>0</v>
      </c>
      <c r="K1992">
        <f t="shared" si="188"/>
        <v>0</v>
      </c>
      <c r="L1992">
        <f t="shared" si="189"/>
        <v>1</v>
      </c>
      <c r="M1992">
        <f t="shared" si="190"/>
        <v>0</v>
      </c>
      <c r="N1992">
        <f t="shared" si="191"/>
        <v>1</v>
      </c>
    </row>
    <row r="1993" spans="1:14" x14ac:dyDescent="0.35">
      <c r="A1993" t="s">
        <v>223</v>
      </c>
      <c r="B1993" t="s">
        <v>2740</v>
      </c>
      <c r="C1993" s="7" t="s">
        <v>6</v>
      </c>
      <c r="D1993" t="s">
        <v>92</v>
      </c>
      <c r="E1993" t="s">
        <v>1911</v>
      </c>
      <c r="F1993" t="s">
        <v>1754</v>
      </c>
      <c r="G1993" t="s">
        <v>2741</v>
      </c>
      <c r="H1993" t="s">
        <v>2742</v>
      </c>
      <c r="I1993">
        <f t="shared" si="186"/>
        <v>0</v>
      </c>
      <c r="J1993">
        <f t="shared" si="187"/>
        <v>0</v>
      </c>
      <c r="K1993">
        <f t="shared" si="188"/>
        <v>0</v>
      </c>
      <c r="L1993">
        <f t="shared" si="189"/>
        <v>1</v>
      </c>
      <c r="M1993">
        <f t="shared" si="190"/>
        <v>0</v>
      </c>
      <c r="N1993">
        <f t="shared" si="191"/>
        <v>1</v>
      </c>
    </row>
    <row r="1994" spans="1:14" x14ac:dyDescent="0.35">
      <c r="A1994" t="s">
        <v>1062</v>
      </c>
      <c r="B1994" t="s">
        <v>2743</v>
      </c>
      <c r="C1994" s="7" t="s">
        <v>6</v>
      </c>
      <c r="D1994" t="s">
        <v>305</v>
      </c>
      <c r="E1994" t="s">
        <v>2174</v>
      </c>
      <c r="F1994" t="s">
        <v>1805</v>
      </c>
      <c r="I1994">
        <f t="shared" si="186"/>
        <v>0</v>
      </c>
      <c r="J1994">
        <f t="shared" si="187"/>
        <v>1</v>
      </c>
      <c r="K1994">
        <f t="shared" si="188"/>
        <v>0</v>
      </c>
      <c r="L1994">
        <f t="shared" si="189"/>
        <v>0</v>
      </c>
      <c r="M1994">
        <f t="shared" si="190"/>
        <v>0</v>
      </c>
      <c r="N1994">
        <f t="shared" si="191"/>
        <v>0</v>
      </c>
    </row>
    <row r="1995" spans="1:14" x14ac:dyDescent="0.35">
      <c r="A1995" t="s">
        <v>1062</v>
      </c>
      <c r="B1995" t="s">
        <v>2743</v>
      </c>
      <c r="C1995" s="7" t="s">
        <v>6</v>
      </c>
      <c r="D1995" t="s">
        <v>305</v>
      </c>
      <c r="E1995" t="s">
        <v>2053</v>
      </c>
      <c r="F1995" t="s">
        <v>1805</v>
      </c>
      <c r="I1995">
        <f t="shared" si="186"/>
        <v>0</v>
      </c>
      <c r="J1995">
        <f t="shared" si="187"/>
        <v>1</v>
      </c>
      <c r="K1995">
        <f t="shared" si="188"/>
        <v>0</v>
      </c>
      <c r="L1995">
        <f t="shared" si="189"/>
        <v>0</v>
      </c>
      <c r="M1995">
        <f t="shared" si="190"/>
        <v>0</v>
      </c>
      <c r="N1995">
        <f t="shared" si="191"/>
        <v>0</v>
      </c>
    </row>
    <row r="1996" spans="1:14" x14ac:dyDescent="0.35">
      <c r="A1996" t="s">
        <v>1062</v>
      </c>
      <c r="B1996" t="s">
        <v>2743</v>
      </c>
      <c r="C1996" s="7" t="s">
        <v>6</v>
      </c>
      <c r="D1996" t="s">
        <v>305</v>
      </c>
      <c r="E1996" t="s">
        <v>1825</v>
      </c>
      <c r="F1996" t="s">
        <v>1754</v>
      </c>
      <c r="I1996">
        <f t="shared" si="186"/>
        <v>0</v>
      </c>
      <c r="J1996">
        <f t="shared" si="187"/>
        <v>0</v>
      </c>
      <c r="K1996">
        <f t="shared" si="188"/>
        <v>0</v>
      </c>
      <c r="L1996">
        <f t="shared" si="189"/>
        <v>1</v>
      </c>
      <c r="M1996">
        <f t="shared" si="190"/>
        <v>0</v>
      </c>
      <c r="N1996">
        <f t="shared" si="191"/>
        <v>0</v>
      </c>
    </row>
    <row r="1997" spans="1:14" x14ac:dyDescent="0.35">
      <c r="A1997" t="s">
        <v>1062</v>
      </c>
      <c r="B1997" t="s">
        <v>2743</v>
      </c>
      <c r="C1997" s="7" t="s">
        <v>6</v>
      </c>
      <c r="D1997" t="s">
        <v>305</v>
      </c>
      <c r="E1997" t="s">
        <v>1826</v>
      </c>
      <c r="F1997" t="s">
        <v>1754</v>
      </c>
      <c r="I1997">
        <f t="shared" si="186"/>
        <v>0</v>
      </c>
      <c r="J1997">
        <f t="shared" si="187"/>
        <v>0</v>
      </c>
      <c r="K1997">
        <f t="shared" si="188"/>
        <v>0</v>
      </c>
      <c r="L1997">
        <f t="shared" si="189"/>
        <v>1</v>
      </c>
      <c r="M1997">
        <f t="shared" si="190"/>
        <v>0</v>
      </c>
      <c r="N1997">
        <f t="shared" si="191"/>
        <v>0</v>
      </c>
    </row>
    <row r="1998" spans="1:14" x14ac:dyDescent="0.35">
      <c r="A1998" t="s">
        <v>863</v>
      </c>
      <c r="B1998" t="s">
        <v>2744</v>
      </c>
      <c r="C1998" s="7" t="s">
        <v>6</v>
      </c>
      <c r="D1998" t="s">
        <v>92</v>
      </c>
      <c r="E1998" t="s">
        <v>1889</v>
      </c>
      <c r="F1998" t="s">
        <v>1754</v>
      </c>
      <c r="I1998">
        <f t="shared" si="186"/>
        <v>0</v>
      </c>
      <c r="J1998">
        <f t="shared" si="187"/>
        <v>0</v>
      </c>
      <c r="K1998">
        <f t="shared" si="188"/>
        <v>0</v>
      </c>
      <c r="L1998">
        <f t="shared" si="189"/>
        <v>1</v>
      </c>
      <c r="M1998">
        <f t="shared" si="190"/>
        <v>0</v>
      </c>
      <c r="N1998">
        <f t="shared" si="191"/>
        <v>0</v>
      </c>
    </row>
    <row r="1999" spans="1:14" x14ac:dyDescent="0.35">
      <c r="A1999" t="s">
        <v>863</v>
      </c>
      <c r="B1999" t="s">
        <v>2744</v>
      </c>
      <c r="C1999" s="7" t="s">
        <v>6</v>
      </c>
      <c r="D1999" t="s">
        <v>92</v>
      </c>
      <c r="E1999" t="s">
        <v>1968</v>
      </c>
      <c r="F1999" t="s">
        <v>1760</v>
      </c>
      <c r="I1999">
        <f t="shared" si="186"/>
        <v>0</v>
      </c>
      <c r="J1999">
        <f t="shared" si="187"/>
        <v>0</v>
      </c>
      <c r="K1999">
        <f t="shared" si="188"/>
        <v>1</v>
      </c>
      <c r="L1999">
        <f t="shared" si="189"/>
        <v>0</v>
      </c>
      <c r="M1999">
        <f t="shared" si="190"/>
        <v>0</v>
      </c>
      <c r="N1999">
        <f t="shared" si="191"/>
        <v>0</v>
      </c>
    </row>
    <row r="2000" spans="1:14" x14ac:dyDescent="0.35">
      <c r="A2000" t="s">
        <v>863</v>
      </c>
      <c r="B2000" t="s">
        <v>2744</v>
      </c>
      <c r="C2000" s="7" t="s">
        <v>6</v>
      </c>
      <c r="D2000" t="s">
        <v>92</v>
      </c>
      <c r="E2000" t="s">
        <v>2333</v>
      </c>
      <c r="F2000" t="s">
        <v>1760</v>
      </c>
      <c r="I2000">
        <f t="shared" si="186"/>
        <v>0</v>
      </c>
      <c r="J2000">
        <f t="shared" si="187"/>
        <v>0</v>
      </c>
      <c r="K2000">
        <f t="shared" si="188"/>
        <v>1</v>
      </c>
      <c r="L2000">
        <f t="shared" si="189"/>
        <v>0</v>
      </c>
      <c r="M2000">
        <f t="shared" si="190"/>
        <v>0</v>
      </c>
      <c r="N2000">
        <f t="shared" si="191"/>
        <v>0</v>
      </c>
    </row>
    <row r="2001" spans="1:14" x14ac:dyDescent="0.35">
      <c r="A2001" t="s">
        <v>863</v>
      </c>
      <c r="B2001" t="s">
        <v>2744</v>
      </c>
      <c r="C2001" s="7" t="s">
        <v>6</v>
      </c>
      <c r="D2001" t="s">
        <v>92</v>
      </c>
      <c r="E2001" t="s">
        <v>1888</v>
      </c>
      <c r="F2001" t="s">
        <v>1754</v>
      </c>
      <c r="I2001">
        <f t="shared" si="186"/>
        <v>0</v>
      </c>
      <c r="J2001">
        <f t="shared" si="187"/>
        <v>0</v>
      </c>
      <c r="K2001">
        <f t="shared" si="188"/>
        <v>0</v>
      </c>
      <c r="L2001">
        <f t="shared" si="189"/>
        <v>1</v>
      </c>
      <c r="M2001">
        <f t="shared" si="190"/>
        <v>0</v>
      </c>
      <c r="N2001">
        <f t="shared" si="191"/>
        <v>0</v>
      </c>
    </row>
    <row r="2002" spans="1:14" x14ac:dyDescent="0.35">
      <c r="A2002" t="s">
        <v>511</v>
      </c>
      <c r="B2002" t="s">
        <v>2745</v>
      </c>
      <c r="C2002" s="7" t="s">
        <v>6</v>
      </c>
      <c r="D2002" t="s">
        <v>51</v>
      </c>
      <c r="E2002" t="s">
        <v>2448</v>
      </c>
      <c r="F2002" t="s">
        <v>1805</v>
      </c>
      <c r="I2002">
        <f t="shared" si="186"/>
        <v>0</v>
      </c>
      <c r="J2002">
        <f t="shared" si="187"/>
        <v>1</v>
      </c>
      <c r="K2002">
        <f t="shared" si="188"/>
        <v>0</v>
      </c>
      <c r="L2002">
        <f t="shared" si="189"/>
        <v>0</v>
      </c>
      <c r="M2002">
        <f t="shared" si="190"/>
        <v>0</v>
      </c>
      <c r="N2002">
        <f t="shared" si="191"/>
        <v>0</v>
      </c>
    </row>
    <row r="2003" spans="1:14" x14ac:dyDescent="0.35">
      <c r="A2003" t="s">
        <v>511</v>
      </c>
      <c r="B2003" t="s">
        <v>2745</v>
      </c>
      <c r="C2003" s="7" t="s">
        <v>6</v>
      </c>
      <c r="D2003" t="s">
        <v>51</v>
      </c>
      <c r="E2003" t="s">
        <v>1961</v>
      </c>
      <c r="F2003" t="s">
        <v>1805</v>
      </c>
      <c r="I2003">
        <f t="shared" si="186"/>
        <v>0</v>
      </c>
      <c r="J2003">
        <f t="shared" si="187"/>
        <v>1</v>
      </c>
      <c r="K2003">
        <f t="shared" si="188"/>
        <v>0</v>
      </c>
      <c r="L2003">
        <f t="shared" si="189"/>
        <v>0</v>
      </c>
      <c r="M2003">
        <f t="shared" si="190"/>
        <v>0</v>
      </c>
      <c r="N2003">
        <f t="shared" si="191"/>
        <v>0</v>
      </c>
    </row>
    <row r="2004" spans="1:14" x14ac:dyDescent="0.35">
      <c r="A2004" t="s">
        <v>1508</v>
      </c>
      <c r="B2004" t="s">
        <v>2746</v>
      </c>
      <c r="C2004" s="7" t="s">
        <v>6</v>
      </c>
      <c r="D2004" t="s">
        <v>55</v>
      </c>
      <c r="E2004" t="s">
        <v>2747</v>
      </c>
      <c r="F2004" t="s">
        <v>1886</v>
      </c>
      <c r="I2004">
        <f t="shared" si="186"/>
        <v>0</v>
      </c>
      <c r="J2004">
        <f t="shared" si="187"/>
        <v>0</v>
      </c>
      <c r="K2004">
        <f t="shared" si="188"/>
        <v>0</v>
      </c>
      <c r="L2004">
        <f t="shared" si="189"/>
        <v>0</v>
      </c>
      <c r="M2004">
        <f t="shared" si="190"/>
        <v>0</v>
      </c>
      <c r="N2004">
        <f t="shared" si="191"/>
        <v>0</v>
      </c>
    </row>
    <row r="2005" spans="1:14" x14ac:dyDescent="0.35">
      <c r="A2005" t="s">
        <v>460</v>
      </c>
      <c r="B2005" t="s">
        <v>2748</v>
      </c>
      <c r="C2005" s="7" t="s">
        <v>6</v>
      </c>
      <c r="D2005" t="s">
        <v>461</v>
      </c>
      <c r="E2005" t="s">
        <v>2489</v>
      </c>
      <c r="F2005" t="s">
        <v>1754</v>
      </c>
      <c r="I2005">
        <f t="shared" si="186"/>
        <v>0</v>
      </c>
      <c r="J2005">
        <f t="shared" si="187"/>
        <v>0</v>
      </c>
      <c r="K2005">
        <f t="shared" si="188"/>
        <v>0</v>
      </c>
      <c r="L2005">
        <f t="shared" si="189"/>
        <v>1</v>
      </c>
      <c r="M2005">
        <f t="shared" si="190"/>
        <v>0</v>
      </c>
      <c r="N2005">
        <f t="shared" si="191"/>
        <v>0</v>
      </c>
    </row>
    <row r="2006" spans="1:14" x14ac:dyDescent="0.35">
      <c r="A2006" t="s">
        <v>460</v>
      </c>
      <c r="B2006" t="s">
        <v>2748</v>
      </c>
      <c r="C2006" s="7" t="s">
        <v>6</v>
      </c>
      <c r="D2006" t="s">
        <v>461</v>
      </c>
      <c r="E2006" t="s">
        <v>2418</v>
      </c>
      <c r="F2006" t="s">
        <v>1754</v>
      </c>
      <c r="I2006">
        <f t="shared" si="186"/>
        <v>0</v>
      </c>
      <c r="J2006">
        <f t="shared" si="187"/>
        <v>0</v>
      </c>
      <c r="K2006">
        <f t="shared" si="188"/>
        <v>0</v>
      </c>
      <c r="L2006">
        <f t="shared" si="189"/>
        <v>1</v>
      </c>
      <c r="M2006">
        <f t="shared" si="190"/>
        <v>0</v>
      </c>
      <c r="N2006">
        <f t="shared" si="191"/>
        <v>0</v>
      </c>
    </row>
    <row r="2007" spans="1:14" x14ac:dyDescent="0.35">
      <c r="A2007" t="s">
        <v>394</v>
      </c>
      <c r="B2007" t="s">
        <v>2749</v>
      </c>
      <c r="C2007" s="7" t="s">
        <v>6</v>
      </c>
      <c r="D2007" t="s">
        <v>55</v>
      </c>
      <c r="E2007" t="s">
        <v>1847</v>
      </c>
      <c r="F2007" t="s">
        <v>1754</v>
      </c>
      <c r="I2007">
        <f t="shared" si="186"/>
        <v>0</v>
      </c>
      <c r="J2007">
        <f t="shared" si="187"/>
        <v>0</v>
      </c>
      <c r="K2007">
        <f t="shared" si="188"/>
        <v>0</v>
      </c>
      <c r="L2007">
        <f t="shared" si="189"/>
        <v>1</v>
      </c>
      <c r="M2007">
        <f t="shared" si="190"/>
        <v>0</v>
      </c>
      <c r="N2007">
        <f t="shared" si="191"/>
        <v>0</v>
      </c>
    </row>
    <row r="2008" spans="1:14" x14ac:dyDescent="0.35">
      <c r="A2008" t="s">
        <v>394</v>
      </c>
      <c r="B2008" t="s">
        <v>2749</v>
      </c>
      <c r="C2008" s="7" t="s">
        <v>6</v>
      </c>
      <c r="D2008" t="s">
        <v>55</v>
      </c>
      <c r="E2008" t="s">
        <v>1845</v>
      </c>
      <c r="F2008" t="s">
        <v>1754</v>
      </c>
      <c r="I2008">
        <f t="shared" si="186"/>
        <v>0</v>
      </c>
      <c r="J2008">
        <f t="shared" si="187"/>
        <v>0</v>
      </c>
      <c r="K2008">
        <f t="shared" si="188"/>
        <v>0</v>
      </c>
      <c r="L2008">
        <f t="shared" si="189"/>
        <v>1</v>
      </c>
      <c r="M2008">
        <f t="shared" si="190"/>
        <v>0</v>
      </c>
      <c r="N2008">
        <f t="shared" si="191"/>
        <v>0</v>
      </c>
    </row>
    <row r="2009" spans="1:14" x14ac:dyDescent="0.35">
      <c r="A2009" t="s">
        <v>1380</v>
      </c>
      <c r="B2009" t="s">
        <v>1799</v>
      </c>
      <c r="C2009" s="7" t="s">
        <v>6</v>
      </c>
      <c r="D2009" t="s">
        <v>55</v>
      </c>
      <c r="E2009" t="s">
        <v>2473</v>
      </c>
      <c r="F2009" t="s">
        <v>1727</v>
      </c>
      <c r="I2009">
        <f t="shared" si="186"/>
        <v>0</v>
      </c>
      <c r="J2009">
        <f t="shared" si="187"/>
        <v>0</v>
      </c>
      <c r="K2009">
        <f t="shared" si="188"/>
        <v>0</v>
      </c>
      <c r="L2009">
        <f t="shared" si="189"/>
        <v>0</v>
      </c>
      <c r="M2009">
        <f t="shared" si="190"/>
        <v>1</v>
      </c>
      <c r="N2009">
        <f t="shared" si="191"/>
        <v>0</v>
      </c>
    </row>
    <row r="2010" spans="1:14" x14ac:dyDescent="0.35">
      <c r="A2010" t="s">
        <v>921</v>
      </c>
      <c r="B2010" t="s">
        <v>2750</v>
      </c>
      <c r="C2010" s="7" t="s">
        <v>6</v>
      </c>
      <c r="D2010" t="s">
        <v>55</v>
      </c>
      <c r="E2010" t="s">
        <v>2015</v>
      </c>
      <c r="F2010" t="s">
        <v>1754</v>
      </c>
      <c r="I2010">
        <f t="shared" si="186"/>
        <v>0</v>
      </c>
      <c r="J2010">
        <f t="shared" si="187"/>
        <v>0</v>
      </c>
      <c r="K2010">
        <f t="shared" si="188"/>
        <v>0</v>
      </c>
      <c r="L2010">
        <f t="shared" si="189"/>
        <v>1</v>
      </c>
      <c r="M2010">
        <f t="shared" si="190"/>
        <v>0</v>
      </c>
      <c r="N2010">
        <f t="shared" si="191"/>
        <v>0</v>
      </c>
    </row>
    <row r="2011" spans="1:14" x14ac:dyDescent="0.35">
      <c r="A2011" t="s">
        <v>921</v>
      </c>
      <c r="B2011" t="s">
        <v>2750</v>
      </c>
      <c r="C2011" s="7" t="s">
        <v>6</v>
      </c>
      <c r="D2011" t="s">
        <v>55</v>
      </c>
      <c r="E2011" t="s">
        <v>2014</v>
      </c>
      <c r="F2011" t="s">
        <v>1754</v>
      </c>
      <c r="I2011">
        <f t="shared" si="186"/>
        <v>0</v>
      </c>
      <c r="J2011">
        <f t="shared" si="187"/>
        <v>0</v>
      </c>
      <c r="K2011">
        <f t="shared" si="188"/>
        <v>0</v>
      </c>
      <c r="L2011">
        <f t="shared" si="189"/>
        <v>1</v>
      </c>
      <c r="M2011">
        <f t="shared" si="190"/>
        <v>0</v>
      </c>
      <c r="N2011">
        <f t="shared" si="191"/>
        <v>0</v>
      </c>
    </row>
    <row r="2012" spans="1:14" x14ac:dyDescent="0.35">
      <c r="A2012" t="s">
        <v>921</v>
      </c>
      <c r="B2012" t="s">
        <v>2750</v>
      </c>
      <c r="C2012" s="7" t="s">
        <v>6</v>
      </c>
      <c r="D2012" t="s">
        <v>55</v>
      </c>
      <c r="E2012" t="s">
        <v>1860</v>
      </c>
      <c r="F2012" t="s">
        <v>1754</v>
      </c>
      <c r="I2012">
        <f t="shared" si="186"/>
        <v>0</v>
      </c>
      <c r="J2012">
        <f t="shared" si="187"/>
        <v>0</v>
      </c>
      <c r="K2012">
        <f t="shared" si="188"/>
        <v>0</v>
      </c>
      <c r="L2012">
        <f t="shared" si="189"/>
        <v>1</v>
      </c>
      <c r="M2012">
        <f t="shared" si="190"/>
        <v>0</v>
      </c>
      <c r="N2012">
        <f t="shared" si="191"/>
        <v>0</v>
      </c>
    </row>
    <row r="2013" spans="1:14" x14ac:dyDescent="0.35">
      <c r="A2013" t="s">
        <v>225</v>
      </c>
      <c r="B2013" t="s">
        <v>2751</v>
      </c>
      <c r="C2013" s="7" t="s">
        <v>6</v>
      </c>
      <c r="D2013" t="s">
        <v>55</v>
      </c>
      <c r="E2013" t="s">
        <v>2206</v>
      </c>
      <c r="F2013" t="s">
        <v>1727</v>
      </c>
      <c r="I2013">
        <f t="shared" si="186"/>
        <v>0</v>
      </c>
      <c r="J2013">
        <f t="shared" si="187"/>
        <v>0</v>
      </c>
      <c r="K2013">
        <f t="shared" si="188"/>
        <v>0</v>
      </c>
      <c r="L2013">
        <f t="shared" si="189"/>
        <v>0</v>
      </c>
      <c r="M2013">
        <f t="shared" si="190"/>
        <v>1</v>
      </c>
      <c r="N2013">
        <f t="shared" si="191"/>
        <v>0</v>
      </c>
    </row>
    <row r="2014" spans="1:14" x14ac:dyDescent="0.35">
      <c r="A2014" t="s">
        <v>225</v>
      </c>
      <c r="B2014" t="s">
        <v>2751</v>
      </c>
      <c r="C2014" s="7" t="s">
        <v>6</v>
      </c>
      <c r="D2014" t="s">
        <v>55</v>
      </c>
      <c r="E2014" t="s">
        <v>2048</v>
      </c>
      <c r="F2014" t="s">
        <v>1727</v>
      </c>
      <c r="I2014">
        <f t="shared" si="186"/>
        <v>0</v>
      </c>
      <c r="J2014">
        <f t="shared" si="187"/>
        <v>0</v>
      </c>
      <c r="K2014">
        <f t="shared" si="188"/>
        <v>0</v>
      </c>
      <c r="L2014">
        <f t="shared" si="189"/>
        <v>0</v>
      </c>
      <c r="M2014">
        <f t="shared" si="190"/>
        <v>1</v>
      </c>
      <c r="N2014">
        <f t="shared" si="191"/>
        <v>0</v>
      </c>
    </row>
    <row r="2015" spans="1:14" x14ac:dyDescent="0.35">
      <c r="A2015" t="s">
        <v>1289</v>
      </c>
      <c r="B2015" t="s">
        <v>2752</v>
      </c>
      <c r="C2015" s="7" t="s">
        <v>6</v>
      </c>
      <c r="D2015" t="s">
        <v>51</v>
      </c>
      <c r="E2015" t="s">
        <v>1836</v>
      </c>
      <c r="F2015" t="s">
        <v>1754</v>
      </c>
      <c r="I2015">
        <f t="shared" si="186"/>
        <v>0</v>
      </c>
      <c r="J2015">
        <f t="shared" si="187"/>
        <v>0</v>
      </c>
      <c r="K2015">
        <f t="shared" si="188"/>
        <v>0</v>
      </c>
      <c r="L2015">
        <f t="shared" si="189"/>
        <v>1</v>
      </c>
      <c r="M2015">
        <f t="shared" si="190"/>
        <v>0</v>
      </c>
      <c r="N2015">
        <f t="shared" si="191"/>
        <v>0</v>
      </c>
    </row>
    <row r="2016" spans="1:14" x14ac:dyDescent="0.35">
      <c r="A2016" t="s">
        <v>1289</v>
      </c>
      <c r="B2016" t="s">
        <v>2752</v>
      </c>
      <c r="C2016" s="7" t="s">
        <v>6</v>
      </c>
      <c r="D2016" t="s">
        <v>51</v>
      </c>
      <c r="E2016" t="s">
        <v>1832</v>
      </c>
      <c r="F2016" t="s">
        <v>1754</v>
      </c>
      <c r="I2016">
        <f t="shared" si="186"/>
        <v>0</v>
      </c>
      <c r="J2016">
        <f t="shared" si="187"/>
        <v>0</v>
      </c>
      <c r="K2016">
        <f t="shared" si="188"/>
        <v>0</v>
      </c>
      <c r="L2016">
        <f t="shared" si="189"/>
        <v>1</v>
      </c>
      <c r="M2016">
        <f t="shared" si="190"/>
        <v>0</v>
      </c>
      <c r="N2016">
        <f t="shared" si="191"/>
        <v>0</v>
      </c>
    </row>
    <row r="2017" spans="1:14" x14ac:dyDescent="0.35">
      <c r="A2017" t="s">
        <v>1289</v>
      </c>
      <c r="B2017" t="s">
        <v>2752</v>
      </c>
      <c r="C2017" s="7" t="s">
        <v>6</v>
      </c>
      <c r="D2017" t="s">
        <v>51</v>
      </c>
      <c r="E2017" t="s">
        <v>1835</v>
      </c>
      <c r="F2017" t="s">
        <v>1754</v>
      </c>
      <c r="I2017">
        <f t="shared" si="186"/>
        <v>0</v>
      </c>
      <c r="J2017">
        <f t="shared" si="187"/>
        <v>0</v>
      </c>
      <c r="K2017">
        <f t="shared" si="188"/>
        <v>0</v>
      </c>
      <c r="L2017">
        <f t="shared" si="189"/>
        <v>1</v>
      </c>
      <c r="M2017">
        <f t="shared" si="190"/>
        <v>0</v>
      </c>
      <c r="N2017">
        <f t="shared" si="191"/>
        <v>0</v>
      </c>
    </row>
    <row r="2018" spans="1:14" x14ac:dyDescent="0.35">
      <c r="A2018" t="s">
        <v>1576</v>
      </c>
      <c r="B2018" t="s">
        <v>2753</v>
      </c>
      <c r="C2018" s="7" t="s">
        <v>6</v>
      </c>
      <c r="D2018" t="s">
        <v>55</v>
      </c>
      <c r="E2018" t="s">
        <v>2042</v>
      </c>
      <c r="F2018" t="s">
        <v>1754</v>
      </c>
      <c r="I2018">
        <f t="shared" si="186"/>
        <v>0</v>
      </c>
      <c r="J2018">
        <f t="shared" si="187"/>
        <v>0</v>
      </c>
      <c r="K2018">
        <f t="shared" si="188"/>
        <v>0</v>
      </c>
      <c r="L2018">
        <f t="shared" si="189"/>
        <v>1</v>
      </c>
      <c r="M2018">
        <f t="shared" si="190"/>
        <v>0</v>
      </c>
      <c r="N2018">
        <f t="shared" si="191"/>
        <v>0</v>
      </c>
    </row>
    <row r="2019" spans="1:14" x14ac:dyDescent="0.35">
      <c r="A2019" t="s">
        <v>1576</v>
      </c>
      <c r="B2019" t="s">
        <v>2753</v>
      </c>
      <c r="C2019" s="7" t="s">
        <v>6</v>
      </c>
      <c r="D2019" t="s">
        <v>55</v>
      </c>
      <c r="E2019" t="s">
        <v>1854</v>
      </c>
      <c r="F2019" t="s">
        <v>1754</v>
      </c>
      <c r="I2019">
        <f t="shared" si="186"/>
        <v>0</v>
      </c>
      <c r="J2019">
        <f t="shared" si="187"/>
        <v>0</v>
      </c>
      <c r="K2019">
        <f t="shared" si="188"/>
        <v>0</v>
      </c>
      <c r="L2019">
        <f t="shared" si="189"/>
        <v>1</v>
      </c>
      <c r="M2019">
        <f t="shared" si="190"/>
        <v>0</v>
      </c>
      <c r="N2019">
        <f t="shared" si="191"/>
        <v>0</v>
      </c>
    </row>
    <row r="2020" spans="1:14" x14ac:dyDescent="0.35">
      <c r="A2020" t="s">
        <v>1074</v>
      </c>
      <c r="B2020" t="s">
        <v>2754</v>
      </c>
      <c r="C2020" s="7" t="s">
        <v>6</v>
      </c>
      <c r="D2020" t="s">
        <v>55</v>
      </c>
      <c r="E2020" t="s">
        <v>1825</v>
      </c>
      <c r="F2020" t="s">
        <v>1754</v>
      </c>
      <c r="I2020">
        <f t="shared" si="186"/>
        <v>0</v>
      </c>
      <c r="J2020">
        <f t="shared" si="187"/>
        <v>0</v>
      </c>
      <c r="K2020">
        <f t="shared" si="188"/>
        <v>0</v>
      </c>
      <c r="L2020">
        <f t="shared" si="189"/>
        <v>1</v>
      </c>
      <c r="M2020">
        <f t="shared" si="190"/>
        <v>0</v>
      </c>
      <c r="N2020">
        <f t="shared" si="191"/>
        <v>0</v>
      </c>
    </row>
    <row r="2021" spans="1:14" x14ac:dyDescent="0.35">
      <c r="A2021" t="s">
        <v>1074</v>
      </c>
      <c r="B2021" t="s">
        <v>2754</v>
      </c>
      <c r="C2021" s="7" t="s">
        <v>6</v>
      </c>
      <c r="D2021" t="s">
        <v>55</v>
      </c>
      <c r="E2021" t="s">
        <v>1826</v>
      </c>
      <c r="F2021" t="s">
        <v>1754</v>
      </c>
      <c r="I2021">
        <f t="shared" si="186"/>
        <v>0</v>
      </c>
      <c r="J2021">
        <f t="shared" si="187"/>
        <v>0</v>
      </c>
      <c r="K2021">
        <f t="shared" si="188"/>
        <v>0</v>
      </c>
      <c r="L2021">
        <f t="shared" si="189"/>
        <v>1</v>
      </c>
      <c r="M2021">
        <f t="shared" si="190"/>
        <v>0</v>
      </c>
      <c r="N2021">
        <f t="shared" si="191"/>
        <v>0</v>
      </c>
    </row>
    <row r="2022" spans="1:14" x14ac:dyDescent="0.35">
      <c r="A2022" t="s">
        <v>346</v>
      </c>
      <c r="B2022" t="s">
        <v>2755</v>
      </c>
      <c r="C2022" s="7" t="s">
        <v>6</v>
      </c>
      <c r="D2022" t="s">
        <v>55</v>
      </c>
      <c r="E2022" t="s">
        <v>1956</v>
      </c>
      <c r="F2022" t="s">
        <v>1760</v>
      </c>
      <c r="I2022">
        <f t="shared" si="186"/>
        <v>0</v>
      </c>
      <c r="J2022">
        <f t="shared" si="187"/>
        <v>0</v>
      </c>
      <c r="K2022">
        <f t="shared" si="188"/>
        <v>1</v>
      </c>
      <c r="L2022">
        <f t="shared" si="189"/>
        <v>0</v>
      </c>
      <c r="M2022">
        <f t="shared" si="190"/>
        <v>0</v>
      </c>
      <c r="N2022">
        <f t="shared" si="191"/>
        <v>0</v>
      </c>
    </row>
    <row r="2023" spans="1:14" x14ac:dyDescent="0.35">
      <c r="A2023" t="s">
        <v>346</v>
      </c>
      <c r="B2023" t="s">
        <v>2755</v>
      </c>
      <c r="C2023" s="7" t="s">
        <v>6</v>
      </c>
      <c r="D2023" t="s">
        <v>55</v>
      </c>
      <c r="E2023" t="s">
        <v>1856</v>
      </c>
      <c r="F2023" t="s">
        <v>1760</v>
      </c>
      <c r="I2023">
        <f t="shared" si="186"/>
        <v>0</v>
      </c>
      <c r="J2023">
        <f t="shared" si="187"/>
        <v>0</v>
      </c>
      <c r="K2023">
        <f t="shared" si="188"/>
        <v>1</v>
      </c>
      <c r="L2023">
        <f t="shared" si="189"/>
        <v>0</v>
      </c>
      <c r="M2023">
        <f t="shared" si="190"/>
        <v>0</v>
      </c>
      <c r="N2023">
        <f t="shared" si="191"/>
        <v>0</v>
      </c>
    </row>
    <row r="2024" spans="1:14" x14ac:dyDescent="0.35">
      <c r="A2024" t="s">
        <v>346</v>
      </c>
      <c r="B2024" t="s">
        <v>2755</v>
      </c>
      <c r="C2024" s="7" t="s">
        <v>6</v>
      </c>
      <c r="D2024" t="s">
        <v>55</v>
      </c>
      <c r="E2024" t="s">
        <v>2498</v>
      </c>
      <c r="F2024" t="s">
        <v>1727</v>
      </c>
      <c r="I2024">
        <f t="shared" si="186"/>
        <v>0</v>
      </c>
      <c r="J2024">
        <f t="shared" si="187"/>
        <v>0</v>
      </c>
      <c r="K2024">
        <f t="shared" si="188"/>
        <v>0</v>
      </c>
      <c r="L2024">
        <f t="shared" si="189"/>
        <v>0</v>
      </c>
      <c r="M2024">
        <f t="shared" si="190"/>
        <v>1</v>
      </c>
      <c r="N2024">
        <f t="shared" si="191"/>
        <v>0</v>
      </c>
    </row>
    <row r="2025" spans="1:14" x14ac:dyDescent="0.35">
      <c r="A2025" t="s">
        <v>741</v>
      </c>
      <c r="B2025" t="s">
        <v>2756</v>
      </c>
      <c r="C2025" s="7" t="s">
        <v>6</v>
      </c>
      <c r="D2025" t="s">
        <v>743</v>
      </c>
      <c r="E2025" t="s">
        <v>1917</v>
      </c>
      <c r="F2025" t="s">
        <v>1754</v>
      </c>
      <c r="I2025">
        <f t="shared" si="186"/>
        <v>0</v>
      </c>
      <c r="J2025">
        <f t="shared" si="187"/>
        <v>0</v>
      </c>
      <c r="K2025">
        <f t="shared" si="188"/>
        <v>0</v>
      </c>
      <c r="L2025">
        <f t="shared" si="189"/>
        <v>1</v>
      </c>
      <c r="M2025">
        <f t="shared" si="190"/>
        <v>0</v>
      </c>
      <c r="N2025">
        <f t="shared" si="191"/>
        <v>0</v>
      </c>
    </row>
    <row r="2026" spans="1:14" x14ac:dyDescent="0.35">
      <c r="A2026" t="s">
        <v>1127</v>
      </c>
      <c r="B2026" t="s">
        <v>2757</v>
      </c>
      <c r="C2026" s="7" t="s">
        <v>6</v>
      </c>
      <c r="D2026" t="s">
        <v>74</v>
      </c>
      <c r="E2026" t="s">
        <v>1894</v>
      </c>
      <c r="F2026" t="s">
        <v>1754</v>
      </c>
      <c r="I2026">
        <f t="shared" si="186"/>
        <v>0</v>
      </c>
      <c r="J2026">
        <f t="shared" si="187"/>
        <v>0</v>
      </c>
      <c r="K2026">
        <f t="shared" si="188"/>
        <v>0</v>
      </c>
      <c r="L2026">
        <f t="shared" si="189"/>
        <v>1</v>
      </c>
      <c r="M2026">
        <f t="shared" si="190"/>
        <v>0</v>
      </c>
      <c r="N2026">
        <f t="shared" si="191"/>
        <v>0</v>
      </c>
    </row>
    <row r="2027" spans="1:14" x14ac:dyDescent="0.35">
      <c r="A2027" t="s">
        <v>1127</v>
      </c>
      <c r="B2027" t="s">
        <v>2757</v>
      </c>
      <c r="C2027" s="7" t="s">
        <v>6</v>
      </c>
      <c r="D2027" t="s">
        <v>74</v>
      </c>
      <c r="E2027" t="s">
        <v>1896</v>
      </c>
      <c r="F2027" t="s">
        <v>1754</v>
      </c>
      <c r="I2027">
        <f t="shared" si="186"/>
        <v>0</v>
      </c>
      <c r="J2027">
        <f t="shared" si="187"/>
        <v>0</v>
      </c>
      <c r="K2027">
        <f t="shared" si="188"/>
        <v>0</v>
      </c>
      <c r="L2027">
        <f t="shared" si="189"/>
        <v>1</v>
      </c>
      <c r="M2027">
        <f t="shared" si="190"/>
        <v>0</v>
      </c>
      <c r="N2027">
        <f t="shared" si="191"/>
        <v>0</v>
      </c>
    </row>
    <row r="2028" spans="1:14" x14ac:dyDescent="0.35">
      <c r="A2028" t="s">
        <v>1438</v>
      </c>
      <c r="B2028" t="s">
        <v>2758</v>
      </c>
      <c r="C2028" s="7" t="s">
        <v>6</v>
      </c>
      <c r="D2028" t="s">
        <v>55</v>
      </c>
      <c r="E2028" t="s">
        <v>1847</v>
      </c>
      <c r="F2028" t="s">
        <v>1754</v>
      </c>
      <c r="I2028">
        <f t="shared" si="186"/>
        <v>0</v>
      </c>
      <c r="J2028">
        <f t="shared" si="187"/>
        <v>0</v>
      </c>
      <c r="K2028">
        <f t="shared" si="188"/>
        <v>0</v>
      </c>
      <c r="L2028">
        <f t="shared" si="189"/>
        <v>1</v>
      </c>
      <c r="M2028">
        <f t="shared" si="190"/>
        <v>0</v>
      </c>
      <c r="N2028">
        <f t="shared" si="191"/>
        <v>0</v>
      </c>
    </row>
    <row r="2029" spans="1:14" x14ac:dyDescent="0.35">
      <c r="A2029" t="s">
        <v>1438</v>
      </c>
      <c r="B2029" t="s">
        <v>2758</v>
      </c>
      <c r="C2029" s="7" t="s">
        <v>6</v>
      </c>
      <c r="D2029" t="s">
        <v>55</v>
      </c>
      <c r="E2029" t="s">
        <v>1822</v>
      </c>
      <c r="F2029" t="s">
        <v>1760</v>
      </c>
      <c r="I2029">
        <f t="shared" si="186"/>
        <v>0</v>
      </c>
      <c r="J2029">
        <f t="shared" si="187"/>
        <v>0</v>
      </c>
      <c r="K2029">
        <f t="shared" si="188"/>
        <v>1</v>
      </c>
      <c r="L2029">
        <f t="shared" si="189"/>
        <v>0</v>
      </c>
      <c r="M2029">
        <f t="shared" si="190"/>
        <v>0</v>
      </c>
      <c r="N2029">
        <f t="shared" si="191"/>
        <v>0</v>
      </c>
    </row>
    <row r="2030" spans="1:14" x14ac:dyDescent="0.35">
      <c r="A2030" t="s">
        <v>1438</v>
      </c>
      <c r="B2030" t="s">
        <v>2758</v>
      </c>
      <c r="C2030" s="7" t="s">
        <v>6</v>
      </c>
      <c r="D2030" t="s">
        <v>55</v>
      </c>
      <c r="E2030" t="s">
        <v>1877</v>
      </c>
      <c r="F2030" t="s">
        <v>1754</v>
      </c>
      <c r="I2030">
        <f t="shared" si="186"/>
        <v>0</v>
      </c>
      <c r="J2030">
        <f t="shared" si="187"/>
        <v>0</v>
      </c>
      <c r="K2030">
        <f t="shared" si="188"/>
        <v>0</v>
      </c>
      <c r="L2030">
        <f t="shared" si="189"/>
        <v>1</v>
      </c>
      <c r="M2030">
        <f t="shared" si="190"/>
        <v>0</v>
      </c>
      <c r="N2030">
        <f t="shared" si="191"/>
        <v>0</v>
      </c>
    </row>
    <row r="2031" spans="1:14" x14ac:dyDescent="0.35">
      <c r="A2031" t="s">
        <v>1438</v>
      </c>
      <c r="B2031" t="s">
        <v>2758</v>
      </c>
      <c r="C2031" s="7" t="s">
        <v>9</v>
      </c>
      <c r="D2031" t="s">
        <v>55</v>
      </c>
      <c r="E2031" t="s">
        <v>1821</v>
      </c>
      <c r="F2031" t="s">
        <v>1760</v>
      </c>
      <c r="I2031">
        <f t="shared" si="186"/>
        <v>0</v>
      </c>
      <c r="J2031">
        <f t="shared" si="187"/>
        <v>0</v>
      </c>
      <c r="K2031">
        <f t="shared" si="188"/>
        <v>1</v>
      </c>
      <c r="L2031">
        <f t="shared" si="189"/>
        <v>0</v>
      </c>
      <c r="M2031">
        <f t="shared" si="190"/>
        <v>0</v>
      </c>
      <c r="N2031">
        <f t="shared" si="191"/>
        <v>0</v>
      </c>
    </row>
    <row r="2032" spans="1:14" x14ac:dyDescent="0.35">
      <c r="A2032" t="s">
        <v>1438</v>
      </c>
      <c r="B2032" t="s">
        <v>2758</v>
      </c>
      <c r="C2032" s="7" t="s">
        <v>9</v>
      </c>
      <c r="D2032" t="s">
        <v>55</v>
      </c>
      <c r="E2032" t="s">
        <v>1845</v>
      </c>
      <c r="F2032" t="s">
        <v>1754</v>
      </c>
      <c r="I2032">
        <f t="shared" si="186"/>
        <v>0</v>
      </c>
      <c r="J2032">
        <f t="shared" si="187"/>
        <v>0</v>
      </c>
      <c r="K2032">
        <f t="shared" si="188"/>
        <v>0</v>
      </c>
      <c r="L2032">
        <f t="shared" si="189"/>
        <v>1</v>
      </c>
      <c r="M2032">
        <f t="shared" si="190"/>
        <v>0</v>
      </c>
      <c r="N2032">
        <f t="shared" si="191"/>
        <v>0</v>
      </c>
    </row>
    <row r="2033" spans="1:14" x14ac:dyDescent="0.35">
      <c r="A2033" t="s">
        <v>903</v>
      </c>
      <c r="B2033" t="s">
        <v>2759</v>
      </c>
      <c r="C2033" s="7" t="s">
        <v>9</v>
      </c>
      <c r="D2033" t="s">
        <v>100</v>
      </c>
      <c r="E2033" t="s">
        <v>1836</v>
      </c>
      <c r="F2033" t="s">
        <v>1754</v>
      </c>
      <c r="I2033">
        <f t="shared" si="186"/>
        <v>0</v>
      </c>
      <c r="J2033">
        <f t="shared" si="187"/>
        <v>0</v>
      </c>
      <c r="K2033">
        <f t="shared" si="188"/>
        <v>0</v>
      </c>
      <c r="L2033">
        <f t="shared" si="189"/>
        <v>1</v>
      </c>
      <c r="M2033">
        <f t="shared" si="190"/>
        <v>0</v>
      </c>
      <c r="N2033">
        <f t="shared" si="191"/>
        <v>0</v>
      </c>
    </row>
    <row r="2034" spans="1:14" x14ac:dyDescent="0.35">
      <c r="A2034" t="s">
        <v>903</v>
      </c>
      <c r="B2034" t="s">
        <v>2759</v>
      </c>
      <c r="C2034" s="7" t="s">
        <v>9</v>
      </c>
      <c r="D2034" t="s">
        <v>100</v>
      </c>
      <c r="E2034" t="s">
        <v>1832</v>
      </c>
      <c r="F2034" t="s">
        <v>1754</v>
      </c>
      <c r="I2034">
        <f t="shared" si="186"/>
        <v>0</v>
      </c>
      <c r="J2034">
        <f t="shared" si="187"/>
        <v>0</v>
      </c>
      <c r="K2034">
        <f t="shared" si="188"/>
        <v>0</v>
      </c>
      <c r="L2034">
        <f t="shared" si="189"/>
        <v>1</v>
      </c>
      <c r="M2034">
        <f t="shared" si="190"/>
        <v>0</v>
      </c>
      <c r="N2034">
        <f t="shared" si="191"/>
        <v>0</v>
      </c>
    </row>
    <row r="2035" spans="1:14" x14ac:dyDescent="0.35">
      <c r="A2035" t="s">
        <v>903</v>
      </c>
      <c r="B2035" t="s">
        <v>2759</v>
      </c>
      <c r="C2035" s="7" t="s">
        <v>9</v>
      </c>
      <c r="D2035" t="s">
        <v>100</v>
      </c>
      <c r="E2035" t="s">
        <v>1992</v>
      </c>
      <c r="F2035" t="s">
        <v>1754</v>
      </c>
      <c r="I2035">
        <f t="shared" si="186"/>
        <v>0</v>
      </c>
      <c r="J2035">
        <f t="shared" si="187"/>
        <v>0</v>
      </c>
      <c r="K2035">
        <f t="shared" si="188"/>
        <v>0</v>
      </c>
      <c r="L2035">
        <f t="shared" si="189"/>
        <v>1</v>
      </c>
      <c r="M2035">
        <f t="shared" si="190"/>
        <v>0</v>
      </c>
      <c r="N2035">
        <f t="shared" si="191"/>
        <v>0</v>
      </c>
    </row>
    <row r="2036" spans="1:14" x14ac:dyDescent="0.35">
      <c r="A2036" t="s">
        <v>903</v>
      </c>
      <c r="B2036" t="s">
        <v>2759</v>
      </c>
      <c r="C2036" s="7" t="s">
        <v>9</v>
      </c>
      <c r="D2036" t="s">
        <v>100</v>
      </c>
      <c r="E2036" t="s">
        <v>1993</v>
      </c>
      <c r="F2036" t="s">
        <v>1754</v>
      </c>
      <c r="I2036">
        <f t="shared" si="186"/>
        <v>0</v>
      </c>
      <c r="J2036">
        <f t="shared" si="187"/>
        <v>0</v>
      </c>
      <c r="K2036">
        <f t="shared" si="188"/>
        <v>0</v>
      </c>
      <c r="L2036">
        <f t="shared" si="189"/>
        <v>1</v>
      </c>
      <c r="M2036">
        <f t="shared" si="190"/>
        <v>0</v>
      </c>
      <c r="N2036">
        <f t="shared" si="191"/>
        <v>0</v>
      </c>
    </row>
    <row r="2037" spans="1:14" x14ac:dyDescent="0.35">
      <c r="A2037" t="s">
        <v>638</v>
      </c>
      <c r="B2037" t="s">
        <v>2760</v>
      </c>
      <c r="C2037" s="7" t="s">
        <v>9</v>
      </c>
      <c r="D2037" t="s">
        <v>74</v>
      </c>
      <c r="E2037" t="s">
        <v>1815</v>
      </c>
      <c r="F2037" t="s">
        <v>1754</v>
      </c>
      <c r="I2037">
        <f t="shared" si="186"/>
        <v>0</v>
      </c>
      <c r="J2037">
        <f t="shared" si="187"/>
        <v>0</v>
      </c>
      <c r="K2037">
        <f t="shared" si="188"/>
        <v>0</v>
      </c>
      <c r="L2037">
        <f t="shared" si="189"/>
        <v>1</v>
      </c>
      <c r="M2037">
        <f t="shared" si="190"/>
        <v>0</v>
      </c>
      <c r="N2037">
        <f t="shared" si="191"/>
        <v>0</v>
      </c>
    </row>
    <row r="2038" spans="1:14" x14ac:dyDescent="0.35">
      <c r="A2038" t="s">
        <v>638</v>
      </c>
      <c r="B2038" t="s">
        <v>2760</v>
      </c>
      <c r="C2038" s="7" t="s">
        <v>9</v>
      </c>
      <c r="D2038" t="s">
        <v>74</v>
      </c>
      <c r="E2038" t="s">
        <v>1817</v>
      </c>
      <c r="F2038" t="s">
        <v>1754</v>
      </c>
      <c r="I2038">
        <f t="shared" si="186"/>
        <v>0</v>
      </c>
      <c r="J2038">
        <f t="shared" si="187"/>
        <v>0</v>
      </c>
      <c r="K2038">
        <f t="shared" si="188"/>
        <v>0</v>
      </c>
      <c r="L2038">
        <f t="shared" si="189"/>
        <v>1</v>
      </c>
      <c r="M2038">
        <f t="shared" si="190"/>
        <v>0</v>
      </c>
      <c r="N2038">
        <f t="shared" si="191"/>
        <v>0</v>
      </c>
    </row>
    <row r="2039" spans="1:14" x14ac:dyDescent="0.35">
      <c r="A2039" t="s">
        <v>917</v>
      </c>
      <c r="B2039" t="s">
        <v>2761</v>
      </c>
      <c r="C2039" s="7" t="s">
        <v>9</v>
      </c>
      <c r="D2039" t="s">
        <v>444</v>
      </c>
      <c r="E2039" t="s">
        <v>1826</v>
      </c>
      <c r="F2039" t="s">
        <v>1754</v>
      </c>
      <c r="I2039">
        <f t="shared" si="186"/>
        <v>0</v>
      </c>
      <c r="J2039">
        <f t="shared" si="187"/>
        <v>0</v>
      </c>
      <c r="K2039">
        <f t="shared" si="188"/>
        <v>0</v>
      </c>
      <c r="L2039">
        <f t="shared" si="189"/>
        <v>1</v>
      </c>
      <c r="M2039">
        <f t="shared" si="190"/>
        <v>0</v>
      </c>
      <c r="N2039">
        <f t="shared" si="191"/>
        <v>0</v>
      </c>
    </row>
    <row r="2040" spans="1:14" x14ac:dyDescent="0.35">
      <c r="A2040" t="s">
        <v>917</v>
      </c>
      <c r="B2040" t="s">
        <v>2761</v>
      </c>
      <c r="C2040" s="7" t="s">
        <v>9</v>
      </c>
      <c r="D2040" t="s">
        <v>444</v>
      </c>
      <c r="E2040" t="s">
        <v>1825</v>
      </c>
      <c r="F2040" t="s">
        <v>1754</v>
      </c>
      <c r="I2040">
        <f t="shared" si="186"/>
        <v>0</v>
      </c>
      <c r="J2040">
        <f t="shared" si="187"/>
        <v>0</v>
      </c>
      <c r="K2040">
        <f t="shared" si="188"/>
        <v>0</v>
      </c>
      <c r="L2040">
        <f t="shared" si="189"/>
        <v>1</v>
      </c>
      <c r="M2040">
        <f t="shared" si="190"/>
        <v>0</v>
      </c>
      <c r="N2040">
        <f t="shared" si="191"/>
        <v>0</v>
      </c>
    </row>
    <row r="2041" spans="1:14" x14ac:dyDescent="0.35">
      <c r="A2041" t="s">
        <v>1668</v>
      </c>
      <c r="B2041" t="s">
        <v>2762</v>
      </c>
      <c r="C2041" s="7" t="s">
        <v>9</v>
      </c>
      <c r="D2041" t="s">
        <v>1670</v>
      </c>
      <c r="E2041" t="s">
        <v>1894</v>
      </c>
      <c r="F2041" t="s">
        <v>1754</v>
      </c>
      <c r="I2041">
        <f t="shared" si="186"/>
        <v>0</v>
      </c>
      <c r="J2041">
        <f t="shared" si="187"/>
        <v>0</v>
      </c>
      <c r="K2041">
        <f t="shared" si="188"/>
        <v>0</v>
      </c>
      <c r="L2041">
        <f t="shared" si="189"/>
        <v>1</v>
      </c>
      <c r="M2041">
        <f t="shared" si="190"/>
        <v>0</v>
      </c>
      <c r="N2041">
        <f t="shared" si="191"/>
        <v>0</v>
      </c>
    </row>
    <row r="2042" spans="1:14" x14ac:dyDescent="0.35">
      <c r="A2042" t="s">
        <v>1668</v>
      </c>
      <c r="B2042" t="s">
        <v>2762</v>
      </c>
      <c r="C2042" s="7" t="s">
        <v>6</v>
      </c>
      <c r="D2042" t="s">
        <v>1670</v>
      </c>
      <c r="E2042" t="s">
        <v>2178</v>
      </c>
      <c r="F2042" t="s">
        <v>1805</v>
      </c>
      <c r="I2042">
        <f t="shared" si="186"/>
        <v>0</v>
      </c>
      <c r="J2042">
        <f t="shared" si="187"/>
        <v>1</v>
      </c>
      <c r="K2042">
        <f t="shared" si="188"/>
        <v>0</v>
      </c>
      <c r="L2042">
        <f t="shared" si="189"/>
        <v>0</v>
      </c>
      <c r="M2042">
        <f t="shared" si="190"/>
        <v>0</v>
      </c>
      <c r="N2042">
        <f t="shared" si="191"/>
        <v>0</v>
      </c>
    </row>
    <row r="2043" spans="1:14" x14ac:dyDescent="0.35">
      <c r="A2043" t="s">
        <v>1668</v>
      </c>
      <c r="B2043" t="s">
        <v>2762</v>
      </c>
      <c r="C2043" s="7" t="s">
        <v>6</v>
      </c>
      <c r="D2043" t="s">
        <v>1670</v>
      </c>
      <c r="E2043" t="s">
        <v>1896</v>
      </c>
      <c r="F2043" t="s">
        <v>1754</v>
      </c>
      <c r="I2043">
        <f t="shared" si="186"/>
        <v>0</v>
      </c>
      <c r="J2043">
        <f t="shared" si="187"/>
        <v>0</v>
      </c>
      <c r="K2043">
        <f t="shared" si="188"/>
        <v>0</v>
      </c>
      <c r="L2043">
        <f t="shared" si="189"/>
        <v>1</v>
      </c>
      <c r="M2043">
        <f t="shared" si="190"/>
        <v>0</v>
      </c>
      <c r="N2043">
        <f t="shared" si="191"/>
        <v>0</v>
      </c>
    </row>
    <row r="2044" spans="1:14" x14ac:dyDescent="0.35">
      <c r="A2044" t="s">
        <v>1668</v>
      </c>
      <c r="B2044" t="s">
        <v>2762</v>
      </c>
      <c r="C2044" s="7" t="s">
        <v>6</v>
      </c>
      <c r="D2044" t="s">
        <v>1670</v>
      </c>
      <c r="E2044" t="s">
        <v>1815</v>
      </c>
      <c r="F2044" t="s">
        <v>1754</v>
      </c>
      <c r="I2044">
        <f t="shared" si="186"/>
        <v>0</v>
      </c>
      <c r="J2044">
        <f t="shared" si="187"/>
        <v>0</v>
      </c>
      <c r="K2044">
        <f t="shared" si="188"/>
        <v>0</v>
      </c>
      <c r="L2044">
        <f t="shared" si="189"/>
        <v>1</v>
      </c>
      <c r="M2044">
        <f t="shared" si="190"/>
        <v>0</v>
      </c>
      <c r="N2044">
        <f t="shared" si="191"/>
        <v>0</v>
      </c>
    </row>
    <row r="2045" spans="1:14" x14ac:dyDescent="0.35">
      <c r="A2045" t="s">
        <v>1668</v>
      </c>
      <c r="B2045" t="s">
        <v>2762</v>
      </c>
      <c r="C2045" s="7" t="s">
        <v>10</v>
      </c>
      <c r="D2045" t="s">
        <v>1670</v>
      </c>
      <c r="E2045" t="s">
        <v>1817</v>
      </c>
      <c r="F2045" t="s">
        <v>1754</v>
      </c>
      <c r="I2045">
        <f t="shared" si="186"/>
        <v>0</v>
      </c>
      <c r="J2045">
        <f t="shared" si="187"/>
        <v>0</v>
      </c>
      <c r="K2045">
        <f t="shared" si="188"/>
        <v>0</v>
      </c>
      <c r="L2045">
        <f t="shared" si="189"/>
        <v>1</v>
      </c>
      <c r="M2045">
        <f t="shared" si="190"/>
        <v>0</v>
      </c>
      <c r="N2045">
        <f t="shared" si="191"/>
        <v>0</v>
      </c>
    </row>
    <row r="2046" spans="1:14" x14ac:dyDescent="0.35">
      <c r="A2046" t="s">
        <v>1451</v>
      </c>
      <c r="B2046" t="s">
        <v>2763</v>
      </c>
      <c r="C2046" s="7" t="s">
        <v>10</v>
      </c>
      <c r="D2046" t="s">
        <v>92</v>
      </c>
      <c r="E2046" t="s">
        <v>1849</v>
      </c>
      <c r="F2046" t="s">
        <v>1754</v>
      </c>
      <c r="I2046">
        <f t="shared" si="186"/>
        <v>0</v>
      </c>
      <c r="J2046">
        <f t="shared" si="187"/>
        <v>0</v>
      </c>
      <c r="K2046">
        <f t="shared" si="188"/>
        <v>0</v>
      </c>
      <c r="L2046">
        <f t="shared" si="189"/>
        <v>1</v>
      </c>
      <c r="M2046">
        <f t="shared" si="190"/>
        <v>0</v>
      </c>
      <c r="N2046">
        <f t="shared" si="191"/>
        <v>0</v>
      </c>
    </row>
    <row r="2047" spans="1:14" x14ac:dyDescent="0.35">
      <c r="A2047" t="s">
        <v>903</v>
      </c>
      <c r="B2047" t="s">
        <v>2759</v>
      </c>
      <c r="C2047" s="7" t="s">
        <v>10</v>
      </c>
      <c r="D2047" t="s">
        <v>155</v>
      </c>
      <c r="E2047" t="s">
        <v>1836</v>
      </c>
      <c r="F2047" t="s">
        <v>1754</v>
      </c>
      <c r="G2047" t="s">
        <v>2764</v>
      </c>
      <c r="H2047" t="s">
        <v>1738</v>
      </c>
      <c r="I2047">
        <f t="shared" si="186"/>
        <v>0</v>
      </c>
      <c r="J2047">
        <f t="shared" si="187"/>
        <v>0</v>
      </c>
      <c r="K2047">
        <f t="shared" si="188"/>
        <v>0</v>
      </c>
      <c r="L2047">
        <f t="shared" si="189"/>
        <v>1</v>
      </c>
      <c r="M2047">
        <f t="shared" si="190"/>
        <v>0</v>
      </c>
      <c r="N2047">
        <f t="shared" si="191"/>
        <v>1</v>
      </c>
    </row>
    <row r="2048" spans="1:14" x14ac:dyDescent="0.35">
      <c r="A2048" t="s">
        <v>903</v>
      </c>
      <c r="B2048" t="s">
        <v>2759</v>
      </c>
      <c r="C2048" s="7" t="s">
        <v>10</v>
      </c>
      <c r="D2048" t="s">
        <v>155</v>
      </c>
      <c r="E2048" t="s">
        <v>1832</v>
      </c>
      <c r="F2048" t="s">
        <v>1754</v>
      </c>
      <c r="G2048" t="s">
        <v>2764</v>
      </c>
      <c r="H2048" t="s">
        <v>1738</v>
      </c>
      <c r="I2048">
        <f t="shared" si="186"/>
        <v>0</v>
      </c>
      <c r="J2048">
        <f t="shared" si="187"/>
        <v>0</v>
      </c>
      <c r="K2048">
        <f t="shared" si="188"/>
        <v>0</v>
      </c>
      <c r="L2048">
        <f t="shared" si="189"/>
        <v>1</v>
      </c>
      <c r="M2048">
        <f t="shared" si="190"/>
        <v>0</v>
      </c>
      <c r="N2048">
        <f t="shared" si="191"/>
        <v>1</v>
      </c>
    </row>
    <row r="2049" spans="1:14" x14ac:dyDescent="0.35">
      <c r="A2049" t="s">
        <v>903</v>
      </c>
      <c r="B2049" t="s">
        <v>2759</v>
      </c>
      <c r="C2049" s="7" t="s">
        <v>10</v>
      </c>
      <c r="D2049" t="s">
        <v>155</v>
      </c>
      <c r="E2049" t="s">
        <v>1992</v>
      </c>
      <c r="F2049" t="s">
        <v>1754</v>
      </c>
      <c r="G2049" t="s">
        <v>2764</v>
      </c>
      <c r="H2049" t="s">
        <v>1738</v>
      </c>
      <c r="I2049">
        <f t="shared" si="186"/>
        <v>0</v>
      </c>
      <c r="J2049">
        <f t="shared" si="187"/>
        <v>0</v>
      </c>
      <c r="K2049">
        <f t="shared" si="188"/>
        <v>0</v>
      </c>
      <c r="L2049">
        <f t="shared" si="189"/>
        <v>1</v>
      </c>
      <c r="M2049">
        <f t="shared" si="190"/>
        <v>0</v>
      </c>
      <c r="N2049">
        <f t="shared" si="191"/>
        <v>1</v>
      </c>
    </row>
    <row r="2050" spans="1:14" x14ac:dyDescent="0.35">
      <c r="A2050" t="s">
        <v>903</v>
      </c>
      <c r="B2050" t="s">
        <v>2759</v>
      </c>
      <c r="C2050" s="7" t="s">
        <v>10</v>
      </c>
      <c r="D2050" t="s">
        <v>155</v>
      </c>
      <c r="E2050" t="s">
        <v>1993</v>
      </c>
      <c r="F2050" t="s">
        <v>1754</v>
      </c>
      <c r="G2050" t="s">
        <v>2764</v>
      </c>
      <c r="H2050" t="s">
        <v>1738</v>
      </c>
      <c r="I2050">
        <f t="shared" si="186"/>
        <v>0</v>
      </c>
      <c r="J2050">
        <f t="shared" si="187"/>
        <v>0</v>
      </c>
      <c r="K2050">
        <f t="shared" si="188"/>
        <v>0</v>
      </c>
      <c r="L2050">
        <f t="shared" si="189"/>
        <v>1</v>
      </c>
      <c r="M2050">
        <f t="shared" si="190"/>
        <v>0</v>
      </c>
      <c r="N2050">
        <f t="shared" si="191"/>
        <v>1</v>
      </c>
    </row>
    <row r="2051" spans="1:14" x14ac:dyDescent="0.35">
      <c r="A2051" t="s">
        <v>488</v>
      </c>
      <c r="B2051" t="s">
        <v>2765</v>
      </c>
      <c r="C2051" s="7" t="s">
        <v>10</v>
      </c>
      <c r="D2051" t="s">
        <v>51</v>
      </c>
      <c r="E2051" t="s">
        <v>1904</v>
      </c>
      <c r="F2051" t="s">
        <v>1760</v>
      </c>
      <c r="I2051">
        <f t="shared" ref="I2051:I2114" si="192">IF($F2051=$F$1,1,0)</f>
        <v>0</v>
      </c>
      <c r="J2051">
        <f t="shared" ref="J2051:J2114" si="193">IF($F2051=$J$1,1,0)</f>
        <v>0</v>
      </c>
      <c r="K2051">
        <f t="shared" ref="K2051:K2114" si="194">IF($F2051=$K$1,1,0)</f>
        <v>1</v>
      </c>
      <c r="L2051">
        <f t="shared" ref="L2051:L2114" si="195">IF($F2051=$L$1,1,0)</f>
        <v>0</v>
      </c>
      <c r="M2051">
        <f t="shared" ref="M2051:M2114" si="196">IF($F2051=$M$1,1,0)</f>
        <v>0</v>
      </c>
      <c r="N2051">
        <f t="shared" ref="N2051:N2114" si="197">IF($G2051&lt;&gt;"",1,0)</f>
        <v>0</v>
      </c>
    </row>
    <row r="2052" spans="1:14" x14ac:dyDescent="0.35">
      <c r="A2052" t="s">
        <v>488</v>
      </c>
      <c r="B2052" t="s">
        <v>2765</v>
      </c>
      <c r="C2052" s="7" t="s">
        <v>10</v>
      </c>
      <c r="D2052" t="s">
        <v>51</v>
      </c>
      <c r="E2052" t="s">
        <v>1905</v>
      </c>
      <c r="F2052" t="s">
        <v>1760</v>
      </c>
      <c r="I2052">
        <f t="shared" si="192"/>
        <v>0</v>
      </c>
      <c r="J2052">
        <f t="shared" si="193"/>
        <v>0</v>
      </c>
      <c r="K2052">
        <f t="shared" si="194"/>
        <v>1</v>
      </c>
      <c r="L2052">
        <f t="shared" si="195"/>
        <v>0</v>
      </c>
      <c r="M2052">
        <f t="shared" si="196"/>
        <v>0</v>
      </c>
      <c r="N2052">
        <f t="shared" si="197"/>
        <v>0</v>
      </c>
    </row>
    <row r="2053" spans="1:14" x14ac:dyDescent="0.35">
      <c r="A2053" t="s">
        <v>465</v>
      </c>
      <c r="B2053" t="s">
        <v>2766</v>
      </c>
      <c r="C2053" s="7" t="s">
        <v>10</v>
      </c>
      <c r="D2053" t="s">
        <v>467</v>
      </c>
      <c r="E2053" t="s">
        <v>2053</v>
      </c>
      <c r="F2053" t="s">
        <v>1805</v>
      </c>
      <c r="I2053">
        <f t="shared" si="192"/>
        <v>0</v>
      </c>
      <c r="J2053">
        <f t="shared" si="193"/>
        <v>1</v>
      </c>
      <c r="K2053">
        <f t="shared" si="194"/>
        <v>0</v>
      </c>
      <c r="L2053">
        <f t="shared" si="195"/>
        <v>0</v>
      </c>
      <c r="M2053">
        <f t="shared" si="196"/>
        <v>0</v>
      </c>
      <c r="N2053">
        <f t="shared" si="197"/>
        <v>0</v>
      </c>
    </row>
    <row r="2054" spans="1:14" x14ac:dyDescent="0.35">
      <c r="A2054" t="s">
        <v>465</v>
      </c>
      <c r="B2054" t="s">
        <v>2766</v>
      </c>
      <c r="C2054" s="7" t="s">
        <v>10</v>
      </c>
      <c r="D2054" t="s">
        <v>467</v>
      </c>
      <c r="E2054" t="s">
        <v>2174</v>
      </c>
      <c r="F2054" t="s">
        <v>1805</v>
      </c>
      <c r="I2054">
        <f t="shared" si="192"/>
        <v>0</v>
      </c>
      <c r="J2054">
        <f t="shared" si="193"/>
        <v>1</v>
      </c>
      <c r="K2054">
        <f t="shared" si="194"/>
        <v>0</v>
      </c>
      <c r="L2054">
        <f t="shared" si="195"/>
        <v>0</v>
      </c>
      <c r="M2054">
        <f t="shared" si="196"/>
        <v>0</v>
      </c>
      <c r="N2054">
        <f t="shared" si="197"/>
        <v>0</v>
      </c>
    </row>
    <row r="2055" spans="1:14" x14ac:dyDescent="0.35">
      <c r="A2055" t="s">
        <v>1036</v>
      </c>
      <c r="B2055" t="s">
        <v>1800</v>
      </c>
      <c r="C2055" s="7" t="s">
        <v>10</v>
      </c>
      <c r="D2055" t="s">
        <v>125</v>
      </c>
      <c r="E2055" t="s">
        <v>1806</v>
      </c>
      <c r="F2055" t="s">
        <v>1754</v>
      </c>
      <c r="I2055">
        <f t="shared" si="192"/>
        <v>0</v>
      </c>
      <c r="J2055">
        <f t="shared" si="193"/>
        <v>0</v>
      </c>
      <c r="K2055">
        <f t="shared" si="194"/>
        <v>0</v>
      </c>
      <c r="L2055">
        <f t="shared" si="195"/>
        <v>1</v>
      </c>
      <c r="M2055">
        <f t="shared" si="196"/>
        <v>0</v>
      </c>
      <c r="N2055">
        <f t="shared" si="197"/>
        <v>0</v>
      </c>
    </row>
    <row r="2056" spans="1:14" x14ac:dyDescent="0.35">
      <c r="A2056" t="s">
        <v>1036</v>
      </c>
      <c r="B2056" t="s">
        <v>1800</v>
      </c>
      <c r="C2056" s="7" t="s">
        <v>10</v>
      </c>
      <c r="D2056" t="s">
        <v>125</v>
      </c>
      <c r="E2056" t="s">
        <v>1829</v>
      </c>
      <c r="F2056" t="s">
        <v>1754</v>
      </c>
      <c r="I2056">
        <f t="shared" si="192"/>
        <v>0</v>
      </c>
      <c r="J2056">
        <f t="shared" si="193"/>
        <v>0</v>
      </c>
      <c r="K2056">
        <f t="shared" si="194"/>
        <v>0</v>
      </c>
      <c r="L2056">
        <f t="shared" si="195"/>
        <v>1</v>
      </c>
      <c r="M2056">
        <f t="shared" si="196"/>
        <v>0</v>
      </c>
      <c r="N2056">
        <f t="shared" si="197"/>
        <v>0</v>
      </c>
    </row>
    <row r="2057" spans="1:14" x14ac:dyDescent="0.35">
      <c r="A2057" t="s">
        <v>1036</v>
      </c>
      <c r="B2057" t="s">
        <v>1800</v>
      </c>
      <c r="C2057" s="7" t="s">
        <v>10</v>
      </c>
      <c r="D2057" t="s">
        <v>125</v>
      </c>
      <c r="E2057" t="s">
        <v>1807</v>
      </c>
      <c r="F2057" t="s">
        <v>1754</v>
      </c>
      <c r="I2057">
        <f t="shared" si="192"/>
        <v>0</v>
      </c>
      <c r="J2057">
        <f t="shared" si="193"/>
        <v>0</v>
      </c>
      <c r="K2057">
        <f t="shared" si="194"/>
        <v>0</v>
      </c>
      <c r="L2057">
        <f t="shared" si="195"/>
        <v>1</v>
      </c>
      <c r="M2057">
        <f t="shared" si="196"/>
        <v>0</v>
      </c>
      <c r="N2057">
        <f t="shared" si="197"/>
        <v>0</v>
      </c>
    </row>
    <row r="2058" spans="1:14" x14ac:dyDescent="0.35">
      <c r="A2058" t="s">
        <v>1036</v>
      </c>
      <c r="B2058" t="s">
        <v>1800</v>
      </c>
      <c r="C2058" s="7" t="s">
        <v>10</v>
      </c>
      <c r="D2058" t="s">
        <v>125</v>
      </c>
      <c r="E2058" t="s">
        <v>1811</v>
      </c>
      <c r="F2058" t="s">
        <v>1754</v>
      </c>
      <c r="I2058">
        <f t="shared" si="192"/>
        <v>0</v>
      </c>
      <c r="J2058">
        <f t="shared" si="193"/>
        <v>0</v>
      </c>
      <c r="K2058">
        <f t="shared" si="194"/>
        <v>0</v>
      </c>
      <c r="L2058">
        <f t="shared" si="195"/>
        <v>1</v>
      </c>
      <c r="M2058">
        <f t="shared" si="196"/>
        <v>0</v>
      </c>
      <c r="N2058">
        <f t="shared" si="197"/>
        <v>0</v>
      </c>
    </row>
    <row r="2059" spans="1:14" x14ac:dyDescent="0.35">
      <c r="A2059" t="s">
        <v>1036</v>
      </c>
      <c r="B2059" t="s">
        <v>1800</v>
      </c>
      <c r="C2059" s="7" t="s">
        <v>10</v>
      </c>
      <c r="D2059" t="s">
        <v>125</v>
      </c>
      <c r="E2059" t="s">
        <v>1944</v>
      </c>
      <c r="F2059" t="s">
        <v>1754</v>
      </c>
      <c r="I2059">
        <f t="shared" si="192"/>
        <v>0</v>
      </c>
      <c r="J2059">
        <f t="shared" si="193"/>
        <v>0</v>
      </c>
      <c r="K2059">
        <f t="shared" si="194"/>
        <v>0</v>
      </c>
      <c r="L2059">
        <f t="shared" si="195"/>
        <v>1</v>
      </c>
      <c r="M2059">
        <f t="shared" si="196"/>
        <v>0</v>
      </c>
      <c r="N2059">
        <f t="shared" si="197"/>
        <v>0</v>
      </c>
    </row>
    <row r="2060" spans="1:14" x14ac:dyDescent="0.35">
      <c r="A2060" t="s">
        <v>552</v>
      </c>
      <c r="B2060" t="s">
        <v>2767</v>
      </c>
      <c r="C2060" s="7" t="s">
        <v>10</v>
      </c>
      <c r="D2060" t="s">
        <v>554</v>
      </c>
      <c r="E2060" t="s">
        <v>1806</v>
      </c>
      <c r="F2060" t="s">
        <v>1754</v>
      </c>
      <c r="G2060" t="s">
        <v>2768</v>
      </c>
      <c r="H2060" t="s">
        <v>2769</v>
      </c>
      <c r="I2060">
        <f t="shared" si="192"/>
        <v>0</v>
      </c>
      <c r="J2060">
        <f t="shared" si="193"/>
        <v>0</v>
      </c>
      <c r="K2060">
        <f t="shared" si="194"/>
        <v>0</v>
      </c>
      <c r="L2060">
        <f t="shared" si="195"/>
        <v>1</v>
      </c>
      <c r="M2060">
        <f t="shared" si="196"/>
        <v>0</v>
      </c>
      <c r="N2060">
        <f t="shared" si="197"/>
        <v>1</v>
      </c>
    </row>
    <row r="2061" spans="1:14" x14ac:dyDescent="0.35">
      <c r="A2061" t="s">
        <v>552</v>
      </c>
      <c r="B2061" t="s">
        <v>2767</v>
      </c>
      <c r="C2061" s="7" t="s">
        <v>10</v>
      </c>
      <c r="D2061" t="s">
        <v>554</v>
      </c>
      <c r="E2061" t="s">
        <v>1870</v>
      </c>
      <c r="F2061" t="s">
        <v>1727</v>
      </c>
      <c r="G2061" t="s">
        <v>2768</v>
      </c>
      <c r="H2061" t="s">
        <v>2769</v>
      </c>
      <c r="I2061">
        <f t="shared" si="192"/>
        <v>0</v>
      </c>
      <c r="J2061">
        <f t="shared" si="193"/>
        <v>0</v>
      </c>
      <c r="K2061">
        <f t="shared" si="194"/>
        <v>0</v>
      </c>
      <c r="L2061">
        <f t="shared" si="195"/>
        <v>0</v>
      </c>
      <c r="M2061">
        <f t="shared" si="196"/>
        <v>1</v>
      </c>
      <c r="N2061">
        <f t="shared" si="197"/>
        <v>1</v>
      </c>
    </row>
    <row r="2062" spans="1:14" x14ac:dyDescent="0.35">
      <c r="A2062" t="s">
        <v>552</v>
      </c>
      <c r="B2062" t="s">
        <v>2767</v>
      </c>
      <c r="C2062" s="7" t="s">
        <v>10</v>
      </c>
      <c r="D2062" t="s">
        <v>554</v>
      </c>
      <c r="E2062" t="s">
        <v>1807</v>
      </c>
      <c r="F2062" t="s">
        <v>1754</v>
      </c>
      <c r="G2062" t="s">
        <v>2768</v>
      </c>
      <c r="H2062" t="s">
        <v>2769</v>
      </c>
      <c r="I2062">
        <f t="shared" si="192"/>
        <v>0</v>
      </c>
      <c r="J2062">
        <f t="shared" si="193"/>
        <v>0</v>
      </c>
      <c r="K2062">
        <f t="shared" si="194"/>
        <v>0</v>
      </c>
      <c r="L2062">
        <f t="shared" si="195"/>
        <v>1</v>
      </c>
      <c r="M2062">
        <f t="shared" si="196"/>
        <v>0</v>
      </c>
      <c r="N2062">
        <f t="shared" si="197"/>
        <v>1</v>
      </c>
    </row>
    <row r="2063" spans="1:14" x14ac:dyDescent="0.35">
      <c r="A2063" t="s">
        <v>908</v>
      </c>
      <c r="B2063" t="s">
        <v>2185</v>
      </c>
      <c r="C2063" s="7" t="s">
        <v>10</v>
      </c>
      <c r="D2063" t="s">
        <v>55</v>
      </c>
      <c r="E2063" t="s">
        <v>1865</v>
      </c>
      <c r="F2063" t="s">
        <v>1727</v>
      </c>
      <c r="I2063">
        <f t="shared" si="192"/>
        <v>0</v>
      </c>
      <c r="J2063">
        <f t="shared" si="193"/>
        <v>0</v>
      </c>
      <c r="K2063">
        <f t="shared" si="194"/>
        <v>0</v>
      </c>
      <c r="L2063">
        <f t="shared" si="195"/>
        <v>0</v>
      </c>
      <c r="M2063">
        <f t="shared" si="196"/>
        <v>1</v>
      </c>
      <c r="N2063">
        <f t="shared" si="197"/>
        <v>0</v>
      </c>
    </row>
    <row r="2064" spans="1:14" x14ac:dyDescent="0.35">
      <c r="A2064" t="s">
        <v>1178</v>
      </c>
      <c r="B2064" t="s">
        <v>2770</v>
      </c>
      <c r="C2064" s="7" t="s">
        <v>10</v>
      </c>
      <c r="D2064" t="s">
        <v>60</v>
      </c>
      <c r="E2064" t="s">
        <v>2309</v>
      </c>
      <c r="F2064" t="s">
        <v>1727</v>
      </c>
      <c r="I2064">
        <f t="shared" si="192"/>
        <v>0</v>
      </c>
      <c r="J2064">
        <f t="shared" si="193"/>
        <v>0</v>
      </c>
      <c r="K2064">
        <f t="shared" si="194"/>
        <v>0</v>
      </c>
      <c r="L2064">
        <f t="shared" si="195"/>
        <v>0</v>
      </c>
      <c r="M2064">
        <f t="shared" si="196"/>
        <v>1</v>
      </c>
      <c r="N2064">
        <f t="shared" si="197"/>
        <v>0</v>
      </c>
    </row>
    <row r="2065" spans="1:14" x14ac:dyDescent="0.35">
      <c r="A2065" t="s">
        <v>1514</v>
      </c>
      <c r="B2065" t="s">
        <v>2771</v>
      </c>
      <c r="C2065" s="7" t="s">
        <v>10</v>
      </c>
      <c r="D2065" t="s">
        <v>1516</v>
      </c>
      <c r="E2065" t="s">
        <v>1905</v>
      </c>
      <c r="F2065" t="s">
        <v>1760</v>
      </c>
      <c r="I2065">
        <f t="shared" si="192"/>
        <v>0</v>
      </c>
      <c r="J2065">
        <f t="shared" si="193"/>
        <v>0</v>
      </c>
      <c r="K2065">
        <f t="shared" si="194"/>
        <v>1</v>
      </c>
      <c r="L2065">
        <f t="shared" si="195"/>
        <v>0</v>
      </c>
      <c r="M2065">
        <f t="shared" si="196"/>
        <v>0</v>
      </c>
      <c r="N2065">
        <f t="shared" si="197"/>
        <v>0</v>
      </c>
    </row>
    <row r="2066" spans="1:14" x14ac:dyDescent="0.35">
      <c r="A2066" t="s">
        <v>1514</v>
      </c>
      <c r="B2066" t="s">
        <v>2771</v>
      </c>
      <c r="C2066" s="7" t="s">
        <v>10</v>
      </c>
      <c r="D2066" t="s">
        <v>1516</v>
      </c>
      <c r="E2066" t="s">
        <v>1904</v>
      </c>
      <c r="F2066" t="s">
        <v>1760</v>
      </c>
      <c r="I2066">
        <f t="shared" si="192"/>
        <v>0</v>
      </c>
      <c r="J2066">
        <f t="shared" si="193"/>
        <v>0</v>
      </c>
      <c r="K2066">
        <f t="shared" si="194"/>
        <v>1</v>
      </c>
      <c r="L2066">
        <f t="shared" si="195"/>
        <v>0</v>
      </c>
      <c r="M2066">
        <f t="shared" si="196"/>
        <v>0</v>
      </c>
      <c r="N2066">
        <f t="shared" si="197"/>
        <v>0</v>
      </c>
    </row>
    <row r="2067" spans="1:14" x14ac:dyDescent="0.35">
      <c r="A2067" t="s">
        <v>1161</v>
      </c>
      <c r="B2067" t="s">
        <v>2772</v>
      </c>
      <c r="C2067" s="7" t="s">
        <v>10</v>
      </c>
      <c r="D2067" t="s">
        <v>55</v>
      </c>
      <c r="E2067" t="s">
        <v>2017</v>
      </c>
      <c r="F2067" t="s">
        <v>1754</v>
      </c>
      <c r="I2067">
        <f t="shared" si="192"/>
        <v>0</v>
      </c>
      <c r="J2067">
        <f t="shared" si="193"/>
        <v>0</v>
      </c>
      <c r="K2067">
        <f t="shared" si="194"/>
        <v>0</v>
      </c>
      <c r="L2067">
        <f t="shared" si="195"/>
        <v>1</v>
      </c>
      <c r="M2067">
        <f t="shared" si="196"/>
        <v>0</v>
      </c>
      <c r="N2067">
        <f t="shared" si="197"/>
        <v>0</v>
      </c>
    </row>
    <row r="2068" spans="1:14" x14ac:dyDescent="0.35">
      <c r="A2068" t="s">
        <v>1161</v>
      </c>
      <c r="B2068" t="s">
        <v>2772</v>
      </c>
      <c r="C2068" s="7" t="s">
        <v>10</v>
      </c>
      <c r="D2068" t="s">
        <v>55</v>
      </c>
      <c r="E2068" t="s">
        <v>2020</v>
      </c>
      <c r="F2068" t="s">
        <v>1754</v>
      </c>
      <c r="I2068">
        <f t="shared" si="192"/>
        <v>0</v>
      </c>
      <c r="J2068">
        <f t="shared" si="193"/>
        <v>0</v>
      </c>
      <c r="K2068">
        <f t="shared" si="194"/>
        <v>0</v>
      </c>
      <c r="L2068">
        <f t="shared" si="195"/>
        <v>1</v>
      </c>
      <c r="M2068">
        <f t="shared" si="196"/>
        <v>0</v>
      </c>
      <c r="N2068">
        <f t="shared" si="197"/>
        <v>0</v>
      </c>
    </row>
    <row r="2069" spans="1:14" x14ac:dyDescent="0.35">
      <c r="A2069" t="s">
        <v>1161</v>
      </c>
      <c r="B2069" t="s">
        <v>2772</v>
      </c>
      <c r="C2069" s="7" t="s">
        <v>10</v>
      </c>
      <c r="D2069" t="s">
        <v>55</v>
      </c>
      <c r="E2069" t="s">
        <v>1836</v>
      </c>
      <c r="F2069" t="s">
        <v>1754</v>
      </c>
      <c r="I2069">
        <f t="shared" si="192"/>
        <v>0</v>
      </c>
      <c r="J2069">
        <f t="shared" si="193"/>
        <v>0</v>
      </c>
      <c r="K2069">
        <f t="shared" si="194"/>
        <v>0</v>
      </c>
      <c r="L2069">
        <f t="shared" si="195"/>
        <v>1</v>
      </c>
      <c r="M2069">
        <f t="shared" si="196"/>
        <v>0</v>
      </c>
      <c r="N2069">
        <f t="shared" si="197"/>
        <v>0</v>
      </c>
    </row>
    <row r="2070" spans="1:14" x14ac:dyDescent="0.35">
      <c r="A2070" t="s">
        <v>1161</v>
      </c>
      <c r="B2070" t="s">
        <v>2772</v>
      </c>
      <c r="C2070" s="7" t="s">
        <v>10</v>
      </c>
      <c r="D2070" t="s">
        <v>55</v>
      </c>
      <c r="E2070" t="s">
        <v>1994</v>
      </c>
      <c r="F2070" t="s">
        <v>1754</v>
      </c>
      <c r="I2070">
        <f t="shared" si="192"/>
        <v>0</v>
      </c>
      <c r="J2070">
        <f t="shared" si="193"/>
        <v>0</v>
      </c>
      <c r="K2070">
        <f t="shared" si="194"/>
        <v>0</v>
      </c>
      <c r="L2070">
        <f t="shared" si="195"/>
        <v>1</v>
      </c>
      <c r="M2070">
        <f t="shared" si="196"/>
        <v>0</v>
      </c>
      <c r="N2070">
        <f t="shared" si="197"/>
        <v>0</v>
      </c>
    </row>
    <row r="2071" spans="1:14" x14ac:dyDescent="0.35">
      <c r="A2071" t="s">
        <v>1531</v>
      </c>
      <c r="B2071" t="s">
        <v>2773</v>
      </c>
      <c r="C2071" s="7" t="s">
        <v>10</v>
      </c>
      <c r="D2071" t="s">
        <v>55</v>
      </c>
      <c r="E2071" t="s">
        <v>1956</v>
      </c>
      <c r="F2071" t="s">
        <v>1760</v>
      </c>
      <c r="I2071">
        <f t="shared" si="192"/>
        <v>0</v>
      </c>
      <c r="J2071">
        <f t="shared" si="193"/>
        <v>0</v>
      </c>
      <c r="K2071">
        <f t="shared" si="194"/>
        <v>1</v>
      </c>
      <c r="L2071">
        <f t="shared" si="195"/>
        <v>0</v>
      </c>
      <c r="M2071">
        <f t="shared" si="196"/>
        <v>0</v>
      </c>
      <c r="N2071">
        <f t="shared" si="197"/>
        <v>0</v>
      </c>
    </row>
    <row r="2072" spans="1:14" x14ac:dyDescent="0.35">
      <c r="A2072" t="s">
        <v>1531</v>
      </c>
      <c r="B2072" t="s">
        <v>2773</v>
      </c>
      <c r="C2072" s="7" t="s">
        <v>10</v>
      </c>
      <c r="D2072" t="s">
        <v>55</v>
      </c>
      <c r="E2072" t="s">
        <v>1959</v>
      </c>
      <c r="F2072" t="s">
        <v>1760</v>
      </c>
      <c r="I2072">
        <f t="shared" si="192"/>
        <v>0</v>
      </c>
      <c r="J2072">
        <f t="shared" si="193"/>
        <v>0</v>
      </c>
      <c r="K2072">
        <f t="shared" si="194"/>
        <v>1</v>
      </c>
      <c r="L2072">
        <f t="shared" si="195"/>
        <v>0</v>
      </c>
      <c r="M2072">
        <f t="shared" si="196"/>
        <v>0</v>
      </c>
      <c r="N2072">
        <f t="shared" si="197"/>
        <v>0</v>
      </c>
    </row>
    <row r="2073" spans="1:14" x14ac:dyDescent="0.35">
      <c r="A2073" t="s">
        <v>1531</v>
      </c>
      <c r="B2073" t="s">
        <v>2773</v>
      </c>
      <c r="C2073" s="7" t="s">
        <v>10</v>
      </c>
      <c r="D2073" t="s">
        <v>55</v>
      </c>
      <c r="E2073" t="s">
        <v>1856</v>
      </c>
      <c r="F2073" t="s">
        <v>1760</v>
      </c>
      <c r="I2073">
        <f t="shared" si="192"/>
        <v>0</v>
      </c>
      <c r="J2073">
        <f t="shared" si="193"/>
        <v>0</v>
      </c>
      <c r="K2073">
        <f t="shared" si="194"/>
        <v>1</v>
      </c>
      <c r="L2073">
        <f t="shared" si="195"/>
        <v>0</v>
      </c>
      <c r="M2073">
        <f t="shared" si="196"/>
        <v>0</v>
      </c>
      <c r="N2073">
        <f t="shared" si="197"/>
        <v>0</v>
      </c>
    </row>
    <row r="2074" spans="1:14" x14ac:dyDescent="0.35">
      <c r="A2074" t="s">
        <v>1531</v>
      </c>
      <c r="B2074" t="s">
        <v>2773</v>
      </c>
      <c r="C2074" s="7" t="s">
        <v>10</v>
      </c>
      <c r="D2074" t="s">
        <v>55</v>
      </c>
      <c r="E2074" t="s">
        <v>1957</v>
      </c>
      <c r="F2074" t="s">
        <v>1760</v>
      </c>
      <c r="I2074">
        <f t="shared" si="192"/>
        <v>0</v>
      </c>
      <c r="J2074">
        <f t="shared" si="193"/>
        <v>0</v>
      </c>
      <c r="K2074">
        <f t="shared" si="194"/>
        <v>1</v>
      </c>
      <c r="L2074">
        <f t="shared" si="195"/>
        <v>0</v>
      </c>
      <c r="M2074">
        <f t="shared" si="196"/>
        <v>0</v>
      </c>
      <c r="N2074">
        <f t="shared" si="197"/>
        <v>0</v>
      </c>
    </row>
    <row r="2075" spans="1:14" x14ac:dyDescent="0.35">
      <c r="A2075" t="s">
        <v>1531</v>
      </c>
      <c r="B2075" t="s">
        <v>2773</v>
      </c>
      <c r="C2075" s="7" t="s">
        <v>10</v>
      </c>
      <c r="D2075" t="s">
        <v>55</v>
      </c>
      <c r="E2075" t="s">
        <v>1955</v>
      </c>
      <c r="F2075" t="s">
        <v>1760</v>
      </c>
      <c r="I2075">
        <f t="shared" si="192"/>
        <v>0</v>
      </c>
      <c r="J2075">
        <f t="shared" si="193"/>
        <v>0</v>
      </c>
      <c r="K2075">
        <f t="shared" si="194"/>
        <v>1</v>
      </c>
      <c r="L2075">
        <f t="shared" si="195"/>
        <v>0</v>
      </c>
      <c r="M2075">
        <f t="shared" si="196"/>
        <v>0</v>
      </c>
      <c r="N2075">
        <f t="shared" si="197"/>
        <v>0</v>
      </c>
    </row>
    <row r="2076" spans="1:14" x14ac:dyDescent="0.35">
      <c r="A2076" t="s">
        <v>1531</v>
      </c>
      <c r="B2076" t="s">
        <v>2773</v>
      </c>
      <c r="C2076" s="7" t="s">
        <v>10</v>
      </c>
      <c r="D2076" t="s">
        <v>55</v>
      </c>
      <c r="E2076" t="s">
        <v>1958</v>
      </c>
      <c r="F2076" t="s">
        <v>1760</v>
      </c>
      <c r="I2076">
        <f t="shared" si="192"/>
        <v>0</v>
      </c>
      <c r="J2076">
        <f t="shared" si="193"/>
        <v>0</v>
      </c>
      <c r="K2076">
        <f t="shared" si="194"/>
        <v>1</v>
      </c>
      <c r="L2076">
        <f t="shared" si="195"/>
        <v>0</v>
      </c>
      <c r="M2076">
        <f t="shared" si="196"/>
        <v>0</v>
      </c>
      <c r="N2076">
        <f t="shared" si="197"/>
        <v>0</v>
      </c>
    </row>
    <row r="2077" spans="1:14" x14ac:dyDescent="0.35">
      <c r="A2077" t="s">
        <v>1583</v>
      </c>
      <c r="B2077" t="s">
        <v>2774</v>
      </c>
      <c r="C2077" s="7" t="s">
        <v>10</v>
      </c>
      <c r="D2077" t="s">
        <v>276</v>
      </c>
      <c r="E2077" t="s">
        <v>1889</v>
      </c>
      <c r="F2077" t="s">
        <v>1754</v>
      </c>
      <c r="I2077">
        <f t="shared" si="192"/>
        <v>0</v>
      </c>
      <c r="J2077">
        <f t="shared" si="193"/>
        <v>0</v>
      </c>
      <c r="K2077">
        <f t="shared" si="194"/>
        <v>0</v>
      </c>
      <c r="L2077">
        <f t="shared" si="195"/>
        <v>1</v>
      </c>
      <c r="M2077">
        <f t="shared" si="196"/>
        <v>0</v>
      </c>
      <c r="N2077">
        <f t="shared" si="197"/>
        <v>0</v>
      </c>
    </row>
    <row r="2078" spans="1:14" x14ac:dyDescent="0.35">
      <c r="A2078" t="s">
        <v>1583</v>
      </c>
      <c r="B2078" t="s">
        <v>2774</v>
      </c>
      <c r="C2078" s="7" t="s">
        <v>10</v>
      </c>
      <c r="D2078" t="s">
        <v>276</v>
      </c>
      <c r="E2078" t="s">
        <v>1888</v>
      </c>
      <c r="F2078" t="s">
        <v>1754</v>
      </c>
      <c r="I2078">
        <f t="shared" si="192"/>
        <v>0</v>
      </c>
      <c r="J2078">
        <f t="shared" si="193"/>
        <v>0</v>
      </c>
      <c r="K2078">
        <f t="shared" si="194"/>
        <v>0</v>
      </c>
      <c r="L2078">
        <f t="shared" si="195"/>
        <v>1</v>
      </c>
      <c r="M2078">
        <f t="shared" si="196"/>
        <v>0</v>
      </c>
      <c r="N2078">
        <f t="shared" si="197"/>
        <v>0</v>
      </c>
    </row>
    <row r="2079" spans="1:14" x14ac:dyDescent="0.35">
      <c r="A2079" t="s">
        <v>1583</v>
      </c>
      <c r="B2079" t="s">
        <v>2774</v>
      </c>
      <c r="C2079" s="7" t="s">
        <v>10</v>
      </c>
      <c r="D2079" t="s">
        <v>276</v>
      </c>
      <c r="E2079" t="s">
        <v>1941</v>
      </c>
      <c r="F2079" t="s">
        <v>1754</v>
      </c>
      <c r="I2079">
        <f t="shared" si="192"/>
        <v>0</v>
      </c>
      <c r="J2079">
        <f t="shared" si="193"/>
        <v>0</v>
      </c>
      <c r="K2079">
        <f t="shared" si="194"/>
        <v>0</v>
      </c>
      <c r="L2079">
        <f t="shared" si="195"/>
        <v>1</v>
      </c>
      <c r="M2079">
        <f t="shared" si="196"/>
        <v>0</v>
      </c>
      <c r="N2079">
        <f t="shared" si="197"/>
        <v>0</v>
      </c>
    </row>
    <row r="2080" spans="1:14" x14ac:dyDescent="0.35">
      <c r="A2080" t="s">
        <v>1583</v>
      </c>
      <c r="B2080" t="s">
        <v>2774</v>
      </c>
      <c r="C2080" s="7" t="s">
        <v>10</v>
      </c>
      <c r="D2080" t="s">
        <v>276</v>
      </c>
      <c r="E2080" t="s">
        <v>1940</v>
      </c>
      <c r="F2080" t="s">
        <v>1754</v>
      </c>
      <c r="I2080">
        <f t="shared" si="192"/>
        <v>0</v>
      </c>
      <c r="J2080">
        <f t="shared" si="193"/>
        <v>0</v>
      </c>
      <c r="K2080">
        <f t="shared" si="194"/>
        <v>0</v>
      </c>
      <c r="L2080">
        <f t="shared" si="195"/>
        <v>1</v>
      </c>
      <c r="M2080">
        <f t="shared" si="196"/>
        <v>0</v>
      </c>
      <c r="N2080">
        <f t="shared" si="197"/>
        <v>0</v>
      </c>
    </row>
    <row r="2081" spans="1:14" x14ac:dyDescent="0.35">
      <c r="A2081" t="s">
        <v>1568</v>
      </c>
      <c r="B2081" t="s">
        <v>2775</v>
      </c>
      <c r="C2081" s="7" t="s">
        <v>10</v>
      </c>
      <c r="D2081" t="s">
        <v>55</v>
      </c>
      <c r="E2081" t="s">
        <v>1821</v>
      </c>
      <c r="F2081" t="s">
        <v>1760</v>
      </c>
      <c r="I2081">
        <f t="shared" si="192"/>
        <v>0</v>
      </c>
      <c r="J2081">
        <f t="shared" si="193"/>
        <v>0</v>
      </c>
      <c r="K2081">
        <f t="shared" si="194"/>
        <v>1</v>
      </c>
      <c r="L2081">
        <f t="shared" si="195"/>
        <v>0</v>
      </c>
      <c r="M2081">
        <f t="shared" si="196"/>
        <v>0</v>
      </c>
      <c r="N2081">
        <f t="shared" si="197"/>
        <v>0</v>
      </c>
    </row>
    <row r="2082" spans="1:14" x14ac:dyDescent="0.35">
      <c r="A2082" t="s">
        <v>1568</v>
      </c>
      <c r="B2082" t="s">
        <v>2775</v>
      </c>
      <c r="C2082" s="7" t="s">
        <v>10</v>
      </c>
      <c r="D2082" t="s">
        <v>55</v>
      </c>
      <c r="E2082" t="s">
        <v>1905</v>
      </c>
      <c r="F2082" t="s">
        <v>1760</v>
      </c>
      <c r="I2082">
        <f t="shared" si="192"/>
        <v>0</v>
      </c>
      <c r="J2082">
        <f t="shared" si="193"/>
        <v>0</v>
      </c>
      <c r="K2082">
        <f t="shared" si="194"/>
        <v>1</v>
      </c>
      <c r="L2082">
        <f t="shared" si="195"/>
        <v>0</v>
      </c>
      <c r="M2082">
        <f t="shared" si="196"/>
        <v>0</v>
      </c>
      <c r="N2082">
        <f t="shared" si="197"/>
        <v>0</v>
      </c>
    </row>
    <row r="2083" spans="1:14" x14ac:dyDescent="0.35">
      <c r="A2083" t="s">
        <v>1272</v>
      </c>
      <c r="B2083" t="s">
        <v>2776</v>
      </c>
      <c r="C2083" s="7" t="s">
        <v>10</v>
      </c>
      <c r="D2083" t="s">
        <v>55</v>
      </c>
      <c r="E2083" t="s">
        <v>1823</v>
      </c>
      <c r="F2083" t="s">
        <v>1760</v>
      </c>
      <c r="I2083">
        <f t="shared" si="192"/>
        <v>0</v>
      </c>
      <c r="J2083">
        <f t="shared" si="193"/>
        <v>0</v>
      </c>
      <c r="K2083">
        <f t="shared" si="194"/>
        <v>1</v>
      </c>
      <c r="L2083">
        <f t="shared" si="195"/>
        <v>0</v>
      </c>
      <c r="M2083">
        <f t="shared" si="196"/>
        <v>0</v>
      </c>
      <c r="N2083">
        <f t="shared" si="197"/>
        <v>0</v>
      </c>
    </row>
    <row r="2084" spans="1:14" x14ac:dyDescent="0.35">
      <c r="A2084" t="s">
        <v>1272</v>
      </c>
      <c r="B2084" t="s">
        <v>2776</v>
      </c>
      <c r="C2084" s="7" t="s">
        <v>10</v>
      </c>
      <c r="D2084" t="s">
        <v>55</v>
      </c>
      <c r="E2084" t="s">
        <v>2003</v>
      </c>
      <c r="F2084" t="s">
        <v>1754</v>
      </c>
      <c r="I2084">
        <f t="shared" si="192"/>
        <v>0</v>
      </c>
      <c r="J2084">
        <f t="shared" si="193"/>
        <v>0</v>
      </c>
      <c r="K2084">
        <f t="shared" si="194"/>
        <v>0</v>
      </c>
      <c r="L2084">
        <f t="shared" si="195"/>
        <v>1</v>
      </c>
      <c r="M2084">
        <f t="shared" si="196"/>
        <v>0</v>
      </c>
      <c r="N2084">
        <f t="shared" si="197"/>
        <v>0</v>
      </c>
    </row>
    <row r="2085" spans="1:14" x14ac:dyDescent="0.35">
      <c r="A2085" t="s">
        <v>1272</v>
      </c>
      <c r="B2085" t="s">
        <v>2776</v>
      </c>
      <c r="C2085" s="7" t="s">
        <v>10</v>
      </c>
      <c r="D2085" t="s">
        <v>55</v>
      </c>
      <c r="E2085" t="s">
        <v>2002</v>
      </c>
      <c r="F2085" t="s">
        <v>1754</v>
      </c>
      <c r="I2085">
        <f t="shared" si="192"/>
        <v>0</v>
      </c>
      <c r="J2085">
        <f t="shared" si="193"/>
        <v>0</v>
      </c>
      <c r="K2085">
        <f t="shared" si="194"/>
        <v>0</v>
      </c>
      <c r="L2085">
        <f t="shared" si="195"/>
        <v>1</v>
      </c>
      <c r="M2085">
        <f t="shared" si="196"/>
        <v>0</v>
      </c>
      <c r="N2085">
        <f t="shared" si="197"/>
        <v>0</v>
      </c>
    </row>
    <row r="2086" spans="1:14" x14ac:dyDescent="0.35">
      <c r="A2086" t="s">
        <v>1272</v>
      </c>
      <c r="B2086" t="s">
        <v>2776</v>
      </c>
      <c r="C2086" s="7" t="s">
        <v>10</v>
      </c>
      <c r="D2086" t="s">
        <v>55</v>
      </c>
      <c r="E2086" t="s">
        <v>1821</v>
      </c>
      <c r="F2086" t="s">
        <v>1760</v>
      </c>
      <c r="I2086">
        <f t="shared" si="192"/>
        <v>0</v>
      </c>
      <c r="J2086">
        <f t="shared" si="193"/>
        <v>0</v>
      </c>
      <c r="K2086">
        <f t="shared" si="194"/>
        <v>1</v>
      </c>
      <c r="L2086">
        <f t="shared" si="195"/>
        <v>0</v>
      </c>
      <c r="M2086">
        <f t="shared" si="196"/>
        <v>0</v>
      </c>
      <c r="N2086">
        <f t="shared" si="197"/>
        <v>0</v>
      </c>
    </row>
    <row r="2087" spans="1:14" x14ac:dyDescent="0.35">
      <c r="A2087" t="s">
        <v>1272</v>
      </c>
      <c r="B2087" t="s">
        <v>2776</v>
      </c>
      <c r="C2087" s="7" t="s">
        <v>10</v>
      </c>
      <c r="D2087" t="s">
        <v>55</v>
      </c>
      <c r="E2087" t="s">
        <v>1822</v>
      </c>
      <c r="F2087" t="s">
        <v>1760</v>
      </c>
      <c r="I2087">
        <f t="shared" si="192"/>
        <v>0</v>
      </c>
      <c r="J2087">
        <f t="shared" si="193"/>
        <v>0</v>
      </c>
      <c r="K2087">
        <f t="shared" si="194"/>
        <v>1</v>
      </c>
      <c r="L2087">
        <f t="shared" si="195"/>
        <v>0</v>
      </c>
      <c r="M2087">
        <f t="shared" si="196"/>
        <v>0</v>
      </c>
      <c r="N2087">
        <f t="shared" si="197"/>
        <v>0</v>
      </c>
    </row>
    <row r="2088" spans="1:14" x14ac:dyDescent="0.35">
      <c r="A2088" t="s">
        <v>1373</v>
      </c>
      <c r="B2088" t="s">
        <v>2777</v>
      </c>
      <c r="C2088" s="7" t="s">
        <v>10</v>
      </c>
      <c r="D2088" t="s">
        <v>276</v>
      </c>
      <c r="E2088" t="s">
        <v>1810</v>
      </c>
      <c r="F2088" t="s">
        <v>1754</v>
      </c>
      <c r="I2088">
        <f t="shared" si="192"/>
        <v>0</v>
      </c>
      <c r="J2088">
        <f t="shared" si="193"/>
        <v>0</v>
      </c>
      <c r="K2088">
        <f t="shared" si="194"/>
        <v>0</v>
      </c>
      <c r="L2088">
        <f t="shared" si="195"/>
        <v>1</v>
      </c>
      <c r="M2088">
        <f t="shared" si="196"/>
        <v>0</v>
      </c>
      <c r="N2088">
        <f t="shared" si="197"/>
        <v>0</v>
      </c>
    </row>
    <row r="2089" spans="1:14" x14ac:dyDescent="0.35">
      <c r="A2089" t="s">
        <v>1713</v>
      </c>
      <c r="B2089" t="s">
        <v>2778</v>
      </c>
      <c r="C2089" s="7" t="s">
        <v>10</v>
      </c>
      <c r="D2089" t="s">
        <v>51</v>
      </c>
      <c r="E2089" t="s">
        <v>1888</v>
      </c>
      <c r="F2089" t="s">
        <v>1754</v>
      </c>
      <c r="I2089">
        <f t="shared" si="192"/>
        <v>0</v>
      </c>
      <c r="J2089">
        <f t="shared" si="193"/>
        <v>0</v>
      </c>
      <c r="K2089">
        <f t="shared" si="194"/>
        <v>0</v>
      </c>
      <c r="L2089">
        <f t="shared" si="195"/>
        <v>1</v>
      </c>
      <c r="M2089">
        <f t="shared" si="196"/>
        <v>0</v>
      </c>
      <c r="N2089">
        <f t="shared" si="197"/>
        <v>0</v>
      </c>
    </row>
    <row r="2090" spans="1:14" x14ac:dyDescent="0.35">
      <c r="A2090" t="s">
        <v>1713</v>
      </c>
      <c r="B2090" t="s">
        <v>2778</v>
      </c>
      <c r="C2090" s="7" t="s">
        <v>10</v>
      </c>
      <c r="D2090" t="s">
        <v>51</v>
      </c>
      <c r="E2090" t="s">
        <v>1889</v>
      </c>
      <c r="F2090" t="s">
        <v>1754</v>
      </c>
      <c r="I2090">
        <f t="shared" si="192"/>
        <v>0</v>
      </c>
      <c r="J2090">
        <f t="shared" si="193"/>
        <v>0</v>
      </c>
      <c r="K2090">
        <f t="shared" si="194"/>
        <v>0</v>
      </c>
      <c r="L2090">
        <f t="shared" si="195"/>
        <v>1</v>
      </c>
      <c r="M2090">
        <f t="shared" si="196"/>
        <v>0</v>
      </c>
      <c r="N2090">
        <f t="shared" si="197"/>
        <v>0</v>
      </c>
    </row>
    <row r="2091" spans="1:14" x14ac:dyDescent="0.35">
      <c r="A2091" t="s">
        <v>1517</v>
      </c>
      <c r="B2091" t="s">
        <v>2779</v>
      </c>
      <c r="C2091" s="7" t="s">
        <v>10</v>
      </c>
      <c r="D2091" t="s">
        <v>92</v>
      </c>
      <c r="E2091" t="s">
        <v>1953</v>
      </c>
      <c r="F2091" t="s">
        <v>1754</v>
      </c>
      <c r="I2091">
        <f t="shared" si="192"/>
        <v>0</v>
      </c>
      <c r="J2091">
        <f t="shared" si="193"/>
        <v>0</v>
      </c>
      <c r="K2091">
        <f t="shared" si="194"/>
        <v>0</v>
      </c>
      <c r="L2091">
        <f t="shared" si="195"/>
        <v>1</v>
      </c>
      <c r="M2091">
        <f t="shared" si="196"/>
        <v>0</v>
      </c>
      <c r="N2091">
        <f t="shared" si="197"/>
        <v>0</v>
      </c>
    </row>
    <row r="2092" spans="1:14" x14ac:dyDescent="0.35">
      <c r="A2092" t="s">
        <v>1517</v>
      </c>
      <c r="B2092" t="s">
        <v>2779</v>
      </c>
      <c r="C2092" s="7" t="s">
        <v>6</v>
      </c>
      <c r="D2092" t="s">
        <v>92</v>
      </c>
      <c r="E2092" t="s">
        <v>1951</v>
      </c>
      <c r="F2092" t="s">
        <v>1754</v>
      </c>
      <c r="I2092">
        <f t="shared" si="192"/>
        <v>0</v>
      </c>
      <c r="J2092">
        <f t="shared" si="193"/>
        <v>0</v>
      </c>
      <c r="K2092">
        <f t="shared" si="194"/>
        <v>0</v>
      </c>
      <c r="L2092">
        <f t="shared" si="195"/>
        <v>1</v>
      </c>
      <c r="M2092">
        <f t="shared" si="196"/>
        <v>0</v>
      </c>
      <c r="N2092">
        <f t="shared" si="197"/>
        <v>0</v>
      </c>
    </row>
    <row r="2093" spans="1:14" x14ac:dyDescent="0.35">
      <c r="A2093" t="s">
        <v>1698</v>
      </c>
      <c r="B2093" t="s">
        <v>2780</v>
      </c>
      <c r="C2093" s="7" t="s">
        <v>6</v>
      </c>
      <c r="D2093" t="s">
        <v>1700</v>
      </c>
      <c r="E2093" t="s">
        <v>1997</v>
      </c>
      <c r="F2093" t="s">
        <v>1886</v>
      </c>
      <c r="I2093">
        <f t="shared" si="192"/>
        <v>0</v>
      </c>
      <c r="J2093">
        <f t="shared" si="193"/>
        <v>0</v>
      </c>
      <c r="K2093">
        <f t="shared" si="194"/>
        <v>0</v>
      </c>
      <c r="L2093">
        <f t="shared" si="195"/>
        <v>0</v>
      </c>
      <c r="M2093">
        <f t="shared" si="196"/>
        <v>0</v>
      </c>
      <c r="N2093">
        <f t="shared" si="197"/>
        <v>0</v>
      </c>
    </row>
    <row r="2094" spans="1:14" x14ac:dyDescent="0.35">
      <c r="A2094" t="s">
        <v>1698</v>
      </c>
      <c r="B2094" t="s">
        <v>2780</v>
      </c>
      <c r="C2094" s="7" t="s">
        <v>6</v>
      </c>
      <c r="D2094" t="s">
        <v>1700</v>
      </c>
      <c r="E2094" t="s">
        <v>2000</v>
      </c>
      <c r="F2094" t="s">
        <v>1886</v>
      </c>
      <c r="I2094">
        <f t="shared" si="192"/>
        <v>0</v>
      </c>
      <c r="J2094">
        <f t="shared" si="193"/>
        <v>0</v>
      </c>
      <c r="K2094">
        <f t="shared" si="194"/>
        <v>0</v>
      </c>
      <c r="L2094">
        <f t="shared" si="195"/>
        <v>0</v>
      </c>
      <c r="M2094">
        <f t="shared" si="196"/>
        <v>0</v>
      </c>
      <c r="N2094">
        <f t="shared" si="197"/>
        <v>0</v>
      </c>
    </row>
    <row r="2095" spans="1:14" x14ac:dyDescent="0.35">
      <c r="A2095" t="s">
        <v>1698</v>
      </c>
      <c r="B2095" t="s">
        <v>2780</v>
      </c>
      <c r="C2095" s="7" t="s">
        <v>6</v>
      </c>
      <c r="D2095" t="s">
        <v>1700</v>
      </c>
      <c r="E2095" t="s">
        <v>1999</v>
      </c>
      <c r="F2095" t="s">
        <v>1886</v>
      </c>
      <c r="I2095">
        <f t="shared" si="192"/>
        <v>0</v>
      </c>
      <c r="J2095">
        <f t="shared" si="193"/>
        <v>0</v>
      </c>
      <c r="K2095">
        <f t="shared" si="194"/>
        <v>0</v>
      </c>
      <c r="L2095">
        <f t="shared" si="195"/>
        <v>0</v>
      </c>
      <c r="M2095">
        <f t="shared" si="196"/>
        <v>0</v>
      </c>
      <c r="N2095">
        <f t="shared" si="197"/>
        <v>0</v>
      </c>
    </row>
    <row r="2096" spans="1:14" x14ac:dyDescent="0.35">
      <c r="A2096" t="s">
        <v>1698</v>
      </c>
      <c r="B2096" t="s">
        <v>2780</v>
      </c>
      <c r="C2096" s="7" t="s">
        <v>6</v>
      </c>
      <c r="D2096" t="s">
        <v>1700</v>
      </c>
      <c r="E2096" t="s">
        <v>1996</v>
      </c>
      <c r="F2096" t="s">
        <v>1886</v>
      </c>
      <c r="I2096">
        <f t="shared" si="192"/>
        <v>0</v>
      </c>
      <c r="J2096">
        <f t="shared" si="193"/>
        <v>0</v>
      </c>
      <c r="K2096">
        <f t="shared" si="194"/>
        <v>0</v>
      </c>
      <c r="L2096">
        <f t="shared" si="195"/>
        <v>0</v>
      </c>
      <c r="M2096">
        <f t="shared" si="196"/>
        <v>0</v>
      </c>
      <c r="N2096">
        <f t="shared" si="197"/>
        <v>0</v>
      </c>
    </row>
    <row r="2097" spans="1:14" x14ac:dyDescent="0.35">
      <c r="A2097" t="s">
        <v>1698</v>
      </c>
      <c r="B2097" t="s">
        <v>2780</v>
      </c>
      <c r="C2097" s="7" t="s">
        <v>6</v>
      </c>
      <c r="D2097" t="s">
        <v>1700</v>
      </c>
      <c r="E2097" t="s">
        <v>1998</v>
      </c>
      <c r="F2097" t="s">
        <v>1886</v>
      </c>
      <c r="I2097">
        <f t="shared" si="192"/>
        <v>0</v>
      </c>
      <c r="J2097">
        <f t="shared" si="193"/>
        <v>0</v>
      </c>
      <c r="K2097">
        <f t="shared" si="194"/>
        <v>0</v>
      </c>
      <c r="L2097">
        <f t="shared" si="195"/>
        <v>0</v>
      </c>
      <c r="M2097">
        <f t="shared" si="196"/>
        <v>0</v>
      </c>
      <c r="N2097">
        <f t="shared" si="197"/>
        <v>0</v>
      </c>
    </row>
    <row r="2098" spans="1:14" x14ac:dyDescent="0.35">
      <c r="A2098" t="s">
        <v>1261</v>
      </c>
      <c r="B2098" t="s">
        <v>2781</v>
      </c>
      <c r="C2098" s="7" t="s">
        <v>6</v>
      </c>
      <c r="D2098" t="s">
        <v>51</v>
      </c>
      <c r="E2098" t="s">
        <v>2020</v>
      </c>
      <c r="F2098" t="s">
        <v>1754</v>
      </c>
      <c r="I2098">
        <f t="shared" si="192"/>
        <v>0</v>
      </c>
      <c r="J2098">
        <f t="shared" si="193"/>
        <v>0</v>
      </c>
      <c r="K2098">
        <f t="shared" si="194"/>
        <v>0</v>
      </c>
      <c r="L2098">
        <f t="shared" si="195"/>
        <v>1</v>
      </c>
      <c r="M2098">
        <f t="shared" si="196"/>
        <v>0</v>
      </c>
      <c r="N2098">
        <f t="shared" si="197"/>
        <v>0</v>
      </c>
    </row>
    <row r="2099" spans="1:14" x14ac:dyDescent="0.35">
      <c r="A2099" t="s">
        <v>1261</v>
      </c>
      <c r="B2099" t="s">
        <v>2781</v>
      </c>
      <c r="C2099" s="7" t="s">
        <v>6</v>
      </c>
      <c r="D2099" t="s">
        <v>51</v>
      </c>
      <c r="E2099" t="s">
        <v>2017</v>
      </c>
      <c r="F2099" t="s">
        <v>1754</v>
      </c>
      <c r="I2099">
        <f t="shared" si="192"/>
        <v>0</v>
      </c>
      <c r="J2099">
        <f t="shared" si="193"/>
        <v>0</v>
      </c>
      <c r="K2099">
        <f t="shared" si="194"/>
        <v>0</v>
      </c>
      <c r="L2099">
        <f t="shared" si="195"/>
        <v>1</v>
      </c>
      <c r="M2099">
        <f t="shared" si="196"/>
        <v>0</v>
      </c>
      <c r="N2099">
        <f t="shared" si="197"/>
        <v>0</v>
      </c>
    </row>
    <row r="2100" spans="1:14" x14ac:dyDescent="0.35">
      <c r="A2100" t="s">
        <v>1261</v>
      </c>
      <c r="B2100" t="s">
        <v>2781</v>
      </c>
      <c r="C2100" s="7" t="s">
        <v>6</v>
      </c>
      <c r="D2100" t="s">
        <v>51</v>
      </c>
      <c r="E2100" t="s">
        <v>2308</v>
      </c>
      <c r="F2100" t="s">
        <v>1727</v>
      </c>
      <c r="I2100">
        <f t="shared" si="192"/>
        <v>0</v>
      </c>
      <c r="J2100">
        <f t="shared" si="193"/>
        <v>0</v>
      </c>
      <c r="K2100">
        <f t="shared" si="194"/>
        <v>0</v>
      </c>
      <c r="L2100">
        <f t="shared" si="195"/>
        <v>0</v>
      </c>
      <c r="M2100">
        <f t="shared" si="196"/>
        <v>1</v>
      </c>
      <c r="N2100">
        <f t="shared" si="197"/>
        <v>0</v>
      </c>
    </row>
    <row r="2101" spans="1:14" x14ac:dyDescent="0.35">
      <c r="A2101" t="s">
        <v>288</v>
      </c>
      <c r="B2101" t="s">
        <v>2782</v>
      </c>
      <c r="C2101" s="7" t="s">
        <v>6</v>
      </c>
      <c r="D2101" t="s">
        <v>291</v>
      </c>
      <c r="E2101" t="s">
        <v>2587</v>
      </c>
      <c r="F2101" t="s">
        <v>1727</v>
      </c>
      <c r="I2101">
        <f t="shared" si="192"/>
        <v>0</v>
      </c>
      <c r="J2101">
        <f t="shared" si="193"/>
        <v>0</v>
      </c>
      <c r="K2101">
        <f t="shared" si="194"/>
        <v>0</v>
      </c>
      <c r="L2101">
        <f t="shared" si="195"/>
        <v>0</v>
      </c>
      <c r="M2101">
        <f t="shared" si="196"/>
        <v>1</v>
      </c>
      <c r="N2101">
        <f t="shared" si="197"/>
        <v>0</v>
      </c>
    </row>
    <row r="2102" spans="1:14" x14ac:dyDescent="0.35">
      <c r="A2102" t="s">
        <v>288</v>
      </c>
      <c r="B2102" t="s">
        <v>2782</v>
      </c>
      <c r="C2102" s="7" t="s">
        <v>6</v>
      </c>
      <c r="D2102" t="s">
        <v>291</v>
      </c>
      <c r="E2102" t="s">
        <v>2097</v>
      </c>
      <c r="F2102" t="s">
        <v>1727</v>
      </c>
      <c r="I2102">
        <f t="shared" si="192"/>
        <v>0</v>
      </c>
      <c r="J2102">
        <f t="shared" si="193"/>
        <v>0</v>
      </c>
      <c r="K2102">
        <f t="shared" si="194"/>
        <v>0</v>
      </c>
      <c r="L2102">
        <f t="shared" si="195"/>
        <v>0</v>
      </c>
      <c r="M2102">
        <f t="shared" si="196"/>
        <v>1</v>
      </c>
      <c r="N2102">
        <f t="shared" si="197"/>
        <v>0</v>
      </c>
    </row>
    <row r="2103" spans="1:14" x14ac:dyDescent="0.35">
      <c r="A2103" t="s">
        <v>288</v>
      </c>
      <c r="B2103" t="s">
        <v>2782</v>
      </c>
      <c r="C2103" s="7" t="s">
        <v>6</v>
      </c>
      <c r="D2103" t="s">
        <v>291</v>
      </c>
      <c r="E2103" t="s">
        <v>2405</v>
      </c>
      <c r="F2103" t="s">
        <v>1727</v>
      </c>
      <c r="I2103">
        <f t="shared" si="192"/>
        <v>0</v>
      </c>
      <c r="J2103">
        <f t="shared" si="193"/>
        <v>0</v>
      </c>
      <c r="K2103">
        <f t="shared" si="194"/>
        <v>0</v>
      </c>
      <c r="L2103">
        <f t="shared" si="195"/>
        <v>0</v>
      </c>
      <c r="M2103">
        <f t="shared" si="196"/>
        <v>1</v>
      </c>
      <c r="N2103">
        <f t="shared" si="197"/>
        <v>0</v>
      </c>
    </row>
    <row r="2104" spans="1:14" x14ac:dyDescent="0.35">
      <c r="A2104" t="s">
        <v>288</v>
      </c>
      <c r="B2104" t="s">
        <v>2782</v>
      </c>
      <c r="C2104" s="7" t="s">
        <v>6</v>
      </c>
      <c r="D2104" t="s">
        <v>291</v>
      </c>
      <c r="E2104" t="s">
        <v>2404</v>
      </c>
      <c r="F2104" t="s">
        <v>1727</v>
      </c>
      <c r="I2104">
        <f t="shared" si="192"/>
        <v>0</v>
      </c>
      <c r="J2104">
        <f t="shared" si="193"/>
        <v>0</v>
      </c>
      <c r="K2104">
        <f t="shared" si="194"/>
        <v>0</v>
      </c>
      <c r="L2104">
        <f t="shared" si="195"/>
        <v>0</v>
      </c>
      <c r="M2104">
        <f t="shared" si="196"/>
        <v>1</v>
      </c>
      <c r="N2104">
        <f t="shared" si="197"/>
        <v>0</v>
      </c>
    </row>
    <row r="2105" spans="1:14" x14ac:dyDescent="0.35">
      <c r="A2105" t="s">
        <v>288</v>
      </c>
      <c r="B2105" t="s">
        <v>2782</v>
      </c>
      <c r="C2105" s="7" t="s">
        <v>6</v>
      </c>
      <c r="D2105" t="s">
        <v>291</v>
      </c>
      <c r="E2105" t="s">
        <v>2783</v>
      </c>
      <c r="F2105" t="s">
        <v>1727</v>
      </c>
      <c r="I2105">
        <f t="shared" si="192"/>
        <v>0</v>
      </c>
      <c r="J2105">
        <f t="shared" si="193"/>
        <v>0</v>
      </c>
      <c r="K2105">
        <f t="shared" si="194"/>
        <v>0</v>
      </c>
      <c r="L2105">
        <f t="shared" si="195"/>
        <v>0</v>
      </c>
      <c r="M2105">
        <f t="shared" si="196"/>
        <v>1</v>
      </c>
      <c r="N2105">
        <f t="shared" si="197"/>
        <v>0</v>
      </c>
    </row>
    <row r="2106" spans="1:14" x14ac:dyDescent="0.35">
      <c r="A2106" t="s">
        <v>288</v>
      </c>
      <c r="B2106" t="s">
        <v>2782</v>
      </c>
      <c r="C2106" s="7" t="s">
        <v>6</v>
      </c>
      <c r="D2106" t="s">
        <v>291</v>
      </c>
      <c r="E2106" t="s">
        <v>2279</v>
      </c>
      <c r="F2106" t="s">
        <v>1727</v>
      </c>
      <c r="I2106">
        <f t="shared" si="192"/>
        <v>0</v>
      </c>
      <c r="J2106">
        <f t="shared" si="193"/>
        <v>0</v>
      </c>
      <c r="K2106">
        <f t="shared" si="194"/>
        <v>0</v>
      </c>
      <c r="L2106">
        <f t="shared" si="195"/>
        <v>0</v>
      </c>
      <c r="M2106">
        <f t="shared" si="196"/>
        <v>1</v>
      </c>
      <c r="N2106">
        <f t="shared" si="197"/>
        <v>0</v>
      </c>
    </row>
    <row r="2107" spans="1:14" x14ac:dyDescent="0.35">
      <c r="A2107" t="s">
        <v>1089</v>
      </c>
      <c r="B2107" t="s">
        <v>2784</v>
      </c>
      <c r="C2107" s="7" t="s">
        <v>6</v>
      </c>
      <c r="D2107" t="s">
        <v>92</v>
      </c>
      <c r="E2107" t="s">
        <v>2015</v>
      </c>
      <c r="F2107" t="s">
        <v>1754</v>
      </c>
      <c r="I2107">
        <f t="shared" si="192"/>
        <v>0</v>
      </c>
      <c r="J2107">
        <f t="shared" si="193"/>
        <v>0</v>
      </c>
      <c r="K2107">
        <f t="shared" si="194"/>
        <v>0</v>
      </c>
      <c r="L2107">
        <f t="shared" si="195"/>
        <v>1</v>
      </c>
      <c r="M2107">
        <f t="shared" si="196"/>
        <v>0</v>
      </c>
      <c r="N2107">
        <f t="shared" si="197"/>
        <v>0</v>
      </c>
    </row>
    <row r="2108" spans="1:14" x14ac:dyDescent="0.35">
      <c r="A2108" t="s">
        <v>1089</v>
      </c>
      <c r="B2108" t="s">
        <v>2784</v>
      </c>
      <c r="C2108" s="7" t="s">
        <v>6</v>
      </c>
      <c r="D2108" t="s">
        <v>92</v>
      </c>
      <c r="E2108" t="s">
        <v>2014</v>
      </c>
      <c r="F2108" t="s">
        <v>1754</v>
      </c>
      <c r="I2108">
        <f t="shared" si="192"/>
        <v>0</v>
      </c>
      <c r="J2108">
        <f t="shared" si="193"/>
        <v>0</v>
      </c>
      <c r="K2108">
        <f t="shared" si="194"/>
        <v>0</v>
      </c>
      <c r="L2108">
        <f t="shared" si="195"/>
        <v>1</v>
      </c>
      <c r="M2108">
        <f t="shared" si="196"/>
        <v>0</v>
      </c>
      <c r="N2108">
        <f t="shared" si="197"/>
        <v>0</v>
      </c>
    </row>
    <row r="2109" spans="1:14" x14ac:dyDescent="0.35">
      <c r="A2109" t="s">
        <v>1089</v>
      </c>
      <c r="B2109" t="s">
        <v>2784</v>
      </c>
      <c r="C2109" s="7" t="s">
        <v>6</v>
      </c>
      <c r="D2109" t="s">
        <v>92</v>
      </c>
      <c r="E2109" t="s">
        <v>1828</v>
      </c>
      <c r="F2109" t="s">
        <v>1754</v>
      </c>
      <c r="I2109">
        <f t="shared" si="192"/>
        <v>0</v>
      </c>
      <c r="J2109">
        <f t="shared" si="193"/>
        <v>0</v>
      </c>
      <c r="K2109">
        <f t="shared" si="194"/>
        <v>0</v>
      </c>
      <c r="L2109">
        <f t="shared" si="195"/>
        <v>1</v>
      </c>
      <c r="M2109">
        <f t="shared" si="196"/>
        <v>0</v>
      </c>
      <c r="N2109">
        <f t="shared" si="197"/>
        <v>0</v>
      </c>
    </row>
    <row r="2110" spans="1:14" x14ac:dyDescent="0.35">
      <c r="A2110" t="s">
        <v>818</v>
      </c>
      <c r="B2110" t="s">
        <v>2785</v>
      </c>
      <c r="C2110" s="7" t="s">
        <v>6</v>
      </c>
      <c r="D2110" t="s">
        <v>51</v>
      </c>
      <c r="E2110" t="s">
        <v>1870</v>
      </c>
      <c r="F2110" t="s">
        <v>1727</v>
      </c>
      <c r="I2110">
        <f t="shared" si="192"/>
        <v>0</v>
      </c>
      <c r="J2110">
        <f t="shared" si="193"/>
        <v>0</v>
      </c>
      <c r="K2110">
        <f t="shared" si="194"/>
        <v>0</v>
      </c>
      <c r="L2110">
        <f t="shared" si="195"/>
        <v>0</v>
      </c>
      <c r="M2110">
        <f t="shared" si="196"/>
        <v>1</v>
      </c>
      <c r="N2110">
        <f t="shared" si="197"/>
        <v>0</v>
      </c>
    </row>
    <row r="2111" spans="1:14" x14ac:dyDescent="0.35">
      <c r="A2111" t="s">
        <v>1449</v>
      </c>
      <c r="B2111" t="s">
        <v>2786</v>
      </c>
      <c r="C2111" s="7" t="s">
        <v>6</v>
      </c>
      <c r="D2111" t="s">
        <v>51</v>
      </c>
      <c r="E2111" t="s">
        <v>1822</v>
      </c>
      <c r="F2111" t="s">
        <v>1760</v>
      </c>
      <c r="I2111">
        <f t="shared" si="192"/>
        <v>0</v>
      </c>
      <c r="J2111">
        <f t="shared" si="193"/>
        <v>0</v>
      </c>
      <c r="K2111">
        <f t="shared" si="194"/>
        <v>1</v>
      </c>
      <c r="L2111">
        <f t="shared" si="195"/>
        <v>0</v>
      </c>
      <c r="M2111">
        <f t="shared" si="196"/>
        <v>0</v>
      </c>
      <c r="N2111">
        <f t="shared" si="197"/>
        <v>0</v>
      </c>
    </row>
    <row r="2112" spans="1:14" x14ac:dyDescent="0.35">
      <c r="A2112" t="s">
        <v>1449</v>
      </c>
      <c r="B2112" t="s">
        <v>2786</v>
      </c>
      <c r="C2112" s="7" t="s">
        <v>6</v>
      </c>
      <c r="D2112" t="s">
        <v>51</v>
      </c>
      <c r="E2112" t="s">
        <v>1821</v>
      </c>
      <c r="F2112" t="s">
        <v>1760</v>
      </c>
      <c r="I2112">
        <f t="shared" si="192"/>
        <v>0</v>
      </c>
      <c r="J2112">
        <f t="shared" si="193"/>
        <v>0</v>
      </c>
      <c r="K2112">
        <f t="shared" si="194"/>
        <v>1</v>
      </c>
      <c r="L2112">
        <f t="shared" si="195"/>
        <v>0</v>
      </c>
      <c r="M2112">
        <f t="shared" si="196"/>
        <v>0</v>
      </c>
      <c r="N2112">
        <f t="shared" si="197"/>
        <v>0</v>
      </c>
    </row>
    <row r="2113" spans="1:14" x14ac:dyDescent="0.35">
      <c r="A2113" t="s">
        <v>1585</v>
      </c>
      <c r="B2113" t="s">
        <v>2787</v>
      </c>
      <c r="C2113" s="7" t="s">
        <v>6</v>
      </c>
      <c r="D2113" t="s">
        <v>51</v>
      </c>
      <c r="E2113" t="s">
        <v>1822</v>
      </c>
      <c r="F2113" t="s">
        <v>1760</v>
      </c>
      <c r="I2113">
        <f t="shared" si="192"/>
        <v>0</v>
      </c>
      <c r="J2113">
        <f t="shared" si="193"/>
        <v>0</v>
      </c>
      <c r="K2113">
        <f t="shared" si="194"/>
        <v>1</v>
      </c>
      <c r="L2113">
        <f t="shared" si="195"/>
        <v>0</v>
      </c>
      <c r="M2113">
        <f t="shared" si="196"/>
        <v>0</v>
      </c>
      <c r="N2113">
        <f t="shared" si="197"/>
        <v>0</v>
      </c>
    </row>
    <row r="2114" spans="1:14" x14ac:dyDescent="0.35">
      <c r="A2114" t="s">
        <v>1585</v>
      </c>
      <c r="B2114" t="s">
        <v>2787</v>
      </c>
      <c r="C2114" s="7" t="s">
        <v>10</v>
      </c>
      <c r="D2114" t="s">
        <v>51</v>
      </c>
      <c r="E2114" t="s">
        <v>1841</v>
      </c>
      <c r="F2114" t="s">
        <v>1760</v>
      </c>
      <c r="I2114">
        <f t="shared" si="192"/>
        <v>0</v>
      </c>
      <c r="J2114">
        <f t="shared" si="193"/>
        <v>0</v>
      </c>
      <c r="K2114">
        <f t="shared" si="194"/>
        <v>1</v>
      </c>
      <c r="L2114">
        <f t="shared" si="195"/>
        <v>0</v>
      </c>
      <c r="M2114">
        <f t="shared" si="196"/>
        <v>0</v>
      </c>
      <c r="N2114">
        <f t="shared" si="197"/>
        <v>0</v>
      </c>
    </row>
    <row r="2115" spans="1:14" x14ac:dyDescent="0.35">
      <c r="A2115" t="s">
        <v>1585</v>
      </c>
      <c r="B2115" t="s">
        <v>2787</v>
      </c>
      <c r="C2115" s="7" t="s">
        <v>10</v>
      </c>
      <c r="D2115" t="s">
        <v>51</v>
      </c>
      <c r="E2115" t="s">
        <v>1821</v>
      </c>
      <c r="F2115" t="s">
        <v>1760</v>
      </c>
      <c r="I2115">
        <f t="shared" ref="I2115:I2170" si="198">IF($F2115=$F$1,1,0)</f>
        <v>0</v>
      </c>
      <c r="J2115">
        <f t="shared" ref="J2115:J2170" si="199">IF($F2115=$J$1,1,0)</f>
        <v>0</v>
      </c>
      <c r="K2115">
        <f t="shared" ref="K2115:K2170" si="200">IF($F2115=$K$1,1,0)</f>
        <v>1</v>
      </c>
      <c r="L2115">
        <f t="shared" ref="L2115:L2170" si="201">IF($F2115=$L$1,1,0)</f>
        <v>0</v>
      </c>
      <c r="M2115">
        <f t="shared" ref="M2115:M2170" si="202">IF($F2115=$M$1,1,0)</f>
        <v>0</v>
      </c>
      <c r="N2115">
        <f t="shared" ref="N2115:N2170" si="203">IF($G2115&lt;&gt;"",1,0)</f>
        <v>0</v>
      </c>
    </row>
    <row r="2116" spans="1:14" x14ac:dyDescent="0.35">
      <c r="A2116" t="s">
        <v>1585</v>
      </c>
      <c r="B2116" t="s">
        <v>2787</v>
      </c>
      <c r="C2116" s="7" t="s">
        <v>10</v>
      </c>
      <c r="D2116" t="s">
        <v>51</v>
      </c>
      <c r="E2116" t="s">
        <v>1839</v>
      </c>
      <c r="F2116" t="s">
        <v>1760</v>
      </c>
      <c r="I2116">
        <f t="shared" si="198"/>
        <v>0</v>
      </c>
      <c r="J2116">
        <f t="shared" si="199"/>
        <v>0</v>
      </c>
      <c r="K2116">
        <f t="shared" si="200"/>
        <v>1</v>
      </c>
      <c r="L2116">
        <f t="shared" si="201"/>
        <v>0</v>
      </c>
      <c r="M2116">
        <f t="shared" si="202"/>
        <v>0</v>
      </c>
      <c r="N2116">
        <f t="shared" si="203"/>
        <v>0</v>
      </c>
    </row>
    <row r="2117" spans="1:14" x14ac:dyDescent="0.35">
      <c r="A2117" t="s">
        <v>1585</v>
      </c>
      <c r="B2117" t="s">
        <v>2787</v>
      </c>
      <c r="C2117" s="7" t="s">
        <v>10</v>
      </c>
      <c r="D2117" t="s">
        <v>51</v>
      </c>
      <c r="E2117" t="s">
        <v>1823</v>
      </c>
      <c r="F2117" t="s">
        <v>1760</v>
      </c>
      <c r="I2117">
        <f t="shared" si="198"/>
        <v>0</v>
      </c>
      <c r="J2117">
        <f t="shared" si="199"/>
        <v>0</v>
      </c>
      <c r="K2117">
        <f t="shared" si="200"/>
        <v>1</v>
      </c>
      <c r="L2117">
        <f t="shared" si="201"/>
        <v>0</v>
      </c>
      <c r="M2117">
        <f t="shared" si="202"/>
        <v>0</v>
      </c>
      <c r="N2117">
        <f t="shared" si="203"/>
        <v>0</v>
      </c>
    </row>
    <row r="2118" spans="1:14" x14ac:dyDescent="0.35">
      <c r="A2118" t="s">
        <v>1585</v>
      </c>
      <c r="B2118" t="s">
        <v>2787</v>
      </c>
      <c r="C2118" s="7" t="s">
        <v>10</v>
      </c>
      <c r="D2118" t="s">
        <v>51</v>
      </c>
      <c r="E2118" t="s">
        <v>1842</v>
      </c>
      <c r="F2118" t="s">
        <v>1760</v>
      </c>
      <c r="I2118">
        <f t="shared" si="198"/>
        <v>0</v>
      </c>
      <c r="J2118">
        <f t="shared" si="199"/>
        <v>0</v>
      </c>
      <c r="K2118">
        <f t="shared" si="200"/>
        <v>1</v>
      </c>
      <c r="L2118">
        <f t="shared" si="201"/>
        <v>0</v>
      </c>
      <c r="M2118">
        <f t="shared" si="202"/>
        <v>0</v>
      </c>
      <c r="N2118">
        <f t="shared" si="203"/>
        <v>0</v>
      </c>
    </row>
    <row r="2119" spans="1:14" x14ac:dyDescent="0.35">
      <c r="A2119" t="s">
        <v>1585</v>
      </c>
      <c r="B2119" t="s">
        <v>2787</v>
      </c>
      <c r="C2119" s="7" t="s">
        <v>10</v>
      </c>
      <c r="D2119" t="s">
        <v>51</v>
      </c>
      <c r="E2119" t="s">
        <v>1843</v>
      </c>
      <c r="F2119" t="s">
        <v>1760</v>
      </c>
      <c r="I2119">
        <f t="shared" si="198"/>
        <v>0</v>
      </c>
      <c r="J2119">
        <f t="shared" si="199"/>
        <v>0</v>
      </c>
      <c r="K2119">
        <f t="shared" si="200"/>
        <v>1</v>
      </c>
      <c r="L2119">
        <f t="shared" si="201"/>
        <v>0</v>
      </c>
      <c r="M2119">
        <f t="shared" si="202"/>
        <v>0</v>
      </c>
      <c r="N2119">
        <f t="shared" si="203"/>
        <v>0</v>
      </c>
    </row>
    <row r="2120" spans="1:14" x14ac:dyDescent="0.35">
      <c r="A2120" t="s">
        <v>1585</v>
      </c>
      <c r="B2120" t="s">
        <v>2787</v>
      </c>
      <c r="C2120" s="7" t="s">
        <v>10</v>
      </c>
      <c r="D2120" t="s">
        <v>51</v>
      </c>
      <c r="E2120" t="s">
        <v>1838</v>
      </c>
      <c r="F2120" t="s">
        <v>1760</v>
      </c>
      <c r="I2120">
        <f t="shared" si="198"/>
        <v>0</v>
      </c>
      <c r="J2120">
        <f t="shared" si="199"/>
        <v>0</v>
      </c>
      <c r="K2120">
        <f t="shared" si="200"/>
        <v>1</v>
      </c>
      <c r="L2120">
        <f t="shared" si="201"/>
        <v>0</v>
      </c>
      <c r="M2120">
        <f t="shared" si="202"/>
        <v>0</v>
      </c>
      <c r="N2120">
        <f t="shared" si="203"/>
        <v>0</v>
      </c>
    </row>
    <row r="2121" spans="1:14" x14ac:dyDescent="0.35">
      <c r="A2121" t="s">
        <v>1369</v>
      </c>
      <c r="B2121" t="s">
        <v>2788</v>
      </c>
      <c r="C2121" s="7" t="s">
        <v>10</v>
      </c>
      <c r="D2121" t="s">
        <v>55</v>
      </c>
      <c r="E2121" t="s">
        <v>1996</v>
      </c>
      <c r="F2121" t="s">
        <v>1886</v>
      </c>
      <c r="I2121">
        <f t="shared" si="198"/>
        <v>0</v>
      </c>
      <c r="J2121">
        <f t="shared" si="199"/>
        <v>0</v>
      </c>
      <c r="K2121">
        <f t="shared" si="200"/>
        <v>0</v>
      </c>
      <c r="L2121">
        <f t="shared" si="201"/>
        <v>0</v>
      </c>
      <c r="M2121">
        <f t="shared" si="202"/>
        <v>0</v>
      </c>
      <c r="N2121">
        <f t="shared" si="203"/>
        <v>0</v>
      </c>
    </row>
    <row r="2122" spans="1:14" x14ac:dyDescent="0.35">
      <c r="A2122" t="s">
        <v>1080</v>
      </c>
      <c r="B2122" t="s">
        <v>2789</v>
      </c>
      <c r="C2122" s="7" t="s">
        <v>10</v>
      </c>
      <c r="D2122" t="s">
        <v>55</v>
      </c>
      <c r="E2122" t="s">
        <v>1951</v>
      </c>
      <c r="F2122" t="s">
        <v>1754</v>
      </c>
      <c r="I2122">
        <f t="shared" si="198"/>
        <v>0</v>
      </c>
      <c r="J2122">
        <f t="shared" si="199"/>
        <v>0</v>
      </c>
      <c r="K2122">
        <f t="shared" si="200"/>
        <v>0</v>
      </c>
      <c r="L2122">
        <f t="shared" si="201"/>
        <v>1</v>
      </c>
      <c r="M2122">
        <f t="shared" si="202"/>
        <v>0</v>
      </c>
      <c r="N2122">
        <f t="shared" si="203"/>
        <v>0</v>
      </c>
    </row>
    <row r="2123" spans="1:14" x14ac:dyDescent="0.35">
      <c r="A2123" t="s">
        <v>1080</v>
      </c>
      <c r="B2123" t="s">
        <v>2789</v>
      </c>
      <c r="C2123" s="7" t="s">
        <v>10</v>
      </c>
      <c r="D2123" t="s">
        <v>55</v>
      </c>
      <c r="E2123" t="s">
        <v>1958</v>
      </c>
      <c r="F2123" t="s">
        <v>1760</v>
      </c>
      <c r="I2123">
        <f t="shared" si="198"/>
        <v>0</v>
      </c>
      <c r="J2123">
        <f t="shared" si="199"/>
        <v>0</v>
      </c>
      <c r="K2123">
        <f t="shared" si="200"/>
        <v>1</v>
      </c>
      <c r="L2123">
        <f t="shared" si="201"/>
        <v>0</v>
      </c>
      <c r="M2123">
        <f t="shared" si="202"/>
        <v>0</v>
      </c>
      <c r="N2123">
        <f t="shared" si="203"/>
        <v>0</v>
      </c>
    </row>
    <row r="2124" spans="1:14" x14ac:dyDescent="0.35">
      <c r="A2124" t="s">
        <v>1080</v>
      </c>
      <c r="B2124" t="s">
        <v>2789</v>
      </c>
      <c r="C2124" s="7" t="s">
        <v>10</v>
      </c>
      <c r="D2124" t="s">
        <v>55</v>
      </c>
      <c r="E2124" t="s">
        <v>1856</v>
      </c>
      <c r="F2124" t="s">
        <v>1760</v>
      </c>
      <c r="I2124">
        <f t="shared" si="198"/>
        <v>0</v>
      </c>
      <c r="J2124">
        <f t="shared" si="199"/>
        <v>0</v>
      </c>
      <c r="K2124">
        <f t="shared" si="200"/>
        <v>1</v>
      </c>
      <c r="L2124">
        <f t="shared" si="201"/>
        <v>0</v>
      </c>
      <c r="M2124">
        <f t="shared" si="202"/>
        <v>0</v>
      </c>
      <c r="N2124">
        <f t="shared" si="203"/>
        <v>0</v>
      </c>
    </row>
    <row r="2125" spans="1:14" x14ac:dyDescent="0.35">
      <c r="A2125" t="s">
        <v>1080</v>
      </c>
      <c r="B2125" t="s">
        <v>2789</v>
      </c>
      <c r="C2125" s="7" t="s">
        <v>10</v>
      </c>
      <c r="D2125" t="s">
        <v>55</v>
      </c>
      <c r="E2125" t="s">
        <v>1953</v>
      </c>
      <c r="F2125" t="s">
        <v>1754</v>
      </c>
      <c r="I2125">
        <f t="shared" si="198"/>
        <v>0</v>
      </c>
      <c r="J2125">
        <f t="shared" si="199"/>
        <v>0</v>
      </c>
      <c r="K2125">
        <f t="shared" si="200"/>
        <v>0</v>
      </c>
      <c r="L2125">
        <f t="shared" si="201"/>
        <v>1</v>
      </c>
      <c r="M2125">
        <f t="shared" si="202"/>
        <v>0</v>
      </c>
      <c r="N2125">
        <f t="shared" si="203"/>
        <v>0</v>
      </c>
    </row>
    <row r="2126" spans="1:14" x14ac:dyDescent="0.35">
      <c r="A2126" t="s">
        <v>386</v>
      </c>
      <c r="B2126" t="s">
        <v>2790</v>
      </c>
      <c r="C2126" s="7" t="s">
        <v>10</v>
      </c>
      <c r="D2126" t="s">
        <v>180</v>
      </c>
      <c r="E2126" t="s">
        <v>1804</v>
      </c>
      <c r="F2126" t="s">
        <v>1805</v>
      </c>
      <c r="I2126">
        <f t="shared" si="198"/>
        <v>0</v>
      </c>
      <c r="J2126">
        <f t="shared" si="199"/>
        <v>1</v>
      </c>
      <c r="K2126">
        <f t="shared" si="200"/>
        <v>0</v>
      </c>
      <c r="L2126">
        <f t="shared" si="201"/>
        <v>0</v>
      </c>
      <c r="M2126">
        <f t="shared" si="202"/>
        <v>0</v>
      </c>
      <c r="N2126">
        <f t="shared" si="203"/>
        <v>0</v>
      </c>
    </row>
    <row r="2127" spans="1:14" x14ac:dyDescent="0.35">
      <c r="A2127" t="s">
        <v>386</v>
      </c>
      <c r="B2127" t="s">
        <v>2790</v>
      </c>
      <c r="C2127" s="7" t="s">
        <v>10</v>
      </c>
      <c r="D2127" t="s">
        <v>180</v>
      </c>
      <c r="E2127" t="s">
        <v>2095</v>
      </c>
      <c r="F2127" t="s">
        <v>1754</v>
      </c>
      <c r="I2127">
        <f t="shared" si="198"/>
        <v>0</v>
      </c>
      <c r="J2127">
        <f t="shared" si="199"/>
        <v>0</v>
      </c>
      <c r="K2127">
        <f t="shared" si="200"/>
        <v>0</v>
      </c>
      <c r="L2127">
        <f t="shared" si="201"/>
        <v>1</v>
      </c>
      <c r="M2127">
        <f t="shared" si="202"/>
        <v>0</v>
      </c>
      <c r="N2127">
        <f t="shared" si="203"/>
        <v>0</v>
      </c>
    </row>
    <row r="2128" spans="1:14" x14ac:dyDescent="0.35">
      <c r="A2128" t="s">
        <v>1221</v>
      </c>
      <c r="B2128" t="s">
        <v>2791</v>
      </c>
      <c r="C2128" s="7" t="s">
        <v>10</v>
      </c>
      <c r="D2128" t="s">
        <v>74</v>
      </c>
      <c r="E2128" t="s">
        <v>1821</v>
      </c>
      <c r="F2128" t="s">
        <v>1760</v>
      </c>
      <c r="I2128">
        <f t="shared" si="198"/>
        <v>0</v>
      </c>
      <c r="J2128">
        <f t="shared" si="199"/>
        <v>0</v>
      </c>
      <c r="K2128">
        <f t="shared" si="200"/>
        <v>1</v>
      </c>
      <c r="L2128">
        <f t="shared" si="201"/>
        <v>0</v>
      </c>
      <c r="M2128">
        <f t="shared" si="202"/>
        <v>0</v>
      </c>
      <c r="N2128">
        <f t="shared" si="203"/>
        <v>0</v>
      </c>
    </row>
    <row r="2129" spans="1:14" x14ac:dyDescent="0.35">
      <c r="A2129" t="s">
        <v>753</v>
      </c>
      <c r="B2129" t="s">
        <v>2792</v>
      </c>
      <c r="C2129" s="7" t="s">
        <v>10</v>
      </c>
      <c r="D2129" t="s">
        <v>755</v>
      </c>
      <c r="E2129" t="s">
        <v>1806</v>
      </c>
      <c r="F2129" t="s">
        <v>1754</v>
      </c>
      <c r="I2129">
        <f t="shared" si="198"/>
        <v>0</v>
      </c>
      <c r="J2129">
        <f t="shared" si="199"/>
        <v>0</v>
      </c>
      <c r="K2129">
        <f t="shared" si="200"/>
        <v>0</v>
      </c>
      <c r="L2129">
        <f t="shared" si="201"/>
        <v>1</v>
      </c>
      <c r="M2129">
        <f t="shared" si="202"/>
        <v>0</v>
      </c>
      <c r="N2129">
        <f t="shared" si="203"/>
        <v>0</v>
      </c>
    </row>
    <row r="2130" spans="1:14" x14ac:dyDescent="0.35">
      <c r="A2130" t="s">
        <v>753</v>
      </c>
      <c r="B2130" t="s">
        <v>2792</v>
      </c>
      <c r="C2130" s="7" t="s">
        <v>10</v>
      </c>
      <c r="D2130" t="s">
        <v>755</v>
      </c>
      <c r="E2130" t="s">
        <v>1807</v>
      </c>
      <c r="F2130" t="s">
        <v>1754</v>
      </c>
      <c r="I2130">
        <f t="shared" si="198"/>
        <v>0</v>
      </c>
      <c r="J2130">
        <f t="shared" si="199"/>
        <v>0</v>
      </c>
      <c r="K2130">
        <f t="shared" si="200"/>
        <v>0</v>
      </c>
      <c r="L2130">
        <f t="shared" si="201"/>
        <v>1</v>
      </c>
      <c r="M2130">
        <f t="shared" si="202"/>
        <v>0</v>
      </c>
      <c r="N2130">
        <f t="shared" si="203"/>
        <v>0</v>
      </c>
    </row>
    <row r="2131" spans="1:14" x14ac:dyDescent="0.35">
      <c r="A2131" t="s">
        <v>915</v>
      </c>
      <c r="B2131" t="s">
        <v>2793</v>
      </c>
      <c r="C2131" s="7" t="s">
        <v>10</v>
      </c>
      <c r="D2131" t="s">
        <v>51</v>
      </c>
      <c r="E2131" t="s">
        <v>1815</v>
      </c>
      <c r="F2131" t="s">
        <v>1754</v>
      </c>
      <c r="I2131">
        <f t="shared" si="198"/>
        <v>0</v>
      </c>
      <c r="J2131">
        <f t="shared" si="199"/>
        <v>0</v>
      </c>
      <c r="K2131">
        <f t="shared" si="200"/>
        <v>0</v>
      </c>
      <c r="L2131">
        <f t="shared" si="201"/>
        <v>1</v>
      </c>
      <c r="M2131">
        <f t="shared" si="202"/>
        <v>0</v>
      </c>
      <c r="N2131">
        <f t="shared" si="203"/>
        <v>0</v>
      </c>
    </row>
    <row r="2132" spans="1:14" x14ac:dyDescent="0.35">
      <c r="A2132" t="s">
        <v>915</v>
      </c>
      <c r="B2132" t="s">
        <v>2793</v>
      </c>
      <c r="C2132" s="7" t="s">
        <v>10</v>
      </c>
      <c r="D2132" t="s">
        <v>51</v>
      </c>
      <c r="E2132" t="s">
        <v>1817</v>
      </c>
      <c r="F2132" t="s">
        <v>1754</v>
      </c>
      <c r="I2132">
        <f t="shared" si="198"/>
        <v>0</v>
      </c>
      <c r="J2132">
        <f t="shared" si="199"/>
        <v>0</v>
      </c>
      <c r="K2132">
        <f t="shared" si="200"/>
        <v>0</v>
      </c>
      <c r="L2132">
        <f t="shared" si="201"/>
        <v>1</v>
      </c>
      <c r="M2132">
        <f t="shared" si="202"/>
        <v>0</v>
      </c>
      <c r="N2132">
        <f t="shared" si="203"/>
        <v>0</v>
      </c>
    </row>
    <row r="2133" spans="1:14" x14ac:dyDescent="0.35">
      <c r="A2133" t="s">
        <v>915</v>
      </c>
      <c r="B2133" t="s">
        <v>2793</v>
      </c>
      <c r="C2133" s="7" t="s">
        <v>10</v>
      </c>
      <c r="D2133" t="s">
        <v>51</v>
      </c>
      <c r="E2133" t="s">
        <v>1813</v>
      </c>
      <c r="F2133" t="s">
        <v>1760</v>
      </c>
      <c r="I2133">
        <f t="shared" si="198"/>
        <v>0</v>
      </c>
      <c r="J2133">
        <f t="shared" si="199"/>
        <v>0</v>
      </c>
      <c r="K2133">
        <f t="shared" si="200"/>
        <v>1</v>
      </c>
      <c r="L2133">
        <f t="shared" si="201"/>
        <v>0</v>
      </c>
      <c r="M2133">
        <f t="shared" si="202"/>
        <v>0</v>
      </c>
      <c r="N2133">
        <f t="shared" si="203"/>
        <v>0</v>
      </c>
    </row>
    <row r="2134" spans="1:14" x14ac:dyDescent="0.35">
      <c r="A2134" t="s">
        <v>915</v>
      </c>
      <c r="B2134" t="s">
        <v>2793</v>
      </c>
      <c r="C2134" s="7" t="s">
        <v>10</v>
      </c>
      <c r="D2134" t="s">
        <v>51</v>
      </c>
      <c r="E2134" t="s">
        <v>1816</v>
      </c>
      <c r="F2134" t="s">
        <v>1760</v>
      </c>
      <c r="I2134">
        <f t="shared" si="198"/>
        <v>0</v>
      </c>
      <c r="J2134">
        <f t="shared" si="199"/>
        <v>0</v>
      </c>
      <c r="K2134">
        <f t="shared" si="200"/>
        <v>1</v>
      </c>
      <c r="L2134">
        <f t="shared" si="201"/>
        <v>0</v>
      </c>
      <c r="M2134">
        <f t="shared" si="202"/>
        <v>0</v>
      </c>
      <c r="N2134">
        <f t="shared" si="203"/>
        <v>0</v>
      </c>
    </row>
    <row r="2135" spans="1:14" x14ac:dyDescent="0.35">
      <c r="A2135" t="s">
        <v>915</v>
      </c>
      <c r="B2135" t="s">
        <v>2793</v>
      </c>
      <c r="C2135" s="7" t="s">
        <v>10</v>
      </c>
      <c r="D2135" t="s">
        <v>51</v>
      </c>
      <c r="E2135" t="s">
        <v>1928</v>
      </c>
      <c r="F2135" t="s">
        <v>1754</v>
      </c>
      <c r="I2135">
        <f t="shared" si="198"/>
        <v>0</v>
      </c>
      <c r="J2135">
        <f t="shared" si="199"/>
        <v>0</v>
      </c>
      <c r="K2135">
        <f t="shared" si="200"/>
        <v>0</v>
      </c>
      <c r="L2135">
        <f t="shared" si="201"/>
        <v>1</v>
      </c>
      <c r="M2135">
        <f t="shared" si="202"/>
        <v>0</v>
      </c>
      <c r="N2135">
        <f t="shared" si="203"/>
        <v>0</v>
      </c>
    </row>
    <row r="2136" spans="1:14" x14ac:dyDescent="0.35">
      <c r="A2136" t="s">
        <v>915</v>
      </c>
      <c r="B2136" t="s">
        <v>2793</v>
      </c>
      <c r="C2136" s="7" t="s">
        <v>10</v>
      </c>
      <c r="D2136" t="s">
        <v>51</v>
      </c>
      <c r="E2136" t="s">
        <v>1931</v>
      </c>
      <c r="F2136" t="s">
        <v>1754</v>
      </c>
      <c r="I2136">
        <f t="shared" si="198"/>
        <v>0</v>
      </c>
      <c r="J2136">
        <f t="shared" si="199"/>
        <v>0</v>
      </c>
      <c r="K2136">
        <f t="shared" si="200"/>
        <v>0</v>
      </c>
      <c r="L2136">
        <f t="shared" si="201"/>
        <v>1</v>
      </c>
      <c r="M2136">
        <f t="shared" si="202"/>
        <v>0</v>
      </c>
      <c r="N2136">
        <f t="shared" si="203"/>
        <v>0</v>
      </c>
    </row>
    <row r="2137" spans="1:14" x14ac:dyDescent="0.35">
      <c r="A2137" t="s">
        <v>891</v>
      </c>
      <c r="B2137" t="s">
        <v>2794</v>
      </c>
      <c r="C2137" s="7" t="s">
        <v>10</v>
      </c>
      <c r="D2137" t="s">
        <v>152</v>
      </c>
      <c r="E2137" t="s">
        <v>1984</v>
      </c>
      <c r="F2137" t="s">
        <v>1727</v>
      </c>
      <c r="I2137">
        <f t="shared" si="198"/>
        <v>0</v>
      </c>
      <c r="J2137">
        <f t="shared" si="199"/>
        <v>0</v>
      </c>
      <c r="K2137">
        <f t="shared" si="200"/>
        <v>0</v>
      </c>
      <c r="L2137">
        <f t="shared" si="201"/>
        <v>0</v>
      </c>
      <c r="M2137">
        <f t="shared" si="202"/>
        <v>1</v>
      </c>
      <c r="N2137">
        <f t="shared" si="203"/>
        <v>0</v>
      </c>
    </row>
    <row r="2138" spans="1:14" x14ac:dyDescent="0.35">
      <c r="A2138" t="s">
        <v>531</v>
      </c>
      <c r="B2138" t="s">
        <v>2795</v>
      </c>
      <c r="C2138" s="7" t="s">
        <v>10</v>
      </c>
      <c r="D2138" t="s">
        <v>281</v>
      </c>
      <c r="E2138" t="s">
        <v>1940</v>
      </c>
      <c r="F2138" t="s">
        <v>1754</v>
      </c>
      <c r="I2138">
        <f t="shared" si="198"/>
        <v>0</v>
      </c>
      <c r="J2138">
        <f t="shared" si="199"/>
        <v>0</v>
      </c>
      <c r="K2138">
        <f t="shared" si="200"/>
        <v>0</v>
      </c>
      <c r="L2138">
        <f t="shared" si="201"/>
        <v>1</v>
      </c>
      <c r="M2138">
        <f t="shared" si="202"/>
        <v>0</v>
      </c>
      <c r="N2138">
        <f t="shared" si="203"/>
        <v>0</v>
      </c>
    </row>
    <row r="2139" spans="1:14" x14ac:dyDescent="0.35">
      <c r="A2139" t="s">
        <v>531</v>
      </c>
      <c r="B2139" t="s">
        <v>2795</v>
      </c>
      <c r="C2139" s="7" t="s">
        <v>10</v>
      </c>
      <c r="D2139" t="s">
        <v>281</v>
      </c>
      <c r="E2139" t="s">
        <v>1941</v>
      </c>
      <c r="F2139" t="s">
        <v>1754</v>
      </c>
      <c r="I2139">
        <f t="shared" si="198"/>
        <v>0</v>
      </c>
      <c r="J2139">
        <f t="shared" si="199"/>
        <v>0</v>
      </c>
      <c r="K2139">
        <f t="shared" si="200"/>
        <v>0</v>
      </c>
      <c r="L2139">
        <f t="shared" si="201"/>
        <v>1</v>
      </c>
      <c r="M2139">
        <f t="shared" si="202"/>
        <v>0</v>
      </c>
      <c r="N2139">
        <f t="shared" si="203"/>
        <v>0</v>
      </c>
    </row>
    <row r="2140" spans="1:14" x14ac:dyDescent="0.35">
      <c r="A2140" t="s">
        <v>1033</v>
      </c>
      <c r="B2140" t="s">
        <v>2796</v>
      </c>
      <c r="C2140" s="7" t="s">
        <v>10</v>
      </c>
      <c r="D2140" t="s">
        <v>276</v>
      </c>
      <c r="E2140" t="s">
        <v>2797</v>
      </c>
      <c r="F2140" t="s">
        <v>1805</v>
      </c>
      <c r="G2140" t="s">
        <v>2798</v>
      </c>
      <c r="H2140" t="s">
        <v>2799</v>
      </c>
      <c r="I2140">
        <f t="shared" si="198"/>
        <v>0</v>
      </c>
      <c r="J2140">
        <f t="shared" si="199"/>
        <v>1</v>
      </c>
      <c r="K2140">
        <f t="shared" si="200"/>
        <v>0</v>
      </c>
      <c r="L2140">
        <f t="shared" si="201"/>
        <v>0</v>
      </c>
      <c r="M2140">
        <f t="shared" si="202"/>
        <v>0</v>
      </c>
      <c r="N2140">
        <f t="shared" si="203"/>
        <v>1</v>
      </c>
    </row>
    <row r="2141" spans="1:14" x14ac:dyDescent="0.35">
      <c r="A2141" t="s">
        <v>1299</v>
      </c>
      <c r="B2141" t="s">
        <v>2800</v>
      </c>
      <c r="C2141" s="7" t="s">
        <v>10</v>
      </c>
      <c r="D2141" t="s">
        <v>111</v>
      </c>
      <c r="E2141" t="s">
        <v>1915</v>
      </c>
      <c r="F2141" t="s">
        <v>1727</v>
      </c>
      <c r="I2141">
        <f t="shared" si="198"/>
        <v>0</v>
      </c>
      <c r="J2141">
        <f t="shared" si="199"/>
        <v>0</v>
      </c>
      <c r="K2141">
        <f t="shared" si="200"/>
        <v>0</v>
      </c>
      <c r="L2141">
        <f t="shared" si="201"/>
        <v>0</v>
      </c>
      <c r="M2141">
        <f t="shared" si="202"/>
        <v>1</v>
      </c>
      <c r="N2141">
        <f t="shared" si="203"/>
        <v>0</v>
      </c>
    </row>
    <row r="2142" spans="1:14" x14ac:dyDescent="0.35">
      <c r="A2142" t="s">
        <v>395</v>
      </c>
      <c r="B2142" t="s">
        <v>2801</v>
      </c>
      <c r="C2142" s="7" t="s">
        <v>10</v>
      </c>
      <c r="D2142" t="s">
        <v>55</v>
      </c>
      <c r="E2142" t="s">
        <v>2034</v>
      </c>
      <c r="F2142" t="s">
        <v>1886</v>
      </c>
      <c r="G2142" t="s">
        <v>2802</v>
      </c>
      <c r="H2142" t="s">
        <v>2803</v>
      </c>
      <c r="I2142">
        <f t="shared" si="198"/>
        <v>0</v>
      </c>
      <c r="J2142">
        <f t="shared" si="199"/>
        <v>0</v>
      </c>
      <c r="K2142">
        <f t="shared" si="200"/>
        <v>0</v>
      </c>
      <c r="L2142">
        <f t="shared" si="201"/>
        <v>0</v>
      </c>
      <c r="M2142">
        <f t="shared" si="202"/>
        <v>0</v>
      </c>
      <c r="N2142">
        <f t="shared" si="203"/>
        <v>1</v>
      </c>
    </row>
    <row r="2143" spans="1:14" x14ac:dyDescent="0.35">
      <c r="A2143" t="s">
        <v>395</v>
      </c>
      <c r="B2143" t="s">
        <v>2801</v>
      </c>
      <c r="C2143" s="7" t="s">
        <v>10</v>
      </c>
      <c r="D2143" t="s">
        <v>55</v>
      </c>
      <c r="E2143" t="s">
        <v>2747</v>
      </c>
      <c r="F2143" t="s">
        <v>1886</v>
      </c>
      <c r="G2143" t="s">
        <v>2802</v>
      </c>
      <c r="H2143" t="s">
        <v>2803</v>
      </c>
      <c r="I2143">
        <f t="shared" si="198"/>
        <v>0</v>
      </c>
      <c r="J2143">
        <f t="shared" si="199"/>
        <v>0</v>
      </c>
      <c r="K2143">
        <f t="shared" si="200"/>
        <v>0</v>
      </c>
      <c r="L2143">
        <f t="shared" si="201"/>
        <v>0</v>
      </c>
      <c r="M2143">
        <f t="shared" si="202"/>
        <v>0</v>
      </c>
      <c r="N2143">
        <f t="shared" si="203"/>
        <v>1</v>
      </c>
    </row>
    <row r="2144" spans="1:14" x14ac:dyDescent="0.35">
      <c r="A2144" t="s">
        <v>395</v>
      </c>
      <c r="B2144" t="s">
        <v>2801</v>
      </c>
      <c r="C2144" s="7" t="s">
        <v>10</v>
      </c>
      <c r="D2144" t="s">
        <v>55</v>
      </c>
      <c r="E2144" t="s">
        <v>1840</v>
      </c>
      <c r="F2144" t="s">
        <v>1760</v>
      </c>
      <c r="G2144" t="s">
        <v>2802</v>
      </c>
      <c r="H2144" t="s">
        <v>2803</v>
      </c>
      <c r="I2144">
        <f t="shared" si="198"/>
        <v>0</v>
      </c>
      <c r="J2144">
        <f t="shared" si="199"/>
        <v>0</v>
      </c>
      <c r="K2144">
        <f t="shared" si="200"/>
        <v>1</v>
      </c>
      <c r="L2144">
        <f t="shared" si="201"/>
        <v>0</v>
      </c>
      <c r="M2144">
        <f t="shared" si="202"/>
        <v>0</v>
      </c>
      <c r="N2144">
        <f t="shared" si="203"/>
        <v>1</v>
      </c>
    </row>
    <row r="2145" spans="1:14" x14ac:dyDescent="0.35">
      <c r="A2145" t="s">
        <v>868</v>
      </c>
      <c r="B2145" t="s">
        <v>2804</v>
      </c>
      <c r="C2145" s="7" t="s">
        <v>10</v>
      </c>
      <c r="D2145" t="s">
        <v>51</v>
      </c>
      <c r="E2145" t="s">
        <v>1854</v>
      </c>
      <c r="F2145" t="s">
        <v>1754</v>
      </c>
      <c r="I2145">
        <f t="shared" si="198"/>
        <v>0</v>
      </c>
      <c r="J2145">
        <f t="shared" si="199"/>
        <v>0</v>
      </c>
      <c r="K2145">
        <f t="shared" si="200"/>
        <v>0</v>
      </c>
      <c r="L2145">
        <f t="shared" si="201"/>
        <v>1</v>
      </c>
      <c r="M2145">
        <f t="shared" si="202"/>
        <v>0</v>
      </c>
      <c r="N2145">
        <f t="shared" si="203"/>
        <v>0</v>
      </c>
    </row>
    <row r="2146" spans="1:14" x14ac:dyDescent="0.35">
      <c r="A2146" t="s">
        <v>1434</v>
      </c>
      <c r="B2146" t="s">
        <v>2805</v>
      </c>
      <c r="C2146" s="7" t="s">
        <v>10</v>
      </c>
      <c r="D2146" t="s">
        <v>51</v>
      </c>
      <c r="E2146" t="s">
        <v>2127</v>
      </c>
      <c r="F2146" t="s">
        <v>1754</v>
      </c>
      <c r="I2146">
        <f t="shared" si="198"/>
        <v>0</v>
      </c>
      <c r="J2146">
        <f t="shared" si="199"/>
        <v>0</v>
      </c>
      <c r="K2146">
        <f t="shared" si="200"/>
        <v>0</v>
      </c>
      <c r="L2146">
        <f t="shared" si="201"/>
        <v>1</v>
      </c>
      <c r="M2146">
        <f t="shared" si="202"/>
        <v>0</v>
      </c>
      <c r="N2146">
        <f t="shared" si="203"/>
        <v>0</v>
      </c>
    </row>
    <row r="2147" spans="1:14" x14ac:dyDescent="0.35">
      <c r="A2147" t="s">
        <v>1434</v>
      </c>
      <c r="B2147" t="s">
        <v>2805</v>
      </c>
      <c r="C2147" s="7" t="s">
        <v>10</v>
      </c>
      <c r="D2147" t="s">
        <v>51</v>
      </c>
      <c r="E2147" t="s">
        <v>2128</v>
      </c>
      <c r="F2147" t="s">
        <v>1754</v>
      </c>
      <c r="I2147">
        <f t="shared" si="198"/>
        <v>0</v>
      </c>
      <c r="J2147">
        <f t="shared" si="199"/>
        <v>0</v>
      </c>
      <c r="K2147">
        <f t="shared" si="200"/>
        <v>0</v>
      </c>
      <c r="L2147">
        <f t="shared" si="201"/>
        <v>1</v>
      </c>
      <c r="M2147">
        <f t="shared" si="202"/>
        <v>0</v>
      </c>
      <c r="N2147">
        <f t="shared" si="203"/>
        <v>0</v>
      </c>
    </row>
    <row r="2148" spans="1:14" x14ac:dyDescent="0.35">
      <c r="A2148" t="s">
        <v>1717</v>
      </c>
      <c r="B2148" t="s">
        <v>2492</v>
      </c>
      <c r="C2148" s="7" t="s">
        <v>10</v>
      </c>
      <c r="D2148" t="s">
        <v>1718</v>
      </c>
      <c r="E2148" t="s">
        <v>2175</v>
      </c>
      <c r="F2148" t="s">
        <v>1727</v>
      </c>
      <c r="I2148">
        <f t="shared" si="198"/>
        <v>0</v>
      </c>
      <c r="J2148">
        <f t="shared" si="199"/>
        <v>0</v>
      </c>
      <c r="K2148">
        <f t="shared" si="200"/>
        <v>0</v>
      </c>
      <c r="L2148">
        <f t="shared" si="201"/>
        <v>0</v>
      </c>
      <c r="M2148">
        <f t="shared" si="202"/>
        <v>1</v>
      </c>
      <c r="N2148">
        <f t="shared" si="203"/>
        <v>0</v>
      </c>
    </row>
    <row r="2149" spans="1:14" x14ac:dyDescent="0.35">
      <c r="A2149" t="s">
        <v>1717</v>
      </c>
      <c r="B2149" t="s">
        <v>2492</v>
      </c>
      <c r="C2149" s="7" t="s">
        <v>10</v>
      </c>
      <c r="D2149" t="s">
        <v>1718</v>
      </c>
      <c r="E2149" t="s">
        <v>2080</v>
      </c>
      <c r="F2149" t="s">
        <v>1727</v>
      </c>
      <c r="I2149">
        <f t="shared" si="198"/>
        <v>0</v>
      </c>
      <c r="J2149">
        <f t="shared" si="199"/>
        <v>0</v>
      </c>
      <c r="K2149">
        <f t="shared" si="200"/>
        <v>0</v>
      </c>
      <c r="L2149">
        <f t="shared" si="201"/>
        <v>0</v>
      </c>
      <c r="M2149">
        <f t="shared" si="202"/>
        <v>1</v>
      </c>
      <c r="N2149">
        <f t="shared" si="203"/>
        <v>0</v>
      </c>
    </row>
    <row r="2150" spans="1:14" x14ac:dyDescent="0.35">
      <c r="A2150" t="s">
        <v>1717</v>
      </c>
      <c r="B2150" t="s">
        <v>2492</v>
      </c>
      <c r="C2150" s="7" t="s">
        <v>10</v>
      </c>
      <c r="D2150" t="s">
        <v>1718</v>
      </c>
      <c r="E2150" t="s">
        <v>2473</v>
      </c>
      <c r="F2150" t="s">
        <v>1727</v>
      </c>
      <c r="I2150">
        <f t="shared" si="198"/>
        <v>0</v>
      </c>
      <c r="J2150">
        <f t="shared" si="199"/>
        <v>0</v>
      </c>
      <c r="K2150">
        <f t="shared" si="200"/>
        <v>0</v>
      </c>
      <c r="L2150">
        <f t="shared" si="201"/>
        <v>0</v>
      </c>
      <c r="M2150">
        <f t="shared" si="202"/>
        <v>1</v>
      </c>
      <c r="N2150">
        <f t="shared" si="203"/>
        <v>0</v>
      </c>
    </row>
    <row r="2151" spans="1:14" x14ac:dyDescent="0.35">
      <c r="A2151" t="s">
        <v>1717</v>
      </c>
      <c r="B2151" t="s">
        <v>2492</v>
      </c>
      <c r="C2151" s="7" t="s">
        <v>10</v>
      </c>
      <c r="D2151" t="s">
        <v>1718</v>
      </c>
      <c r="E2151" t="s">
        <v>2346</v>
      </c>
      <c r="F2151" t="s">
        <v>1727</v>
      </c>
      <c r="I2151">
        <f t="shared" si="198"/>
        <v>0</v>
      </c>
      <c r="J2151">
        <f t="shared" si="199"/>
        <v>0</v>
      </c>
      <c r="K2151">
        <f t="shared" si="200"/>
        <v>0</v>
      </c>
      <c r="L2151">
        <f t="shared" si="201"/>
        <v>0</v>
      </c>
      <c r="M2151">
        <f t="shared" si="202"/>
        <v>1</v>
      </c>
      <c r="N2151">
        <f t="shared" si="203"/>
        <v>0</v>
      </c>
    </row>
    <row r="2152" spans="1:14" x14ac:dyDescent="0.35">
      <c r="A2152" t="s">
        <v>1716</v>
      </c>
      <c r="B2152" t="s">
        <v>2806</v>
      </c>
      <c r="C2152" s="7" t="s">
        <v>10</v>
      </c>
      <c r="D2152" t="s">
        <v>180</v>
      </c>
      <c r="E2152" t="s">
        <v>1806</v>
      </c>
      <c r="F2152" t="s">
        <v>1754</v>
      </c>
      <c r="I2152">
        <f t="shared" si="198"/>
        <v>0</v>
      </c>
      <c r="J2152">
        <f t="shared" si="199"/>
        <v>0</v>
      </c>
      <c r="K2152">
        <f t="shared" si="200"/>
        <v>0</v>
      </c>
      <c r="L2152">
        <f t="shared" si="201"/>
        <v>1</v>
      </c>
      <c r="M2152">
        <f t="shared" si="202"/>
        <v>0</v>
      </c>
      <c r="N2152">
        <f t="shared" si="203"/>
        <v>0</v>
      </c>
    </row>
    <row r="2153" spans="1:14" x14ac:dyDescent="0.35">
      <c r="A2153" t="s">
        <v>1716</v>
      </c>
      <c r="B2153" t="s">
        <v>2806</v>
      </c>
      <c r="C2153" s="7" t="s">
        <v>10</v>
      </c>
      <c r="D2153" t="s">
        <v>180</v>
      </c>
      <c r="E2153" t="s">
        <v>1807</v>
      </c>
      <c r="F2153" t="s">
        <v>1754</v>
      </c>
      <c r="I2153">
        <f t="shared" si="198"/>
        <v>0</v>
      </c>
      <c r="J2153">
        <f t="shared" si="199"/>
        <v>0</v>
      </c>
      <c r="K2153">
        <f t="shared" si="200"/>
        <v>0</v>
      </c>
      <c r="L2153">
        <f t="shared" si="201"/>
        <v>1</v>
      </c>
      <c r="M2153">
        <f t="shared" si="202"/>
        <v>0</v>
      </c>
      <c r="N2153">
        <f t="shared" si="203"/>
        <v>0</v>
      </c>
    </row>
    <row r="2154" spans="1:14" x14ac:dyDescent="0.35">
      <c r="A2154" t="s">
        <v>1716</v>
      </c>
      <c r="B2154" t="s">
        <v>2806</v>
      </c>
      <c r="C2154" s="7" t="s">
        <v>10</v>
      </c>
      <c r="D2154" t="s">
        <v>180</v>
      </c>
      <c r="E2154" t="s">
        <v>1883</v>
      </c>
      <c r="F2154" t="s">
        <v>1754</v>
      </c>
      <c r="I2154">
        <f t="shared" si="198"/>
        <v>0</v>
      </c>
      <c r="J2154">
        <f t="shared" si="199"/>
        <v>0</v>
      </c>
      <c r="K2154">
        <f t="shared" si="200"/>
        <v>0</v>
      </c>
      <c r="L2154">
        <f t="shared" si="201"/>
        <v>1</v>
      </c>
      <c r="M2154">
        <f t="shared" si="202"/>
        <v>0</v>
      </c>
      <c r="N2154">
        <f t="shared" si="203"/>
        <v>0</v>
      </c>
    </row>
    <row r="2155" spans="1:14" x14ac:dyDescent="0.35">
      <c r="A2155" t="s">
        <v>1716</v>
      </c>
      <c r="B2155" t="s">
        <v>2806</v>
      </c>
      <c r="C2155" s="7" t="s">
        <v>10</v>
      </c>
      <c r="D2155" t="s">
        <v>180</v>
      </c>
      <c r="E2155" t="s">
        <v>1882</v>
      </c>
      <c r="F2155" t="s">
        <v>1754</v>
      </c>
      <c r="I2155">
        <f t="shared" si="198"/>
        <v>0</v>
      </c>
      <c r="J2155">
        <f t="shared" si="199"/>
        <v>0</v>
      </c>
      <c r="K2155">
        <f t="shared" si="200"/>
        <v>0</v>
      </c>
      <c r="L2155">
        <f t="shared" si="201"/>
        <v>1</v>
      </c>
      <c r="M2155">
        <f t="shared" si="202"/>
        <v>0</v>
      </c>
      <c r="N2155">
        <f t="shared" si="203"/>
        <v>0</v>
      </c>
    </row>
    <row r="2156" spans="1:14" x14ac:dyDescent="0.35">
      <c r="A2156" t="s">
        <v>1715</v>
      </c>
      <c r="B2156" t="s">
        <v>2807</v>
      </c>
      <c r="C2156" s="7" t="s">
        <v>10</v>
      </c>
      <c r="D2156" t="s">
        <v>51</v>
      </c>
      <c r="E2156" t="s">
        <v>1904</v>
      </c>
      <c r="F2156" t="s">
        <v>1760</v>
      </c>
      <c r="I2156">
        <f t="shared" si="198"/>
        <v>0</v>
      </c>
      <c r="J2156">
        <f t="shared" si="199"/>
        <v>0</v>
      </c>
      <c r="K2156">
        <f t="shared" si="200"/>
        <v>1</v>
      </c>
      <c r="L2156">
        <f t="shared" si="201"/>
        <v>0</v>
      </c>
      <c r="M2156">
        <f t="shared" si="202"/>
        <v>0</v>
      </c>
      <c r="N2156">
        <f t="shared" si="203"/>
        <v>0</v>
      </c>
    </row>
    <row r="2157" spans="1:14" x14ac:dyDescent="0.35">
      <c r="A2157" t="s">
        <v>1715</v>
      </c>
      <c r="B2157" t="s">
        <v>2807</v>
      </c>
      <c r="C2157" s="7" t="s">
        <v>10</v>
      </c>
      <c r="D2157" t="s">
        <v>51</v>
      </c>
      <c r="E2157" t="s">
        <v>1840</v>
      </c>
      <c r="F2157" t="s">
        <v>1760</v>
      </c>
      <c r="I2157">
        <f t="shared" si="198"/>
        <v>0</v>
      </c>
      <c r="J2157">
        <f t="shared" si="199"/>
        <v>0</v>
      </c>
      <c r="K2157">
        <f t="shared" si="200"/>
        <v>1</v>
      </c>
      <c r="L2157">
        <f t="shared" si="201"/>
        <v>0</v>
      </c>
      <c r="M2157">
        <f t="shared" si="202"/>
        <v>0</v>
      </c>
      <c r="N2157">
        <f t="shared" si="203"/>
        <v>0</v>
      </c>
    </row>
    <row r="2158" spans="1:14" x14ac:dyDescent="0.35">
      <c r="A2158" t="s">
        <v>1715</v>
      </c>
      <c r="B2158" t="s">
        <v>2807</v>
      </c>
      <c r="C2158" s="7" t="s">
        <v>10</v>
      </c>
      <c r="D2158" t="s">
        <v>51</v>
      </c>
      <c r="E2158" t="s">
        <v>2015</v>
      </c>
      <c r="F2158" t="s">
        <v>1754</v>
      </c>
      <c r="I2158">
        <f t="shared" si="198"/>
        <v>0</v>
      </c>
      <c r="J2158">
        <f t="shared" si="199"/>
        <v>0</v>
      </c>
      <c r="K2158">
        <f t="shared" si="200"/>
        <v>0</v>
      </c>
      <c r="L2158">
        <f t="shared" si="201"/>
        <v>1</v>
      </c>
      <c r="M2158">
        <f t="shared" si="202"/>
        <v>0</v>
      </c>
      <c r="N2158">
        <f t="shared" si="203"/>
        <v>0</v>
      </c>
    </row>
    <row r="2159" spans="1:14" x14ac:dyDescent="0.35">
      <c r="A2159" t="s">
        <v>1715</v>
      </c>
      <c r="B2159" t="s">
        <v>2807</v>
      </c>
      <c r="C2159" s="7" t="s">
        <v>10</v>
      </c>
      <c r="D2159" t="s">
        <v>51</v>
      </c>
      <c r="E2159" t="s">
        <v>2238</v>
      </c>
      <c r="F2159" t="s">
        <v>1754</v>
      </c>
      <c r="I2159">
        <f t="shared" si="198"/>
        <v>0</v>
      </c>
      <c r="J2159">
        <f t="shared" si="199"/>
        <v>0</v>
      </c>
      <c r="K2159">
        <f t="shared" si="200"/>
        <v>0</v>
      </c>
      <c r="L2159">
        <f t="shared" si="201"/>
        <v>1</v>
      </c>
      <c r="M2159">
        <f t="shared" si="202"/>
        <v>0</v>
      </c>
      <c r="N2159">
        <f t="shared" si="203"/>
        <v>0</v>
      </c>
    </row>
    <row r="2160" spans="1:14" x14ac:dyDescent="0.35">
      <c r="A2160" t="s">
        <v>1715</v>
      </c>
      <c r="B2160" t="s">
        <v>2807</v>
      </c>
      <c r="C2160" s="7" t="s">
        <v>10</v>
      </c>
      <c r="D2160" t="s">
        <v>51</v>
      </c>
      <c r="E2160" t="s">
        <v>2002</v>
      </c>
      <c r="F2160" t="s">
        <v>1754</v>
      </c>
      <c r="I2160">
        <f t="shared" si="198"/>
        <v>0</v>
      </c>
      <c r="J2160">
        <f t="shared" si="199"/>
        <v>0</v>
      </c>
      <c r="K2160">
        <f t="shared" si="200"/>
        <v>0</v>
      </c>
      <c r="L2160">
        <f t="shared" si="201"/>
        <v>1</v>
      </c>
      <c r="M2160">
        <f t="shared" si="202"/>
        <v>0</v>
      </c>
      <c r="N2160">
        <f t="shared" si="203"/>
        <v>0</v>
      </c>
    </row>
    <row r="2161" spans="1:14" x14ac:dyDescent="0.35">
      <c r="A2161" t="s">
        <v>1715</v>
      </c>
      <c r="B2161" t="s">
        <v>2807</v>
      </c>
      <c r="C2161" s="7" t="s">
        <v>10</v>
      </c>
      <c r="D2161" t="s">
        <v>51</v>
      </c>
      <c r="E2161" t="s">
        <v>2003</v>
      </c>
      <c r="F2161" t="s">
        <v>1754</v>
      </c>
      <c r="I2161">
        <f t="shared" si="198"/>
        <v>0</v>
      </c>
      <c r="J2161">
        <f t="shared" si="199"/>
        <v>0</v>
      </c>
      <c r="K2161">
        <f t="shared" si="200"/>
        <v>0</v>
      </c>
      <c r="L2161">
        <f t="shared" si="201"/>
        <v>1</v>
      </c>
      <c r="M2161">
        <f t="shared" si="202"/>
        <v>0</v>
      </c>
      <c r="N2161">
        <f t="shared" si="203"/>
        <v>0</v>
      </c>
    </row>
    <row r="2162" spans="1:14" x14ac:dyDescent="0.35">
      <c r="A2162" t="s">
        <v>1715</v>
      </c>
      <c r="B2162" t="s">
        <v>2807</v>
      </c>
      <c r="C2162" s="7" t="s">
        <v>10</v>
      </c>
      <c r="D2162" t="s">
        <v>51</v>
      </c>
      <c r="E2162" t="s">
        <v>1928</v>
      </c>
      <c r="F2162" t="s">
        <v>1754</v>
      </c>
      <c r="I2162">
        <f t="shared" si="198"/>
        <v>0</v>
      </c>
      <c r="J2162">
        <f t="shared" si="199"/>
        <v>0</v>
      </c>
      <c r="K2162">
        <f t="shared" si="200"/>
        <v>0</v>
      </c>
      <c r="L2162">
        <f t="shared" si="201"/>
        <v>1</v>
      </c>
      <c r="M2162">
        <f t="shared" si="202"/>
        <v>0</v>
      </c>
      <c r="N2162">
        <f t="shared" si="203"/>
        <v>0</v>
      </c>
    </row>
    <row r="2163" spans="1:14" x14ac:dyDescent="0.35">
      <c r="A2163" t="s">
        <v>1715</v>
      </c>
      <c r="B2163" t="s">
        <v>2807</v>
      </c>
      <c r="C2163" s="7" t="s">
        <v>10</v>
      </c>
      <c r="D2163" t="s">
        <v>51</v>
      </c>
      <c r="E2163" t="s">
        <v>1931</v>
      </c>
      <c r="F2163" t="s">
        <v>1754</v>
      </c>
      <c r="I2163">
        <f t="shared" si="198"/>
        <v>0</v>
      </c>
      <c r="J2163">
        <f t="shared" si="199"/>
        <v>0</v>
      </c>
      <c r="K2163">
        <f t="shared" si="200"/>
        <v>0</v>
      </c>
      <c r="L2163">
        <f t="shared" si="201"/>
        <v>1</v>
      </c>
      <c r="M2163">
        <f t="shared" si="202"/>
        <v>0</v>
      </c>
      <c r="N2163">
        <f t="shared" si="203"/>
        <v>0</v>
      </c>
    </row>
    <row r="2164" spans="1:14" x14ac:dyDescent="0.35">
      <c r="A2164" t="s">
        <v>1715</v>
      </c>
      <c r="B2164" t="s">
        <v>2807</v>
      </c>
      <c r="C2164" s="7" t="s">
        <v>6</v>
      </c>
      <c r="D2164" t="s">
        <v>51</v>
      </c>
      <c r="E2164" t="s">
        <v>1843</v>
      </c>
      <c r="F2164" t="s">
        <v>1760</v>
      </c>
      <c r="I2164">
        <f t="shared" si="198"/>
        <v>0</v>
      </c>
      <c r="J2164">
        <f t="shared" si="199"/>
        <v>0</v>
      </c>
      <c r="K2164">
        <f t="shared" si="200"/>
        <v>1</v>
      </c>
      <c r="L2164">
        <f t="shared" si="201"/>
        <v>0</v>
      </c>
      <c r="M2164">
        <f t="shared" si="202"/>
        <v>0</v>
      </c>
      <c r="N2164">
        <f t="shared" si="203"/>
        <v>0</v>
      </c>
    </row>
    <row r="2165" spans="1:14" x14ac:dyDescent="0.35">
      <c r="A2165" t="s">
        <v>1715</v>
      </c>
      <c r="B2165" t="s">
        <v>2807</v>
      </c>
      <c r="C2165" s="7" t="s">
        <v>6</v>
      </c>
      <c r="D2165" t="s">
        <v>51</v>
      </c>
      <c r="E2165" t="s">
        <v>1842</v>
      </c>
      <c r="F2165" t="s">
        <v>1760</v>
      </c>
      <c r="I2165">
        <f t="shared" si="198"/>
        <v>0</v>
      </c>
      <c r="J2165">
        <f t="shared" si="199"/>
        <v>0</v>
      </c>
      <c r="K2165">
        <f t="shared" si="200"/>
        <v>1</v>
      </c>
      <c r="L2165">
        <f t="shared" si="201"/>
        <v>0</v>
      </c>
      <c r="M2165">
        <f t="shared" si="202"/>
        <v>0</v>
      </c>
      <c r="N2165">
        <f t="shared" si="203"/>
        <v>0</v>
      </c>
    </row>
    <row r="2166" spans="1:14" x14ac:dyDescent="0.35">
      <c r="A2166" t="s">
        <v>1715</v>
      </c>
      <c r="B2166" t="s">
        <v>2807</v>
      </c>
      <c r="C2166" s="7" t="s">
        <v>6</v>
      </c>
      <c r="D2166" t="s">
        <v>51</v>
      </c>
      <c r="E2166" t="s">
        <v>1841</v>
      </c>
      <c r="F2166" t="s">
        <v>1760</v>
      </c>
      <c r="I2166">
        <f t="shared" si="198"/>
        <v>0</v>
      </c>
      <c r="J2166">
        <f t="shared" si="199"/>
        <v>0</v>
      </c>
      <c r="K2166">
        <f t="shared" si="200"/>
        <v>1</v>
      </c>
      <c r="L2166">
        <f t="shared" si="201"/>
        <v>0</v>
      </c>
      <c r="M2166">
        <f t="shared" si="202"/>
        <v>0</v>
      </c>
      <c r="N2166">
        <f t="shared" si="203"/>
        <v>0</v>
      </c>
    </row>
    <row r="2167" spans="1:14" x14ac:dyDescent="0.35">
      <c r="A2167" t="s">
        <v>1715</v>
      </c>
      <c r="B2167" t="s">
        <v>2807</v>
      </c>
      <c r="C2167" s="7" t="s">
        <v>6</v>
      </c>
      <c r="D2167" t="s">
        <v>51</v>
      </c>
      <c r="E2167" t="s">
        <v>1821</v>
      </c>
      <c r="F2167" t="s">
        <v>1760</v>
      </c>
      <c r="I2167">
        <f t="shared" si="198"/>
        <v>0</v>
      </c>
      <c r="J2167">
        <f t="shared" si="199"/>
        <v>0</v>
      </c>
      <c r="K2167">
        <f t="shared" si="200"/>
        <v>1</v>
      </c>
      <c r="L2167">
        <f t="shared" si="201"/>
        <v>0</v>
      </c>
      <c r="M2167">
        <f t="shared" si="202"/>
        <v>0</v>
      </c>
      <c r="N2167">
        <f t="shared" si="203"/>
        <v>0</v>
      </c>
    </row>
    <row r="2168" spans="1:14" x14ac:dyDescent="0.35">
      <c r="A2168" t="s">
        <v>1715</v>
      </c>
      <c r="B2168" t="s">
        <v>2807</v>
      </c>
      <c r="C2168" s="7" t="s">
        <v>6</v>
      </c>
      <c r="D2168" t="s">
        <v>51</v>
      </c>
      <c r="E2168" t="s">
        <v>1839</v>
      </c>
      <c r="F2168" t="s">
        <v>1760</v>
      </c>
      <c r="I2168">
        <f t="shared" si="198"/>
        <v>0</v>
      </c>
      <c r="J2168">
        <f t="shared" si="199"/>
        <v>0</v>
      </c>
      <c r="K2168">
        <f t="shared" si="200"/>
        <v>1</v>
      </c>
      <c r="L2168">
        <f t="shared" si="201"/>
        <v>0</v>
      </c>
      <c r="M2168">
        <f t="shared" si="202"/>
        <v>0</v>
      </c>
      <c r="N2168">
        <f t="shared" si="203"/>
        <v>0</v>
      </c>
    </row>
    <row r="2169" spans="1:14" x14ac:dyDescent="0.35">
      <c r="A2169" t="s">
        <v>1715</v>
      </c>
      <c r="B2169" t="s">
        <v>2807</v>
      </c>
      <c r="C2169" s="7" t="s">
        <v>6</v>
      </c>
      <c r="D2169" t="s">
        <v>51</v>
      </c>
      <c r="E2169" t="s">
        <v>1822</v>
      </c>
      <c r="F2169" t="s">
        <v>1760</v>
      </c>
      <c r="I2169">
        <f t="shared" si="198"/>
        <v>0</v>
      </c>
      <c r="J2169">
        <f t="shared" si="199"/>
        <v>0</v>
      </c>
      <c r="K2169">
        <f t="shared" si="200"/>
        <v>1</v>
      </c>
      <c r="L2169">
        <f t="shared" si="201"/>
        <v>0</v>
      </c>
      <c r="M2169">
        <f t="shared" si="202"/>
        <v>0</v>
      </c>
      <c r="N2169">
        <f t="shared" si="203"/>
        <v>0</v>
      </c>
    </row>
    <row r="2170" spans="1:14" x14ac:dyDescent="0.35">
      <c r="A2170" t="s">
        <v>1715</v>
      </c>
      <c r="B2170" t="s">
        <v>2807</v>
      </c>
      <c r="C2170" s="7" t="s">
        <v>10</v>
      </c>
      <c r="D2170" t="s">
        <v>51</v>
      </c>
      <c r="E2170" t="s">
        <v>1823</v>
      </c>
      <c r="F2170" t="s">
        <v>1760</v>
      </c>
      <c r="I2170">
        <f t="shared" si="198"/>
        <v>0</v>
      </c>
      <c r="J2170">
        <f t="shared" si="199"/>
        <v>0</v>
      </c>
      <c r="K2170">
        <f t="shared" si="200"/>
        <v>1</v>
      </c>
      <c r="L2170">
        <f t="shared" si="201"/>
        <v>0</v>
      </c>
      <c r="M2170">
        <f t="shared" si="202"/>
        <v>0</v>
      </c>
      <c r="N2170">
        <f t="shared" si="203"/>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3BCB5C12746E54CA9BC03E8B376BF68" ma:contentTypeVersion="18" ma:contentTypeDescription="Create a new document." ma:contentTypeScope="" ma:versionID="dd2fb2930248b5ccdf286bf9ed769796">
  <xsd:schema xmlns:xsd="http://www.w3.org/2001/XMLSchema" xmlns:xs="http://www.w3.org/2001/XMLSchema" xmlns:p="http://schemas.microsoft.com/office/2006/metadata/properties" xmlns:ns2="8253af2a-fd0f-40a4-8001-231cdeab6c87" xmlns:ns3="6b2d526b-f179-4f8c-9fce-7a2c6e455f6f" targetNamespace="http://schemas.microsoft.com/office/2006/metadata/properties" ma:root="true" ma:fieldsID="d98873701e2b1e5ff0c4dac7a4d30bae" ns2:_="" ns3:_="">
    <xsd:import namespace="8253af2a-fd0f-40a4-8001-231cdeab6c87"/>
    <xsd:import namespace="6b2d526b-f179-4f8c-9fce-7a2c6e455f6f"/>
    <xsd:element name="properties">
      <xsd:complexType>
        <xsd:sequence>
          <xsd:element name="documentManagement">
            <xsd:complexType>
              <xsd:all>
                <xsd:element ref="ns2:MediaServiceMetadata" minOccurs="0"/>
                <xsd:element ref="ns2:MediaServiceFastMetadata" minOccurs="0"/>
                <xsd:element ref="ns2:MediaServiceDateTaken" minOccurs="0"/>
                <xsd:element ref="ns3:SharedWithUsers" minOccurs="0"/>
                <xsd:element ref="ns2:MediaServiceAutoTags" minOccurs="0"/>
                <xsd:element ref="ns2:MediaServiceLocation" minOccurs="0"/>
                <xsd:element ref="ns3:SharedWithDetail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253af2a-fd0f-40a4-8001-231cdeab6c87"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DateTaken" ma:index="10" nillable="true" ma:displayName="MediaServiceDateTaken" ma:description="" ma:hidden="true" ma:internalName="MediaServiceDateTaken" ma:readOnly="true">
      <xsd:simpleType>
        <xsd:restriction base="dms:Text"/>
      </xsd:simpleType>
    </xsd:element>
    <xsd:element name="MediaServiceAutoTags" ma:index="12" nillable="true" ma:displayName="MediaServiceAutoTags" ma:description="" ma:internalName="MediaServiceAutoTags" ma:readOnly="true">
      <xsd:simpleType>
        <xsd:restriction base="dms:Text"/>
      </xsd:simpleType>
    </xsd:element>
    <xsd:element name="MediaServiceLocation" ma:index="13" nillable="true" ma:displayName="MediaServiceLocation" ma:description="" ma:internalName="MediaServiceLocation" ma:readOnly="true">
      <xsd:simpleType>
        <xsd:restriction base="dms:Text"/>
      </xsd:simpleType>
    </xsd:element>
    <xsd:element name="MediaServiceOCR" ma:index="15" nillable="true" ma:displayName="MediaServiceOCR"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b2d526b-f179-4f8c-9fce-7a2c6e455f6f" elementFormDefault="qualified">
    <xsd:import namespace="http://schemas.microsoft.com/office/2006/documentManagement/types"/>
    <xsd:import namespace="http://schemas.microsoft.com/office/infopath/2007/PartnerControls"/>
    <xsd:element name="SharedWithUsers" ma:index="11" nillable="true" ma:displayName="Shared With"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description="" ma:internalName="SharedWithDetails" ma:readOnly="true">
      <xsd:simpleType>
        <xsd:restriction base="dms:Note">
          <xsd:maxLength value="255"/>
        </xsd:restriction>
      </xsd:simpleType>
    </xsd:element>
    <xsd:element name="TaxCatchAll" ma:index="23" nillable="true" ma:displayName="Taxonomy Catch All Column" ma:hidden="true" ma:list="{1f5ff33f-2ee3-42f8-92a4-70a6efeca09c}" ma:internalName="TaxCatchAll" ma:showField="CatchAllData" ma:web="6b2d526b-f179-4f8c-9fce-7a2c6e455f6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253af2a-fd0f-40a4-8001-231cdeab6c87">
      <Terms xmlns="http://schemas.microsoft.com/office/infopath/2007/PartnerControls"/>
    </lcf76f155ced4ddcb4097134ff3c332f>
    <TaxCatchAll xmlns="6b2d526b-f179-4f8c-9fce-7a2c6e455f6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2D47B36-2824-48D4-8F5C-2CD1CDAC8C3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253af2a-fd0f-40a4-8001-231cdeab6c87"/>
    <ds:schemaRef ds:uri="6b2d526b-f179-4f8c-9fce-7a2c6e455f6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A1B17DE-A0EC-4018-B697-68194B436EBF}">
  <ds:schemaRefs>
    <ds:schemaRef ds:uri="http://www.w3.org/XML/1998/namespace"/>
    <ds:schemaRef ds:uri="http://purl.org/dc/elements/1.1/"/>
    <ds:schemaRef ds:uri="http://schemas.microsoft.com/office/2006/metadata/properties"/>
    <ds:schemaRef ds:uri="http://schemas.microsoft.com/office/infopath/2007/PartnerControls"/>
    <ds:schemaRef ds:uri="6b2d526b-f179-4f8c-9fce-7a2c6e455f6f"/>
    <ds:schemaRef ds:uri="http://schemas.microsoft.com/office/2006/documentManagement/types"/>
    <ds:schemaRef ds:uri="http://purl.org/dc/terms/"/>
    <ds:schemaRef ds:uri="http://schemas.openxmlformats.org/package/2006/metadata/core-properties"/>
    <ds:schemaRef ds:uri="8253af2a-fd0f-40a4-8001-231cdeab6c87"/>
    <ds:schemaRef ds:uri="http://purl.org/dc/dcmitype/"/>
  </ds:schemaRefs>
</ds:datastoreItem>
</file>

<file path=customXml/itemProps3.xml><?xml version="1.0" encoding="utf-8"?>
<ds:datastoreItem xmlns:ds="http://schemas.openxmlformats.org/officeDocument/2006/customXml" ds:itemID="{FD073BCF-0302-44F0-9F2E-04CFE42DCE90}">
  <ds:schemaRefs>
    <ds:schemaRef ds:uri="http://schemas.microsoft.com/sharepoint/v3/contenttype/forms"/>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assessment per view</vt:lpstr>
      <vt:lpstr>views</vt:lpstr>
      <vt:lpstr>types</vt:lpstr>
      <vt:lpstr>tech view</vt:lpstr>
      <vt:lpstr>1er Intento</vt:lpstr>
      <vt:lpstr>2do Intento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Juan Jose Suarez Burgos</cp:lastModifiedBy>
  <cp:revision/>
  <dcterms:created xsi:type="dcterms:W3CDTF">2026-02-18T09:18:12Z</dcterms:created>
  <dcterms:modified xsi:type="dcterms:W3CDTF">2026-04-06T08:06:10Z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0x01010013BCB5C12746E54CA9BC03E8B376BF68</vt:lpwstr>
  </property>
  <property fmtid="{D5CDD505-2E9C-101B-9397-08002B2CF9AE}" pid="3" name="MediaServiceImageTags">
    <vt:lpwstr/>
  </property>
</Properties>
</file>
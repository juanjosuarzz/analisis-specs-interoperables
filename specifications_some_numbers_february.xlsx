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verisgroup-my.sharepoint.com/personal/jsuarebu_emeal_nttdata_com/Documents/Escritorio/"/>
    </mc:Choice>
  </mc:AlternateContent>
  <xr:revisionPtr revIDLastSave="0" documentId="8_{38058EAE-85E8-408A-BF0D-42A3FA2F490E}" xr6:coauthVersionLast="47" xr6:coauthVersionMax="47" xr10:uidLastSave="{00000000-0000-0000-0000-000000000000}"/>
  <bookViews>
    <workbookView xWindow="-110" yWindow="-110" windowWidth="19420" windowHeight="10300" xr2:uid="{00000000-000D-0000-FFFF-FFFF00000000}"/>
  </bookViews>
  <sheets>
    <sheet name="assessment per view" sheetId="5" r:id="rId1"/>
    <sheet name="views" sheetId="4" r:id="rId2"/>
    <sheet name="types" sheetId="3" r:id="rId3"/>
    <sheet name="tech view" sheetId="2" r:id="rId4"/>
    <sheet name="Hoja1" sheetId="6" r:id="rId5"/>
    <sheet name="Sheet1" sheetId="1" r:id="rId6"/>
  </sheet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a="1"/>
  <c r="H3" i="1"/>
  <c r="H4" i="1" a="1"/>
  <c r="H4" i="1" s="1"/>
  <c r="H5" i="1" a="1"/>
  <c r="H5" i="1"/>
  <c r="H6" i="1" a="1"/>
  <c r="H6" i="1"/>
  <c r="H7" i="1" a="1"/>
  <c r="H7" i="1"/>
  <c r="H8" i="1" a="1"/>
  <c r="H8" i="1"/>
  <c r="H9" i="1" a="1"/>
  <c r="H9" i="1"/>
  <c r="H10" i="1" a="1"/>
  <c r="H10" i="1"/>
  <c r="H11" i="1" a="1"/>
  <c r="H11" i="1"/>
  <c r="H12" i="1" a="1"/>
  <c r="H12" i="1"/>
  <c r="H13" i="1" a="1"/>
  <c r="H13" i="1"/>
  <c r="H14" i="1" a="1"/>
  <c r="H14" i="1"/>
  <c r="H15" i="1" a="1"/>
  <c r="H15" i="1" s="1"/>
  <c r="H16" i="1" a="1"/>
  <c r="H16" i="1"/>
  <c r="H17" i="1" a="1"/>
  <c r="H17" i="1"/>
  <c r="H18" i="1" a="1"/>
  <c r="H18" i="1"/>
  <c r="H19" i="1" a="1"/>
  <c r="H19" i="1"/>
  <c r="H20" i="1" a="1"/>
  <c r="H20" i="1"/>
  <c r="H21" i="1" a="1"/>
  <c r="H21" i="1"/>
  <c r="H22" i="1" a="1"/>
  <c r="H22" i="1"/>
  <c r="H23" i="1" a="1"/>
  <c r="H23" i="1"/>
  <c r="H24" i="1" a="1"/>
  <c r="H24" i="1"/>
  <c r="H25" i="1" a="1"/>
  <c r="H25" i="1"/>
  <c r="H26" i="1" a="1"/>
  <c r="H26" i="1" s="1"/>
  <c r="H27" i="1" a="1"/>
  <c r="H27" i="1"/>
  <c r="H28" i="1" a="1"/>
  <c r="H28" i="1"/>
  <c r="H29" i="1" a="1"/>
  <c r="H29" i="1"/>
  <c r="H30" i="1" a="1"/>
  <c r="H30" i="1"/>
  <c r="H31" i="1" a="1"/>
  <c r="H31" i="1"/>
  <c r="H32" i="1" a="1"/>
  <c r="H32" i="1"/>
  <c r="H33" i="1" a="1"/>
  <c r="H33" i="1"/>
  <c r="H34" i="1" a="1"/>
  <c r="H34" i="1"/>
  <c r="H35" i="1" a="1"/>
  <c r="H35" i="1"/>
  <c r="H36" i="1" a="1"/>
  <c r="H36" i="1"/>
  <c r="H37" i="1" a="1"/>
  <c r="H37" i="1" s="1"/>
  <c r="H38" i="1" a="1"/>
  <c r="H38" i="1"/>
  <c r="H39" i="1" a="1"/>
  <c r="H39" i="1"/>
  <c r="H40" i="1" a="1"/>
  <c r="H40" i="1"/>
  <c r="H41" i="1" a="1"/>
  <c r="H41" i="1"/>
  <c r="H42" i="1" a="1"/>
  <c r="H42" i="1"/>
  <c r="H43" i="1" a="1"/>
  <c r="H43" i="1"/>
  <c r="H44" i="1" a="1"/>
  <c r="H44" i="1"/>
  <c r="H45" i="1" a="1"/>
  <c r="H45" i="1"/>
  <c r="H46" i="1" a="1"/>
  <c r="H46" i="1"/>
  <c r="H47" i="1" a="1"/>
  <c r="H47" i="1"/>
  <c r="H48" i="1" a="1"/>
  <c r="H48" i="1" s="1"/>
  <c r="H49" i="1" a="1"/>
  <c r="H49" i="1"/>
  <c r="H50" i="1" a="1"/>
  <c r="H50" i="1"/>
  <c r="H51" i="1" a="1"/>
  <c r="H51" i="1"/>
  <c r="H52" i="1" a="1"/>
  <c r="H52" i="1"/>
  <c r="H53" i="1" a="1"/>
  <c r="H53" i="1"/>
  <c r="H54" i="1" a="1"/>
  <c r="H54" i="1"/>
  <c r="H55" i="1" a="1"/>
  <c r="H55" i="1"/>
  <c r="H56" i="1" a="1"/>
  <c r="H56" i="1"/>
  <c r="H57" i="1" a="1"/>
  <c r="H57" i="1"/>
  <c r="H58" i="1" a="1"/>
  <c r="H58" i="1"/>
  <c r="H59" i="1" a="1"/>
  <c r="H59" i="1" s="1"/>
  <c r="H60" i="1" a="1"/>
  <c r="H60" i="1"/>
  <c r="H61" i="1" a="1"/>
  <c r="H61" i="1"/>
  <c r="H62" i="1" a="1"/>
  <c r="H62" i="1"/>
  <c r="H63" i="1" a="1"/>
  <c r="H63" i="1"/>
  <c r="H64" i="1" a="1"/>
  <c r="H64" i="1"/>
  <c r="H65" i="1" a="1"/>
  <c r="H65" i="1"/>
  <c r="H66" i="1" a="1"/>
  <c r="H66" i="1"/>
  <c r="H67" i="1" a="1"/>
  <c r="H67" i="1"/>
  <c r="H68" i="1" a="1"/>
  <c r="H68" i="1"/>
  <c r="H69" i="1" a="1"/>
  <c r="H69" i="1"/>
  <c r="H70" i="1" a="1"/>
  <c r="H70" i="1" s="1"/>
  <c r="H71" i="1" a="1"/>
  <c r="H71" i="1"/>
  <c r="H72" i="1" a="1"/>
  <c r="H72" i="1"/>
  <c r="H73" i="1" a="1"/>
  <c r="H73" i="1"/>
  <c r="H74" i="1" a="1"/>
  <c r="H74" i="1"/>
  <c r="H75" i="1" a="1"/>
  <c r="H75" i="1"/>
  <c r="H76" i="1" a="1"/>
  <c r="H76" i="1"/>
  <c r="H77" i="1" a="1"/>
  <c r="H77" i="1"/>
  <c r="H78" i="1" a="1"/>
  <c r="H78" i="1"/>
  <c r="H79" i="1" a="1"/>
  <c r="H79" i="1"/>
  <c r="H80" i="1" a="1"/>
  <c r="H80" i="1"/>
  <c r="H81" i="1" a="1"/>
  <c r="H81" i="1" s="1"/>
  <c r="H82" i="1" a="1"/>
  <c r="H82" i="1"/>
  <c r="H83" i="1" a="1"/>
  <c r="H83" i="1"/>
  <c r="H84" i="1" a="1"/>
  <c r="H84" i="1"/>
  <c r="H85" i="1" a="1"/>
  <c r="H85" i="1"/>
  <c r="H86" i="1" a="1"/>
  <c r="H86" i="1"/>
  <c r="H87" i="1" a="1"/>
  <c r="H87" i="1"/>
  <c r="H88" i="1" a="1"/>
  <c r="H88" i="1"/>
  <c r="H89" i="1" a="1"/>
  <c r="H89" i="1"/>
  <c r="H90" i="1" a="1"/>
  <c r="H90" i="1"/>
  <c r="H91" i="1" a="1"/>
  <c r="H91" i="1"/>
  <c r="H92" i="1" a="1"/>
  <c r="H92" i="1" s="1"/>
  <c r="H93" i="1" a="1"/>
  <c r="H93" i="1"/>
  <c r="H94" i="1" a="1"/>
  <c r="H94" i="1"/>
  <c r="H95" i="1" a="1"/>
  <c r="H95" i="1"/>
  <c r="H96" i="1" a="1"/>
  <c r="H96" i="1"/>
  <c r="H97" i="1" a="1"/>
  <c r="H97" i="1"/>
  <c r="H98" i="1" a="1"/>
  <c r="H98" i="1"/>
  <c r="H99" i="1" a="1"/>
  <c r="H99" i="1"/>
  <c r="H100" i="1" a="1"/>
  <c r="H100" i="1"/>
  <c r="H101" i="1" a="1"/>
  <c r="H101" i="1"/>
  <c r="H102" i="1" a="1"/>
  <c r="H102" i="1"/>
  <c r="H103" i="1" a="1"/>
  <c r="H103" i="1" s="1"/>
  <c r="H104" i="1" a="1"/>
  <c r="H104" i="1"/>
  <c r="H105" i="1" a="1"/>
  <c r="H105" i="1"/>
  <c r="H106" i="1" a="1"/>
  <c r="H106" i="1"/>
  <c r="H107" i="1" a="1"/>
  <c r="H107" i="1"/>
  <c r="H108" i="1" a="1"/>
  <c r="H108" i="1"/>
  <c r="H109" i="1" a="1"/>
  <c r="H109" i="1"/>
  <c r="H110" i="1" a="1"/>
  <c r="H110" i="1"/>
  <c r="H111" i="1" a="1"/>
  <c r="H111" i="1"/>
  <c r="H112" i="1" a="1"/>
  <c r="H112" i="1"/>
  <c r="H113" i="1" a="1"/>
  <c r="H113" i="1"/>
  <c r="H114" i="1" a="1"/>
  <c r="H114" i="1" s="1"/>
  <c r="H115" i="1" a="1"/>
  <c r="H115" i="1"/>
  <c r="H116" i="1" a="1"/>
  <c r="H116" i="1"/>
  <c r="H117" i="1" a="1"/>
  <c r="H117" i="1"/>
  <c r="H118" i="1" a="1"/>
  <c r="H118" i="1"/>
  <c r="H119" i="1" a="1"/>
  <c r="H119" i="1"/>
  <c r="H120" i="1" a="1"/>
  <c r="H120" i="1"/>
  <c r="H121" i="1" a="1"/>
  <c r="H121" i="1"/>
  <c r="H122" i="1" a="1"/>
  <c r="H122" i="1"/>
  <c r="H123" i="1" a="1"/>
  <c r="H123" i="1"/>
  <c r="H124" i="1" a="1"/>
  <c r="H124" i="1"/>
  <c r="H125" i="1" a="1"/>
  <c r="H125" i="1" s="1"/>
  <c r="H126" i="1" a="1"/>
  <c r="H126" i="1"/>
  <c r="H127" i="1" a="1"/>
  <c r="H127" i="1"/>
  <c r="H128" i="1" a="1"/>
  <c r="H128" i="1"/>
  <c r="H129" i="1" a="1"/>
  <c r="H129" i="1"/>
  <c r="H130" i="1" a="1"/>
  <c r="H130" i="1"/>
  <c r="H131" i="1" a="1"/>
  <c r="H131" i="1"/>
  <c r="H132" i="1" a="1"/>
  <c r="H132" i="1"/>
  <c r="H133" i="1" a="1"/>
  <c r="H133" i="1"/>
  <c r="H134" i="1" a="1"/>
  <c r="H134" i="1"/>
  <c r="H135" i="1" a="1"/>
  <c r="H135" i="1"/>
  <c r="H136" i="1" a="1"/>
  <c r="H136" i="1" s="1"/>
  <c r="H137" i="1" a="1"/>
  <c r="H137" i="1"/>
  <c r="H138" i="1" a="1"/>
  <c r="H138" i="1"/>
  <c r="H139" i="1" a="1"/>
  <c r="H139" i="1"/>
  <c r="H140" i="1" a="1"/>
  <c r="H140" i="1"/>
  <c r="H141" i="1" a="1"/>
  <c r="H141" i="1"/>
  <c r="H142" i="1" a="1"/>
  <c r="H142" i="1"/>
  <c r="H143" i="1" a="1"/>
  <c r="H143" i="1"/>
  <c r="H144" i="1" a="1"/>
  <c r="H144" i="1"/>
  <c r="H145" i="1" a="1"/>
  <c r="H145" i="1"/>
  <c r="H146" i="1" a="1"/>
  <c r="H146" i="1"/>
  <c r="H147" i="1" a="1"/>
  <c r="H147" i="1" s="1"/>
  <c r="H148" i="1" a="1"/>
  <c r="H148" i="1"/>
  <c r="H149" i="1" a="1"/>
  <c r="H149" i="1"/>
  <c r="H150" i="1" a="1"/>
  <c r="H150" i="1"/>
  <c r="H151" i="1" a="1"/>
  <c r="H151" i="1"/>
  <c r="H152" i="1" a="1"/>
  <c r="H152" i="1"/>
  <c r="H153" i="1" a="1"/>
  <c r="H153" i="1"/>
  <c r="H154" i="1" a="1"/>
  <c r="H154" i="1"/>
  <c r="H155" i="1" a="1"/>
  <c r="H155" i="1"/>
  <c r="H156" i="1" a="1"/>
  <c r="H156" i="1"/>
  <c r="H157" i="1" a="1"/>
  <c r="H157" i="1"/>
  <c r="H158" i="1" a="1"/>
  <c r="H158" i="1" s="1"/>
  <c r="H159" i="1" a="1"/>
  <c r="H159" i="1"/>
  <c r="H160" i="1" a="1"/>
  <c r="H160" i="1"/>
  <c r="H161" i="1" a="1"/>
  <c r="H161" i="1"/>
  <c r="H162" i="1" a="1"/>
  <c r="H162" i="1"/>
  <c r="H163" i="1" a="1"/>
  <c r="H163" i="1"/>
  <c r="H164" i="1" a="1"/>
  <c r="H164" i="1"/>
  <c r="H165" i="1" a="1"/>
  <c r="H165" i="1"/>
  <c r="H166" i="1" a="1"/>
  <c r="H166" i="1"/>
  <c r="H167" i="1" a="1"/>
  <c r="H167" i="1"/>
  <c r="H168" i="1" a="1"/>
  <c r="H168" i="1"/>
  <c r="H169" i="1" a="1"/>
  <c r="H169" i="1" s="1"/>
  <c r="H170" i="1" a="1"/>
  <c r="H170" i="1"/>
  <c r="H171" i="1" a="1"/>
  <c r="H171" i="1"/>
  <c r="H172" i="1" a="1"/>
  <c r="H172" i="1"/>
  <c r="H173" i="1" a="1"/>
  <c r="H173" i="1"/>
  <c r="H174" i="1" a="1"/>
  <c r="H174" i="1"/>
  <c r="H175" i="1" a="1"/>
  <c r="H175" i="1"/>
  <c r="H176" i="1" a="1"/>
  <c r="H176" i="1"/>
  <c r="H177" i="1" a="1"/>
  <c r="H177" i="1"/>
  <c r="H178" i="1" a="1"/>
  <c r="H178" i="1"/>
  <c r="H179" i="1" a="1"/>
  <c r="H179" i="1"/>
  <c r="H180" i="1" a="1"/>
  <c r="H180" i="1" s="1"/>
  <c r="H181" i="1" a="1"/>
  <c r="H181" i="1"/>
  <c r="H182" i="1" a="1"/>
  <c r="H182" i="1"/>
  <c r="H183" i="1" a="1"/>
  <c r="H183" i="1"/>
  <c r="H184" i="1" a="1"/>
  <c r="H184" i="1"/>
  <c r="H185" i="1" a="1"/>
  <c r="H185" i="1"/>
  <c r="H186" i="1" a="1"/>
  <c r="H186" i="1"/>
  <c r="H187" i="1" a="1"/>
  <c r="H187" i="1"/>
  <c r="H188" i="1" a="1"/>
  <c r="H188" i="1"/>
  <c r="H189" i="1" a="1"/>
  <c r="H189" i="1"/>
  <c r="H190" i="1" a="1"/>
  <c r="H190" i="1"/>
  <c r="H191" i="1" a="1"/>
  <c r="H191" i="1" s="1"/>
  <c r="H192" i="1" a="1"/>
  <c r="H192" i="1"/>
  <c r="H193" i="1" a="1"/>
  <c r="H193" i="1"/>
  <c r="H194" i="1" a="1"/>
  <c r="H194" i="1"/>
  <c r="H195" i="1" a="1"/>
  <c r="H195" i="1"/>
  <c r="H196" i="1" a="1"/>
  <c r="H196" i="1"/>
  <c r="H197" i="1" a="1"/>
  <c r="H197" i="1"/>
  <c r="H198" i="1" a="1"/>
  <c r="H198" i="1"/>
  <c r="H199" i="1" a="1"/>
  <c r="H199" i="1"/>
  <c r="H200" i="1" a="1"/>
  <c r="H200" i="1"/>
  <c r="H201" i="1" a="1"/>
  <c r="H201" i="1"/>
  <c r="H202" i="1" a="1"/>
  <c r="H202" i="1" s="1"/>
  <c r="H203" i="1" a="1"/>
  <c r="H203" i="1"/>
  <c r="H204" i="1" a="1"/>
  <c r="H204" i="1"/>
  <c r="H205" i="1" a="1"/>
  <c r="H205" i="1"/>
  <c r="H206" i="1" a="1"/>
  <c r="H206" i="1"/>
  <c r="H207" i="1" a="1"/>
  <c r="H207" i="1"/>
  <c r="H208" i="1" a="1"/>
  <c r="H208" i="1"/>
  <c r="H209" i="1" a="1"/>
  <c r="H209" i="1"/>
  <c r="H210" i="1" a="1"/>
  <c r="H210" i="1"/>
  <c r="H211" i="1" a="1"/>
  <c r="H211" i="1"/>
  <c r="H212" i="1" a="1"/>
  <c r="H212" i="1"/>
  <c r="H213" i="1" a="1"/>
  <c r="H213" i="1" s="1"/>
  <c r="H214" i="1" a="1"/>
  <c r="H214" i="1"/>
  <c r="H215" i="1" a="1"/>
  <c r="H215" i="1"/>
  <c r="H216" i="1" a="1"/>
  <c r="H216" i="1"/>
  <c r="H217" i="1" a="1"/>
  <c r="H217" i="1"/>
  <c r="H218" i="1" a="1"/>
  <c r="H218" i="1"/>
  <c r="H219" i="1" a="1"/>
  <c r="H219" i="1"/>
  <c r="H220" i="1" a="1"/>
  <c r="H220" i="1"/>
  <c r="H221" i="1" a="1"/>
  <c r="H221" i="1"/>
  <c r="H222" i="1" a="1"/>
  <c r="H222" i="1"/>
  <c r="H223" i="1" a="1"/>
  <c r="H223" i="1"/>
  <c r="H224" i="1" a="1"/>
  <c r="H224" i="1" s="1"/>
  <c r="H225" i="1" a="1"/>
  <c r="H225" i="1"/>
  <c r="H226" i="1" a="1"/>
  <c r="H226" i="1"/>
  <c r="H227" i="1" a="1"/>
  <c r="H227" i="1"/>
  <c r="H228" i="1" a="1"/>
  <c r="H228" i="1"/>
  <c r="H229" i="1" a="1"/>
  <c r="H229" i="1"/>
  <c r="H230" i="1" a="1"/>
  <c r="H230" i="1"/>
  <c r="H231" i="1" a="1"/>
  <c r="H231" i="1"/>
  <c r="H232" i="1" a="1"/>
  <c r="H232" i="1"/>
  <c r="H233" i="1" a="1"/>
  <c r="H233" i="1"/>
  <c r="H234" i="1" a="1"/>
  <c r="H234" i="1"/>
  <c r="H235" i="1" a="1"/>
  <c r="H235" i="1" s="1"/>
  <c r="H236" i="1" a="1"/>
  <c r="H236" i="1"/>
  <c r="H237" i="1" a="1"/>
  <c r="H237" i="1"/>
  <c r="H238" i="1" a="1"/>
  <c r="H238" i="1"/>
  <c r="H239" i="1" a="1"/>
  <c r="H239" i="1"/>
  <c r="H240" i="1" a="1"/>
  <c r="H240" i="1"/>
  <c r="H241" i="1" a="1"/>
  <c r="H241" i="1"/>
  <c r="H242" i="1" a="1"/>
  <c r="H242" i="1"/>
  <c r="H243" i="1" a="1"/>
  <c r="H243" i="1"/>
  <c r="H244" i="1" a="1"/>
  <c r="H244" i="1"/>
  <c r="H245" i="1" a="1"/>
  <c r="H245" i="1"/>
  <c r="H246" i="1" a="1"/>
  <c r="H246" i="1" s="1"/>
  <c r="H247" i="1" a="1"/>
  <c r="H247" i="1"/>
  <c r="H248" i="1" a="1"/>
  <c r="H248" i="1"/>
  <c r="H249" i="1" a="1"/>
  <c r="H249" i="1"/>
  <c r="H250" i="1" a="1"/>
  <c r="H250" i="1"/>
  <c r="H251" i="1" a="1"/>
  <c r="H251" i="1"/>
  <c r="H252" i="1" a="1"/>
  <c r="H252" i="1"/>
  <c r="H253" i="1" a="1"/>
  <c r="H253" i="1"/>
  <c r="H254" i="1" a="1"/>
  <c r="H254" i="1"/>
  <c r="H255" i="1" a="1"/>
  <c r="H255" i="1"/>
  <c r="H256" i="1" a="1"/>
  <c r="H256" i="1"/>
  <c r="H257" i="1" a="1"/>
  <c r="H257" i="1" s="1"/>
  <c r="H258" i="1" a="1"/>
  <c r="H258" i="1"/>
  <c r="H259" i="1" a="1"/>
  <c r="H259" i="1"/>
  <c r="H260" i="1" a="1"/>
  <c r="H260" i="1"/>
  <c r="H261" i="1" a="1"/>
  <c r="H261" i="1"/>
  <c r="H262" i="1" a="1"/>
  <c r="H262" i="1"/>
  <c r="H263" i="1" a="1"/>
  <c r="H263" i="1"/>
  <c r="H264" i="1" a="1"/>
  <c r="H264" i="1"/>
  <c r="H265" i="1" a="1"/>
  <c r="H265" i="1"/>
  <c r="H266" i="1" a="1"/>
  <c r="H266" i="1"/>
  <c r="H267" i="1" a="1"/>
  <c r="H267" i="1"/>
  <c r="H268" i="1" a="1"/>
  <c r="H268" i="1" s="1"/>
  <c r="H269" i="1" a="1"/>
  <c r="H269" i="1"/>
  <c r="H270" i="1" a="1"/>
  <c r="H270" i="1"/>
  <c r="H271" i="1" a="1"/>
  <c r="H271" i="1"/>
  <c r="H272" i="1" a="1"/>
  <c r="H272" i="1"/>
  <c r="H273" i="1" a="1"/>
  <c r="H273" i="1"/>
  <c r="H274" i="1" a="1"/>
  <c r="H274" i="1"/>
  <c r="H275" i="1" a="1"/>
  <c r="H275" i="1"/>
  <c r="H276" i="1" a="1"/>
  <c r="H276" i="1"/>
  <c r="H277" i="1" a="1"/>
  <c r="H277" i="1"/>
  <c r="H278" i="1" a="1"/>
  <c r="H278" i="1"/>
  <c r="H279" i="1" a="1"/>
  <c r="H279" i="1" s="1"/>
  <c r="H280" i="1" a="1"/>
  <c r="H280" i="1"/>
  <c r="H281" i="1" a="1"/>
  <c r="H281" i="1"/>
  <c r="H282" i="1" a="1"/>
  <c r="H282" i="1"/>
  <c r="H283" i="1" a="1"/>
  <c r="H283" i="1"/>
  <c r="H284" i="1" a="1"/>
  <c r="H284" i="1"/>
  <c r="H285" i="1" a="1"/>
  <c r="H285" i="1"/>
  <c r="H286" i="1" a="1"/>
  <c r="H286" i="1"/>
  <c r="H287" i="1" a="1"/>
  <c r="H287" i="1"/>
  <c r="H288" i="1" a="1"/>
  <c r="H288" i="1"/>
  <c r="H289" i="1" a="1"/>
  <c r="H289" i="1"/>
  <c r="H290" i="1" a="1"/>
  <c r="H290" i="1" s="1"/>
  <c r="H291" i="1" a="1"/>
  <c r="H291" i="1"/>
  <c r="H292" i="1" a="1"/>
  <c r="H292" i="1"/>
  <c r="H293" i="1" a="1"/>
  <c r="H293" i="1"/>
  <c r="H294" i="1" a="1"/>
  <c r="H294" i="1"/>
  <c r="H295" i="1" a="1"/>
  <c r="H295" i="1"/>
  <c r="H296" i="1" a="1"/>
  <c r="H296" i="1"/>
  <c r="H297" i="1" a="1"/>
  <c r="H297" i="1"/>
  <c r="H298" i="1" a="1"/>
  <c r="H298" i="1"/>
  <c r="H299" i="1" a="1"/>
  <c r="H299" i="1"/>
  <c r="H300" i="1" a="1"/>
  <c r="H300" i="1"/>
  <c r="H301" i="1" a="1"/>
  <c r="H301" i="1" s="1"/>
  <c r="H302" i="1" a="1"/>
  <c r="H302" i="1"/>
  <c r="H303" i="1" a="1"/>
  <c r="H303" i="1"/>
  <c r="H304" i="1" a="1"/>
  <c r="H304" i="1"/>
  <c r="H305" i="1" a="1"/>
  <c r="H305" i="1"/>
  <c r="H306" i="1" a="1"/>
  <c r="H306" i="1"/>
  <c r="H307" i="1" a="1"/>
  <c r="H307" i="1"/>
  <c r="H308" i="1" a="1"/>
  <c r="H308" i="1"/>
  <c r="H309" i="1" a="1"/>
  <c r="H309" i="1"/>
  <c r="H310" i="1" a="1"/>
  <c r="H310" i="1"/>
  <c r="H311" i="1" a="1"/>
  <c r="H311" i="1"/>
  <c r="H312" i="1" a="1"/>
  <c r="H312" i="1" s="1"/>
  <c r="H313" i="1" a="1"/>
  <c r="H313" i="1"/>
  <c r="H314" i="1" a="1"/>
  <c r="H314" i="1"/>
  <c r="H315" i="1" a="1"/>
  <c r="H315" i="1"/>
  <c r="H316" i="1" a="1"/>
  <c r="H316" i="1"/>
  <c r="H317" i="1" a="1"/>
  <c r="H317" i="1"/>
  <c r="H318" i="1" a="1"/>
  <c r="H318" i="1"/>
  <c r="H319" i="1" a="1"/>
  <c r="H319" i="1"/>
  <c r="H320" i="1" a="1"/>
  <c r="H320" i="1"/>
  <c r="H321" i="1" a="1"/>
  <c r="H321" i="1"/>
  <c r="H322" i="1" a="1"/>
  <c r="H322" i="1"/>
  <c r="H323" i="1" a="1"/>
  <c r="H323" i="1" s="1"/>
  <c r="H324" i="1" a="1"/>
  <c r="H324" i="1"/>
  <c r="H325" i="1" a="1"/>
  <c r="H325" i="1"/>
  <c r="H326" i="1" a="1"/>
  <c r="H326" i="1"/>
  <c r="H327" i="1" a="1"/>
  <c r="H327" i="1"/>
  <c r="H328" i="1" a="1"/>
  <c r="H328" i="1"/>
  <c r="H329" i="1" a="1"/>
  <c r="H329" i="1"/>
  <c r="H330" i="1" a="1"/>
  <c r="H330" i="1"/>
  <c r="H331" i="1" a="1"/>
  <c r="H331" i="1"/>
  <c r="H332" i="1" a="1"/>
  <c r="H332" i="1"/>
  <c r="H333" i="1" a="1"/>
  <c r="H333" i="1"/>
  <c r="H334" i="1" a="1"/>
  <c r="H334" i="1" s="1"/>
  <c r="H335" i="1" a="1"/>
  <c r="H335" i="1"/>
  <c r="H336" i="1" a="1"/>
  <c r="H336" i="1"/>
  <c r="H337" i="1" a="1"/>
  <c r="H337" i="1"/>
  <c r="H338" i="1" a="1"/>
  <c r="H338" i="1"/>
  <c r="H339" i="1" a="1"/>
  <c r="H339" i="1"/>
  <c r="H340" i="1" a="1"/>
  <c r="H340" i="1"/>
  <c r="H341" i="1" a="1"/>
  <c r="H341" i="1"/>
  <c r="H342" i="1" a="1"/>
  <c r="H342" i="1"/>
  <c r="H343" i="1" a="1"/>
  <c r="H343" i="1"/>
  <c r="H344" i="1" a="1"/>
  <c r="H344" i="1"/>
  <c r="H345" i="1" a="1"/>
  <c r="H345" i="1" s="1"/>
  <c r="H346" i="1" a="1"/>
  <c r="H346" i="1"/>
  <c r="H347" i="1" a="1"/>
  <c r="H347" i="1"/>
  <c r="H348" i="1" a="1"/>
  <c r="H348" i="1"/>
  <c r="H349" i="1" a="1"/>
  <c r="H349" i="1"/>
  <c r="H350" i="1" a="1"/>
  <c r="H350" i="1"/>
  <c r="H351" i="1" a="1"/>
  <c r="H351" i="1"/>
  <c r="H352" i="1" a="1"/>
  <c r="H352" i="1"/>
  <c r="H353" i="1" a="1"/>
  <c r="H353" i="1"/>
  <c r="H354" i="1" a="1"/>
  <c r="H354" i="1"/>
  <c r="H355" i="1" a="1"/>
  <c r="H355" i="1"/>
  <c r="H356" i="1" a="1"/>
  <c r="H356" i="1" s="1"/>
  <c r="H357" i="1" a="1"/>
  <c r="H357" i="1"/>
  <c r="H358" i="1" a="1"/>
  <c r="H358" i="1"/>
  <c r="H359" i="1" a="1"/>
  <c r="H359" i="1"/>
  <c r="H360" i="1" a="1"/>
  <c r="H360" i="1"/>
  <c r="H361" i="1" a="1"/>
  <c r="H361" i="1"/>
  <c r="H362" i="1" a="1"/>
  <c r="H362" i="1"/>
  <c r="H363" i="1" a="1"/>
  <c r="H363" i="1"/>
  <c r="H364" i="1" a="1"/>
  <c r="H364" i="1"/>
  <c r="H365" i="1" a="1"/>
  <c r="H365" i="1"/>
  <c r="H366" i="1" a="1"/>
  <c r="H366" i="1"/>
  <c r="H367" i="1" a="1"/>
  <c r="H367" i="1" s="1"/>
  <c r="H368" i="1" a="1"/>
  <c r="H368" i="1"/>
  <c r="H369" i="1" a="1"/>
  <c r="H369" i="1"/>
  <c r="H370" i="1" a="1"/>
  <c r="H370" i="1"/>
  <c r="H371" i="1" a="1"/>
  <c r="H371" i="1"/>
  <c r="H372" i="1" a="1"/>
  <c r="H372" i="1"/>
  <c r="H373" i="1" a="1"/>
  <c r="H373" i="1"/>
  <c r="H374" i="1" a="1"/>
  <c r="H374" i="1"/>
  <c r="H375" i="1" a="1"/>
  <c r="H375" i="1"/>
  <c r="H376" i="1" a="1"/>
  <c r="H376" i="1"/>
  <c r="H377" i="1" a="1"/>
  <c r="H377" i="1"/>
  <c r="H378" i="1" a="1"/>
  <c r="H378" i="1" s="1"/>
  <c r="H379" i="1" a="1"/>
  <c r="H379" i="1"/>
  <c r="H380" i="1" a="1"/>
  <c r="H380" i="1"/>
  <c r="H381" i="1" a="1"/>
  <c r="H381" i="1"/>
  <c r="H382" i="1" a="1"/>
  <c r="H382" i="1"/>
  <c r="H383" i="1" a="1"/>
  <c r="H383" i="1"/>
  <c r="H384" i="1" a="1"/>
  <c r="H384" i="1"/>
  <c r="H385" i="1" a="1"/>
  <c r="H385" i="1"/>
  <c r="H386" i="1" a="1"/>
  <c r="H386" i="1"/>
  <c r="H387" i="1" a="1"/>
  <c r="H387" i="1"/>
  <c r="H388" i="1" a="1"/>
  <c r="H388" i="1"/>
  <c r="H389" i="1" a="1"/>
  <c r="H389" i="1" s="1"/>
  <c r="H390" i="1" a="1"/>
  <c r="H390" i="1"/>
  <c r="H391" i="1" a="1"/>
  <c r="H391" i="1"/>
  <c r="H392" i="1" a="1"/>
  <c r="H392" i="1"/>
  <c r="H393" i="1" a="1"/>
  <c r="H393" i="1"/>
  <c r="H394" i="1" a="1"/>
  <c r="H394" i="1"/>
  <c r="H395" i="1" a="1"/>
  <c r="H395" i="1"/>
  <c r="H396" i="1" a="1"/>
  <c r="H396" i="1"/>
  <c r="H397" i="1" a="1"/>
  <c r="H397" i="1"/>
  <c r="H398" i="1" a="1"/>
  <c r="H398" i="1"/>
  <c r="H399" i="1" a="1"/>
  <c r="H399" i="1"/>
  <c r="H400" i="1" a="1"/>
  <c r="H400" i="1" s="1"/>
  <c r="H401" i="1" a="1"/>
  <c r="H401" i="1"/>
  <c r="H402" i="1" a="1"/>
  <c r="H402" i="1"/>
  <c r="H403" i="1" a="1"/>
  <c r="H403" i="1"/>
  <c r="H404" i="1" a="1"/>
  <c r="H404" i="1"/>
  <c r="H405" i="1" a="1"/>
  <c r="H405" i="1"/>
  <c r="H406" i="1" a="1"/>
  <c r="H406" i="1"/>
  <c r="H407" i="1" a="1"/>
  <c r="H407" i="1"/>
  <c r="H408" i="1" a="1"/>
  <c r="H408" i="1"/>
  <c r="H409" i="1" a="1"/>
  <c r="H409" i="1"/>
  <c r="H410" i="1" a="1"/>
  <c r="H410" i="1"/>
  <c r="H411" i="1" a="1"/>
  <c r="H411" i="1" s="1"/>
  <c r="H412" i="1" a="1"/>
  <c r="H412" i="1"/>
  <c r="H413" i="1" a="1"/>
  <c r="H413" i="1"/>
  <c r="H414" i="1" a="1"/>
  <c r="H414" i="1"/>
  <c r="H415" i="1" a="1"/>
  <c r="H415" i="1"/>
  <c r="H416" i="1" a="1"/>
  <c r="H416" i="1"/>
  <c r="H417" i="1" a="1"/>
  <c r="H417" i="1"/>
  <c r="H418" i="1" a="1"/>
  <c r="H418" i="1"/>
  <c r="H419" i="1" a="1"/>
  <c r="H419" i="1"/>
  <c r="H420" i="1" a="1"/>
  <c r="H420" i="1"/>
  <c r="H421" i="1" a="1"/>
  <c r="H421" i="1"/>
  <c r="H422" i="1" a="1"/>
  <c r="H422" i="1" s="1"/>
  <c r="H423" i="1" a="1"/>
  <c r="H423" i="1"/>
  <c r="H424" i="1" a="1"/>
  <c r="H424" i="1"/>
  <c r="H425" i="1" a="1"/>
  <c r="H425" i="1"/>
  <c r="H426" i="1" a="1"/>
  <c r="H426" i="1"/>
  <c r="H427" i="1" a="1"/>
  <c r="H427" i="1"/>
  <c r="H428" i="1" a="1"/>
  <c r="H428" i="1"/>
  <c r="H429" i="1" a="1"/>
  <c r="H429" i="1"/>
  <c r="H430" i="1" a="1"/>
  <c r="H430" i="1"/>
  <c r="H431" i="1" a="1"/>
  <c r="H431" i="1"/>
  <c r="H432" i="1" a="1"/>
  <c r="H432" i="1"/>
  <c r="H433" i="1" a="1"/>
  <c r="H433" i="1" s="1"/>
  <c r="H434" i="1" a="1"/>
  <c r="H434" i="1"/>
  <c r="H435" i="1" a="1"/>
  <c r="H435" i="1"/>
  <c r="H436" i="1" a="1"/>
  <c r="H436" i="1"/>
  <c r="H437" i="1" a="1"/>
  <c r="H437" i="1"/>
  <c r="H438" i="1" a="1"/>
  <c r="H438" i="1"/>
  <c r="H439" i="1" a="1"/>
  <c r="H439" i="1"/>
  <c r="H440" i="1" a="1"/>
  <c r="H440" i="1"/>
  <c r="H441" i="1" a="1"/>
  <c r="H441" i="1"/>
  <c r="H442" i="1" a="1"/>
  <c r="H442" i="1"/>
  <c r="H443" i="1" a="1"/>
  <c r="H443" i="1"/>
  <c r="H444" i="1" a="1"/>
  <c r="H444" i="1" s="1"/>
  <c r="H445" i="1" a="1"/>
  <c r="H445" i="1"/>
  <c r="H446" i="1" a="1"/>
  <c r="H446" i="1"/>
  <c r="H447" i="1" a="1"/>
  <c r="H447" i="1"/>
  <c r="H448" i="1" a="1"/>
  <c r="H448" i="1"/>
  <c r="H449" i="1" a="1"/>
  <c r="H449" i="1"/>
  <c r="H450" i="1" a="1"/>
  <c r="H450" i="1"/>
  <c r="H451" i="1" a="1"/>
  <c r="H451" i="1"/>
  <c r="H452" i="1" a="1"/>
  <c r="H452" i="1"/>
  <c r="H453" i="1" a="1"/>
  <c r="H453" i="1"/>
  <c r="H454" i="1" a="1"/>
  <c r="H454" i="1"/>
  <c r="H455" i="1" a="1"/>
  <c r="H455" i="1" s="1"/>
  <c r="H456" i="1" a="1"/>
  <c r="H456" i="1"/>
  <c r="H457" i="1" a="1"/>
  <c r="H457" i="1"/>
  <c r="H458" i="1" a="1"/>
  <c r="H458" i="1"/>
  <c r="H459" i="1" a="1"/>
  <c r="H459" i="1"/>
  <c r="H460" i="1" a="1"/>
  <c r="H460" i="1"/>
  <c r="H461" i="1" a="1"/>
  <c r="H461" i="1"/>
  <c r="H462" i="1" a="1"/>
  <c r="H462" i="1"/>
  <c r="H463" i="1" a="1"/>
  <c r="H463" i="1"/>
  <c r="H464" i="1" a="1"/>
  <c r="H464" i="1"/>
  <c r="H465" i="1" a="1"/>
  <c r="H465" i="1"/>
  <c r="H466" i="1" a="1"/>
  <c r="H466" i="1" s="1"/>
  <c r="H467" i="1" a="1"/>
  <c r="H467" i="1"/>
  <c r="H468" i="1" a="1"/>
  <c r="H468" i="1"/>
  <c r="H469" i="1" a="1"/>
  <c r="H469" i="1"/>
  <c r="H470" i="1" a="1"/>
  <c r="H470" i="1"/>
  <c r="H471" i="1" a="1"/>
  <c r="H471" i="1"/>
  <c r="H472" i="1" a="1"/>
  <c r="H472" i="1"/>
  <c r="H473" i="1" a="1"/>
  <c r="H473" i="1"/>
  <c r="H474" i="1" a="1"/>
  <c r="H474" i="1"/>
  <c r="H475" i="1" a="1"/>
  <c r="H475" i="1"/>
  <c r="H476" i="1" a="1"/>
  <c r="H476" i="1"/>
  <c r="H477" i="1" a="1"/>
  <c r="H477" i="1" s="1"/>
  <c r="H478" i="1" a="1"/>
  <c r="H478" i="1"/>
  <c r="H479" i="1" a="1"/>
  <c r="H479" i="1"/>
  <c r="H480" i="1" a="1"/>
  <c r="H480" i="1"/>
  <c r="H481" i="1" a="1"/>
  <c r="H481" i="1"/>
  <c r="H482" i="1" a="1"/>
  <c r="H482" i="1"/>
  <c r="H483" i="1" a="1"/>
  <c r="H483" i="1"/>
  <c r="H484" i="1" a="1"/>
  <c r="H484" i="1"/>
  <c r="H485" i="1" a="1"/>
  <c r="H485" i="1"/>
  <c r="H486" i="1" a="1"/>
  <c r="H486" i="1"/>
  <c r="H487" i="1" a="1"/>
  <c r="H487" i="1"/>
  <c r="H488" i="1" a="1"/>
  <c r="H488" i="1" s="1"/>
  <c r="H489" i="1" a="1"/>
  <c r="H489" i="1"/>
  <c r="H490" i="1" a="1"/>
  <c r="H490" i="1"/>
  <c r="H491" i="1" a="1"/>
  <c r="H491" i="1"/>
  <c r="H492" i="1" a="1"/>
  <c r="H492" i="1"/>
  <c r="H493" i="1" a="1"/>
  <c r="H493" i="1"/>
  <c r="H494" i="1" a="1"/>
  <c r="H494" i="1"/>
  <c r="H495" i="1" a="1"/>
  <c r="H495" i="1"/>
  <c r="H496" i="1" a="1"/>
  <c r="H496" i="1"/>
  <c r="H497" i="1" a="1"/>
  <c r="H497" i="1"/>
  <c r="H498" i="1" a="1"/>
  <c r="H498" i="1"/>
  <c r="H499" i="1" a="1"/>
  <c r="H499" i="1" s="1"/>
  <c r="H500" i="1" a="1"/>
  <c r="H500" i="1"/>
  <c r="H501" i="1" a="1"/>
  <c r="H501" i="1"/>
  <c r="H502" i="1" a="1"/>
  <c r="H502" i="1"/>
  <c r="H503" i="1" a="1"/>
  <c r="H503" i="1"/>
  <c r="H504" i="1" a="1"/>
  <c r="H504" i="1"/>
  <c r="H505" i="1" a="1"/>
  <c r="H505" i="1"/>
  <c r="H506" i="1" a="1"/>
  <c r="H506" i="1"/>
  <c r="H507" i="1" a="1"/>
  <c r="H507" i="1"/>
  <c r="H508" i="1" a="1"/>
  <c r="H508" i="1"/>
  <c r="H509" i="1" a="1"/>
  <c r="H509" i="1"/>
  <c r="H510" i="1" a="1"/>
  <c r="H510" i="1" s="1"/>
  <c r="H511" i="1" a="1"/>
  <c r="H511" i="1"/>
  <c r="H512" i="1" a="1"/>
  <c r="H512" i="1"/>
  <c r="H513" i="1" a="1"/>
  <c r="H513" i="1"/>
  <c r="H514" i="1" a="1"/>
  <c r="H514" i="1"/>
  <c r="H515" i="1" a="1"/>
  <c r="H515" i="1"/>
  <c r="H516" i="1" a="1"/>
  <c r="H516" i="1"/>
  <c r="H517" i="1" a="1"/>
  <c r="H517" i="1"/>
  <c r="H518" i="1" a="1"/>
  <c r="H518" i="1"/>
  <c r="H519" i="1" a="1"/>
  <c r="H519" i="1"/>
  <c r="H520" i="1" a="1"/>
  <c r="H520" i="1"/>
  <c r="H521" i="1" a="1"/>
  <c r="H521" i="1" s="1"/>
  <c r="H522" i="1" a="1"/>
  <c r="H522" i="1"/>
  <c r="H523" i="1" a="1"/>
  <c r="H523" i="1"/>
  <c r="H524" i="1" a="1"/>
  <c r="H524" i="1"/>
  <c r="H525" i="1" a="1"/>
  <c r="H525" i="1"/>
  <c r="H526" i="1" a="1"/>
  <c r="H526" i="1"/>
  <c r="H527" i="1" a="1"/>
  <c r="H527" i="1"/>
  <c r="H528" i="1" a="1"/>
  <c r="H528" i="1"/>
  <c r="H529" i="1" a="1"/>
  <c r="H529" i="1"/>
  <c r="H530" i="1" a="1"/>
  <c r="H530" i="1"/>
  <c r="H531" i="1" a="1"/>
  <c r="H531" i="1"/>
  <c r="H532" i="1" a="1"/>
  <c r="H532" i="1" s="1"/>
  <c r="H533" i="1" a="1"/>
  <c r="H533" i="1"/>
  <c r="H534" i="1" a="1"/>
  <c r="H534" i="1"/>
  <c r="H535" i="1" a="1"/>
  <c r="H535" i="1"/>
  <c r="H536" i="1" a="1"/>
  <c r="H536" i="1"/>
  <c r="H537" i="1" a="1"/>
  <c r="H537" i="1"/>
  <c r="H538" i="1" a="1"/>
  <c r="H538" i="1"/>
  <c r="H539" i="1" a="1"/>
  <c r="H539" i="1"/>
  <c r="H540" i="1" a="1"/>
  <c r="H540" i="1"/>
  <c r="H541" i="1" a="1"/>
  <c r="H541" i="1"/>
  <c r="H542" i="1" a="1"/>
  <c r="H542" i="1"/>
  <c r="H543" i="1" a="1"/>
  <c r="H543" i="1" s="1"/>
  <c r="H544" i="1" a="1"/>
  <c r="H544" i="1"/>
  <c r="H545" i="1" a="1"/>
  <c r="H545" i="1"/>
  <c r="H546" i="1" a="1"/>
  <c r="H546" i="1"/>
  <c r="H547" i="1" a="1"/>
  <c r="H547" i="1"/>
  <c r="H548" i="1" a="1"/>
  <c r="H548" i="1"/>
  <c r="H549" i="1" a="1"/>
  <c r="H549" i="1"/>
  <c r="H550" i="1" a="1"/>
  <c r="H550" i="1"/>
  <c r="H551" i="1" a="1"/>
  <c r="H551" i="1"/>
  <c r="H552" i="1" a="1"/>
  <c r="H552" i="1"/>
  <c r="H553" i="1" a="1"/>
  <c r="H553" i="1"/>
  <c r="H554" i="1" a="1"/>
  <c r="H554" i="1" s="1"/>
  <c r="H555" i="1" a="1"/>
  <c r="H555" i="1"/>
  <c r="H556" i="1" a="1"/>
  <c r="H556" i="1"/>
  <c r="H557" i="1" a="1"/>
  <c r="H557" i="1"/>
  <c r="H558" i="1" a="1"/>
  <c r="H558" i="1"/>
  <c r="H559" i="1" a="1"/>
  <c r="H559" i="1"/>
  <c r="H560" i="1" a="1"/>
  <c r="H560" i="1"/>
  <c r="H561" i="1" a="1"/>
  <c r="H561" i="1"/>
  <c r="H562" i="1" a="1"/>
  <c r="H562" i="1"/>
  <c r="H563" i="1" a="1"/>
  <c r="H563" i="1"/>
  <c r="H564" i="1" a="1"/>
  <c r="H564" i="1"/>
  <c r="H565" i="1" a="1"/>
  <c r="H565" i="1" s="1"/>
  <c r="H566" i="1" a="1"/>
  <c r="H566" i="1"/>
  <c r="H567" i="1" a="1"/>
  <c r="H567" i="1"/>
  <c r="H568" i="1" a="1"/>
  <c r="H568" i="1"/>
  <c r="H569" i="1" a="1"/>
  <c r="H569" i="1"/>
  <c r="H570" i="1" a="1"/>
  <c r="H570" i="1"/>
  <c r="H571" i="1" a="1"/>
  <c r="H571" i="1"/>
  <c r="H572" i="1" a="1"/>
  <c r="H572" i="1"/>
  <c r="H573" i="1" a="1"/>
  <c r="H573" i="1"/>
  <c r="H574" i="1" a="1"/>
  <c r="H574" i="1"/>
  <c r="H575" i="1" a="1"/>
  <c r="H575" i="1"/>
  <c r="H576" i="1" a="1"/>
  <c r="H576" i="1" s="1"/>
  <c r="H577" i="1" a="1"/>
  <c r="H577" i="1"/>
  <c r="H578" i="1" a="1"/>
  <c r="H578" i="1"/>
  <c r="H579" i="1" a="1"/>
  <c r="H579" i="1"/>
  <c r="H580" i="1" a="1"/>
  <c r="H580" i="1"/>
  <c r="H581" i="1" a="1"/>
  <c r="H581" i="1"/>
  <c r="H582" i="1" a="1"/>
  <c r="H582" i="1"/>
  <c r="H583" i="1" a="1"/>
  <c r="H583" i="1"/>
  <c r="H584" i="1" a="1"/>
  <c r="H584" i="1"/>
  <c r="H585" i="1" a="1"/>
  <c r="H585" i="1"/>
  <c r="H586" i="1" a="1"/>
  <c r="H586" i="1"/>
  <c r="H587" i="1" a="1"/>
  <c r="H587" i="1" s="1"/>
  <c r="H588" i="1" a="1"/>
  <c r="H588" i="1"/>
  <c r="H589" i="1" a="1"/>
  <c r="H589" i="1"/>
  <c r="H590" i="1" a="1"/>
  <c r="H590" i="1"/>
  <c r="H591" i="1" a="1"/>
  <c r="H591" i="1"/>
  <c r="H592" i="1" a="1"/>
  <c r="H592" i="1"/>
  <c r="H593" i="1" a="1"/>
  <c r="H593" i="1"/>
  <c r="H594" i="1" a="1"/>
  <c r="H594" i="1"/>
  <c r="H595" i="1" a="1"/>
  <c r="H595" i="1"/>
  <c r="H596" i="1" a="1"/>
  <c r="H596" i="1"/>
  <c r="H597" i="1" a="1"/>
  <c r="H597" i="1"/>
  <c r="H598" i="1" a="1"/>
  <c r="H598" i="1" s="1"/>
  <c r="H599" i="1" a="1"/>
  <c r="H599" i="1"/>
  <c r="H600" i="1" a="1"/>
  <c r="H600" i="1"/>
  <c r="H601" i="1" a="1"/>
  <c r="H601" i="1"/>
  <c r="H602" i="1" a="1"/>
  <c r="H602" i="1"/>
  <c r="H603" i="1" a="1"/>
  <c r="H603" i="1"/>
  <c r="H604" i="1" a="1"/>
  <c r="H604" i="1"/>
  <c r="H605" i="1" a="1"/>
  <c r="H605" i="1"/>
  <c r="H606" i="1" a="1"/>
  <c r="H606" i="1"/>
  <c r="H607" i="1" a="1"/>
  <c r="H607" i="1"/>
  <c r="H608" i="1" a="1"/>
  <c r="H608" i="1"/>
  <c r="H609" i="1" a="1"/>
  <c r="H609" i="1" s="1"/>
  <c r="H610" i="1" a="1"/>
  <c r="H610" i="1"/>
  <c r="H611" i="1" a="1"/>
  <c r="H611" i="1"/>
  <c r="H612" i="1" a="1"/>
  <c r="H612" i="1"/>
  <c r="H613" i="1" a="1"/>
  <c r="H613" i="1"/>
  <c r="H614" i="1" a="1"/>
  <c r="H614" i="1"/>
  <c r="H615" i="1" a="1"/>
  <c r="H615" i="1"/>
  <c r="H616" i="1" a="1"/>
  <c r="H616" i="1"/>
  <c r="H617" i="1" a="1"/>
  <c r="H617" i="1"/>
  <c r="H618" i="1" a="1"/>
  <c r="H618" i="1"/>
  <c r="H619" i="1" a="1"/>
  <c r="H619" i="1"/>
  <c r="H620" i="1" a="1"/>
  <c r="H620" i="1" s="1"/>
  <c r="H621" i="1" a="1"/>
  <c r="H621" i="1"/>
  <c r="H622" i="1" a="1"/>
  <c r="H622" i="1"/>
  <c r="H623" i="1" a="1"/>
  <c r="H623" i="1"/>
  <c r="H624" i="1" a="1"/>
  <c r="H624" i="1"/>
  <c r="H625" i="1" a="1"/>
  <c r="H625" i="1"/>
  <c r="H626" i="1" a="1"/>
  <c r="H626" i="1"/>
  <c r="H627" i="1" a="1"/>
  <c r="H627" i="1"/>
  <c r="H628" i="1" a="1"/>
  <c r="H628" i="1"/>
  <c r="H629" i="1" a="1"/>
  <c r="H629" i="1"/>
  <c r="H630" i="1" a="1"/>
  <c r="H630" i="1"/>
  <c r="H631" i="1" a="1"/>
  <c r="H631" i="1" s="1"/>
  <c r="H632" i="1" a="1"/>
  <c r="H632" i="1"/>
  <c r="H633" i="1" a="1"/>
  <c r="H633" i="1"/>
  <c r="H634" i="1" a="1"/>
  <c r="H634" i="1"/>
  <c r="H635" i="1" a="1"/>
  <c r="H635" i="1"/>
  <c r="H636" i="1" a="1"/>
  <c r="H636" i="1"/>
  <c r="H637" i="1" a="1"/>
  <c r="H637" i="1"/>
  <c r="H638" i="1" a="1"/>
  <c r="H638" i="1"/>
  <c r="H639" i="1" a="1"/>
  <c r="H639" i="1"/>
  <c r="H640" i="1" a="1"/>
  <c r="H640" i="1"/>
  <c r="H641" i="1" a="1"/>
  <c r="H641" i="1"/>
  <c r="H642" i="1" a="1"/>
  <c r="H642" i="1" s="1"/>
  <c r="H643" i="1" a="1"/>
  <c r="H643" i="1"/>
  <c r="H644" i="1" a="1"/>
  <c r="H644" i="1"/>
  <c r="H645" i="1" a="1"/>
  <c r="H645" i="1"/>
  <c r="H646" i="1" a="1"/>
  <c r="H646" i="1"/>
  <c r="H647" i="1" a="1"/>
  <c r="H647" i="1"/>
  <c r="H648" i="1" a="1"/>
  <c r="H648" i="1"/>
  <c r="H649" i="1" a="1"/>
  <c r="H649" i="1"/>
  <c r="H650" i="1" a="1"/>
  <c r="H650" i="1"/>
  <c r="H651" i="1" a="1"/>
  <c r="H651" i="1"/>
  <c r="H652" i="1" a="1"/>
  <c r="H652" i="1"/>
  <c r="H653" i="1" a="1"/>
  <c r="H653" i="1" s="1"/>
  <c r="H654" i="1" a="1"/>
  <c r="H654" i="1"/>
  <c r="H655" i="1" a="1"/>
  <c r="H655" i="1"/>
  <c r="H656" i="1" a="1"/>
  <c r="H656" i="1"/>
  <c r="H657" i="1" a="1"/>
  <c r="H657" i="1"/>
  <c r="H658" i="1" a="1"/>
  <c r="H658" i="1"/>
  <c r="H659" i="1" a="1"/>
  <c r="H659" i="1"/>
  <c r="H660" i="1" a="1"/>
  <c r="H660" i="1"/>
  <c r="H661" i="1" a="1"/>
  <c r="H661" i="1"/>
  <c r="H662" i="1" a="1"/>
  <c r="H662" i="1"/>
  <c r="H663" i="1" a="1"/>
  <c r="H663" i="1"/>
  <c r="H664" i="1" a="1"/>
  <c r="H664" i="1" s="1"/>
  <c r="H665" i="1" a="1"/>
  <c r="H665" i="1"/>
  <c r="H666" i="1" a="1"/>
  <c r="H666" i="1"/>
  <c r="H667" i="1" a="1"/>
  <c r="H667" i="1"/>
  <c r="H668" i="1" a="1"/>
  <c r="H668" i="1"/>
  <c r="H669" i="1" a="1"/>
  <c r="H669" i="1"/>
  <c r="H670" i="1" a="1"/>
  <c r="H670" i="1"/>
  <c r="H671" i="1" a="1"/>
  <c r="H671" i="1"/>
  <c r="H672" i="1" a="1"/>
  <c r="H672" i="1"/>
  <c r="H673" i="1" a="1"/>
  <c r="H673" i="1"/>
  <c r="H674" i="1" a="1"/>
  <c r="H674" i="1"/>
  <c r="H675" i="1" a="1"/>
  <c r="H675" i="1" s="1"/>
  <c r="H676" i="1" a="1"/>
  <c r="H676" i="1"/>
  <c r="H677" i="1" a="1"/>
  <c r="H677" i="1"/>
  <c r="H678" i="1" a="1"/>
  <c r="H678" i="1"/>
  <c r="H679" i="1" a="1"/>
  <c r="H679" i="1"/>
  <c r="H680" i="1" a="1"/>
  <c r="H680" i="1"/>
  <c r="H681" i="1" a="1"/>
  <c r="H681" i="1"/>
  <c r="H682" i="1" a="1"/>
  <c r="H682" i="1"/>
  <c r="H683" i="1" a="1"/>
  <c r="H683" i="1"/>
  <c r="H684" i="1" a="1"/>
  <c r="H684" i="1"/>
  <c r="H685" i="1" a="1"/>
  <c r="H685" i="1"/>
  <c r="H686" i="1" a="1"/>
  <c r="H686" i="1" s="1"/>
  <c r="H687" i="1" a="1"/>
  <c r="H687" i="1"/>
  <c r="H688" i="1" a="1"/>
  <c r="H688" i="1"/>
  <c r="H689" i="1" a="1"/>
  <c r="H689" i="1"/>
  <c r="H690" i="1" a="1"/>
  <c r="H690" i="1"/>
  <c r="H691" i="1" a="1"/>
  <c r="H691" i="1"/>
  <c r="H692" i="1" a="1"/>
  <c r="H692" i="1"/>
  <c r="H693" i="1" a="1"/>
  <c r="H693" i="1"/>
  <c r="H694" i="1" a="1"/>
  <c r="H694" i="1"/>
  <c r="H695" i="1" a="1"/>
  <c r="H695" i="1"/>
  <c r="H696" i="1" a="1"/>
  <c r="H696" i="1"/>
  <c r="H697" i="1" a="1"/>
  <c r="H697" i="1" s="1"/>
  <c r="H698" i="1" a="1"/>
  <c r="H698" i="1"/>
  <c r="H699" i="1" a="1"/>
  <c r="H699" i="1"/>
  <c r="H700" i="1" a="1"/>
  <c r="H700" i="1"/>
  <c r="H701" i="1" a="1"/>
  <c r="H701" i="1"/>
  <c r="H702" i="1" a="1"/>
  <c r="H702" i="1"/>
  <c r="H703" i="1" a="1"/>
  <c r="H703" i="1"/>
  <c r="H704" i="1" a="1"/>
  <c r="H704" i="1"/>
  <c r="H705" i="1" a="1"/>
  <c r="H705" i="1"/>
  <c r="H706" i="1" a="1"/>
  <c r="H706" i="1"/>
  <c r="H707" i="1" a="1"/>
  <c r="H707" i="1"/>
  <c r="H708" i="1" a="1"/>
  <c r="H708" i="1" s="1"/>
  <c r="H709" i="1" a="1"/>
  <c r="H709" i="1"/>
  <c r="H710" i="1" a="1"/>
  <c r="H710" i="1"/>
  <c r="H711" i="1" a="1"/>
  <c r="H711" i="1"/>
  <c r="H712" i="1" a="1"/>
  <c r="H712" i="1"/>
  <c r="H713" i="1" a="1"/>
  <c r="H713" i="1"/>
  <c r="H714" i="1" a="1"/>
  <c r="H714" i="1"/>
  <c r="H715" i="1" a="1"/>
  <c r="H715" i="1"/>
  <c r="H716" i="1" a="1"/>
  <c r="H716" i="1"/>
  <c r="H717" i="1" a="1"/>
  <c r="H717" i="1"/>
  <c r="H718" i="1" a="1"/>
  <c r="H718" i="1"/>
  <c r="H719" i="1" a="1"/>
  <c r="H719" i="1" s="1"/>
  <c r="H720" i="1" a="1"/>
  <c r="H720" i="1"/>
  <c r="H721" i="1" a="1"/>
  <c r="H721" i="1"/>
  <c r="H722" i="1" a="1"/>
  <c r="H722" i="1"/>
  <c r="H723" i="1" a="1"/>
  <c r="H723" i="1"/>
  <c r="H724" i="1" a="1"/>
  <c r="H724" i="1"/>
  <c r="H725" i="1" a="1"/>
  <c r="H725" i="1"/>
  <c r="H726" i="1" a="1"/>
  <c r="H726" i="1"/>
  <c r="H727" i="1" a="1"/>
  <c r="H727" i="1"/>
  <c r="H728" i="1" a="1"/>
  <c r="H728" i="1"/>
  <c r="H729" i="1" a="1"/>
  <c r="H729" i="1"/>
  <c r="H730" i="1" a="1"/>
  <c r="H730" i="1" s="1"/>
  <c r="H731" i="1" a="1"/>
  <c r="H731" i="1"/>
  <c r="H732" i="1" a="1"/>
  <c r="H732" i="1"/>
  <c r="H733" i="1" a="1"/>
  <c r="H733" i="1"/>
  <c r="H734" i="1" a="1"/>
  <c r="H734" i="1"/>
  <c r="H735" i="1" a="1"/>
  <c r="H735" i="1"/>
  <c r="H736" i="1" a="1"/>
  <c r="H736" i="1"/>
  <c r="H737" i="1" a="1"/>
  <c r="H737" i="1"/>
  <c r="H738" i="1" a="1"/>
  <c r="H738" i="1"/>
  <c r="H739" i="1" a="1"/>
  <c r="H739" i="1"/>
  <c r="H740" i="1" a="1"/>
  <c r="H740" i="1"/>
  <c r="H741" i="1" a="1"/>
  <c r="H741" i="1" s="1"/>
  <c r="H742" i="1" a="1"/>
  <c r="H742" i="1"/>
  <c r="H743" i="1" a="1"/>
  <c r="H743" i="1"/>
  <c r="H744" i="1" a="1"/>
  <c r="H744" i="1"/>
  <c r="H745" i="1" a="1"/>
  <c r="H745" i="1"/>
  <c r="H746" i="1" a="1"/>
  <c r="H746" i="1"/>
  <c r="H747" i="1" a="1"/>
  <c r="H747" i="1"/>
  <c r="H748" i="1" a="1"/>
  <c r="H748" i="1"/>
  <c r="H749" i="1" a="1"/>
  <c r="H749" i="1"/>
  <c r="H750" i="1" a="1"/>
  <c r="H750" i="1"/>
  <c r="H751" i="1" a="1"/>
  <c r="H751" i="1"/>
  <c r="H752" i="1" a="1"/>
  <c r="H752" i="1" s="1"/>
  <c r="H753" i="1" a="1"/>
  <c r="H753" i="1"/>
  <c r="H754" i="1" a="1"/>
  <c r="H754" i="1"/>
  <c r="H755" i="1" a="1"/>
  <c r="H755" i="1"/>
  <c r="H756" i="1" a="1"/>
  <c r="H756" i="1"/>
  <c r="H757" i="1" a="1"/>
  <c r="H757" i="1"/>
  <c r="H758" i="1" a="1"/>
  <c r="H758" i="1"/>
  <c r="H759" i="1" a="1"/>
  <c r="H759" i="1"/>
  <c r="H760" i="1" a="1"/>
  <c r="H760" i="1"/>
  <c r="H761" i="1" a="1"/>
  <c r="H761" i="1"/>
  <c r="H762" i="1" a="1"/>
  <c r="H762" i="1"/>
  <c r="H763" i="1" a="1"/>
  <c r="H763" i="1" s="1"/>
  <c r="H764" i="1" a="1"/>
  <c r="H764" i="1"/>
  <c r="H765" i="1" a="1"/>
  <c r="H765" i="1"/>
  <c r="H766" i="1" a="1"/>
  <c r="H766" i="1"/>
  <c r="H767" i="1" a="1"/>
  <c r="H767" i="1"/>
  <c r="H768" i="1" a="1"/>
  <c r="H768" i="1"/>
  <c r="H769" i="1" a="1"/>
  <c r="H769" i="1"/>
  <c r="H770" i="1" a="1"/>
  <c r="H770" i="1"/>
  <c r="H771" i="1" a="1"/>
  <c r="H771" i="1"/>
  <c r="H772" i="1" a="1"/>
  <c r="H772" i="1"/>
  <c r="H773" i="1" a="1"/>
  <c r="H773" i="1"/>
  <c r="H774" i="1" a="1"/>
  <c r="H774" i="1" s="1"/>
  <c r="H775" i="1" a="1"/>
  <c r="H775" i="1"/>
  <c r="H776" i="1" a="1"/>
  <c r="H776" i="1"/>
  <c r="H777" i="1" a="1"/>
  <c r="H777" i="1"/>
  <c r="H778" i="1" a="1"/>
  <c r="H778" i="1"/>
  <c r="H779" i="1" a="1"/>
  <c r="H779" i="1"/>
  <c r="H780" i="1" a="1"/>
  <c r="H780" i="1"/>
  <c r="H781" i="1" a="1"/>
  <c r="H781" i="1"/>
  <c r="H782" i="1" a="1"/>
  <c r="H782" i="1"/>
  <c r="H783" i="1" a="1"/>
  <c r="H783" i="1"/>
  <c r="H784" i="1" a="1"/>
  <c r="H784" i="1"/>
  <c r="H785" i="1" a="1"/>
  <c r="H785" i="1" s="1"/>
  <c r="H786" i="1" a="1"/>
  <c r="H786" i="1"/>
  <c r="H787" i="1" a="1"/>
  <c r="H787" i="1"/>
  <c r="H788" i="1" a="1"/>
  <c r="H788" i="1"/>
  <c r="H789" i="1" a="1"/>
  <c r="H789" i="1"/>
  <c r="H790" i="1" a="1"/>
  <c r="H790" i="1"/>
  <c r="H791" i="1" a="1"/>
  <c r="H791" i="1"/>
  <c r="H792" i="1" a="1"/>
  <c r="H792" i="1"/>
  <c r="H793" i="1" a="1"/>
  <c r="H793" i="1"/>
  <c r="H794" i="1" a="1"/>
  <c r="H794" i="1"/>
  <c r="H795" i="1" a="1"/>
  <c r="H795" i="1"/>
  <c r="H796" i="1" a="1"/>
  <c r="H796" i="1" s="1"/>
  <c r="H797" i="1" a="1"/>
  <c r="H797" i="1"/>
  <c r="H798" i="1" a="1"/>
  <c r="H798" i="1"/>
  <c r="H799" i="1" a="1"/>
  <c r="H799" i="1"/>
  <c r="H800" i="1" a="1"/>
  <c r="H800" i="1"/>
  <c r="H801" i="1" a="1"/>
  <c r="H801" i="1"/>
  <c r="H802" i="1" a="1"/>
  <c r="H802" i="1"/>
  <c r="H803" i="1" a="1"/>
  <c r="H803" i="1"/>
  <c r="H804" i="1" a="1"/>
  <c r="H804" i="1"/>
  <c r="H805" i="1" a="1"/>
  <c r="H805" i="1"/>
  <c r="H806" i="1" a="1"/>
  <c r="H806" i="1"/>
  <c r="H807" i="1" a="1"/>
  <c r="H807" i="1" s="1"/>
  <c r="H808" i="1" a="1"/>
  <c r="H808" i="1"/>
  <c r="H809" i="1" a="1"/>
  <c r="H809" i="1"/>
  <c r="H810" i="1" a="1"/>
  <c r="H810" i="1"/>
  <c r="H811" i="1" a="1"/>
  <c r="H811" i="1"/>
  <c r="H812" i="1" a="1"/>
  <c r="H812" i="1"/>
  <c r="H813" i="1" a="1"/>
  <c r="H813" i="1"/>
  <c r="H814" i="1" a="1"/>
  <c r="H814" i="1"/>
  <c r="H815" i="1" a="1"/>
  <c r="H815" i="1"/>
  <c r="H816" i="1" a="1"/>
  <c r="H816" i="1"/>
  <c r="H817" i="1" a="1"/>
  <c r="H817" i="1"/>
  <c r="H818" i="1" a="1"/>
  <c r="H818" i="1" s="1"/>
  <c r="H819" i="1" a="1"/>
  <c r="H819" i="1"/>
  <c r="H820" i="1" a="1"/>
  <c r="H820" i="1"/>
  <c r="H821" i="1" a="1"/>
  <c r="H821" i="1"/>
  <c r="H822" i="1" a="1"/>
  <c r="H822" i="1"/>
  <c r="H823" i="1" a="1"/>
  <c r="H823" i="1"/>
  <c r="H824" i="1" a="1"/>
  <c r="H824" i="1"/>
  <c r="H825" i="1" a="1"/>
  <c r="H825" i="1"/>
  <c r="H826" i="1" a="1"/>
  <c r="H826" i="1"/>
  <c r="H827" i="1" a="1"/>
  <c r="H827" i="1"/>
  <c r="H828" i="1" a="1"/>
  <c r="H828" i="1"/>
  <c r="H829" i="1" a="1"/>
  <c r="H829" i="1" s="1"/>
  <c r="H830" i="1" a="1"/>
  <c r="H830" i="1"/>
  <c r="H831" i="1" a="1"/>
  <c r="H831" i="1"/>
  <c r="H832" i="1" a="1"/>
  <c r="H832" i="1"/>
  <c r="H833" i="1" a="1"/>
  <c r="H833" i="1"/>
  <c r="H834" i="1" a="1"/>
  <c r="H834" i="1"/>
  <c r="H835" i="1" a="1"/>
  <c r="H835" i="1"/>
  <c r="H836" i="1" a="1"/>
  <c r="H836" i="1"/>
  <c r="H837" i="1" a="1"/>
  <c r="H837" i="1"/>
  <c r="H838" i="1" a="1"/>
  <c r="H838" i="1"/>
  <c r="H839" i="1" a="1"/>
  <c r="H839" i="1"/>
  <c r="H840" i="1" a="1"/>
  <c r="H840" i="1" s="1"/>
  <c r="H841" i="1" a="1"/>
  <c r="H841" i="1"/>
  <c r="H842" i="1" a="1"/>
  <c r="H842" i="1"/>
  <c r="H843" i="1" a="1"/>
  <c r="H843" i="1"/>
  <c r="H844" i="1" a="1"/>
  <c r="H844" i="1"/>
  <c r="H845" i="1" a="1"/>
  <c r="H845" i="1"/>
  <c r="H846" i="1" a="1"/>
  <c r="H846" i="1"/>
  <c r="H847" i="1" a="1"/>
  <c r="H847" i="1"/>
  <c r="H848" i="1" a="1"/>
  <c r="H848" i="1"/>
  <c r="H849" i="1" a="1"/>
  <c r="H849" i="1"/>
  <c r="H850" i="1" a="1"/>
  <c r="H850" i="1"/>
  <c r="H851" i="1" a="1"/>
  <c r="H851" i="1" s="1"/>
  <c r="H852" i="1" a="1"/>
  <c r="H852" i="1"/>
  <c r="H853" i="1" a="1"/>
  <c r="H853" i="1"/>
  <c r="H854" i="1" a="1"/>
  <c r="H854" i="1"/>
  <c r="H855" i="1" a="1"/>
  <c r="H855" i="1"/>
  <c r="H856" i="1" a="1"/>
  <c r="H856" i="1"/>
  <c r="H857" i="1" a="1"/>
  <c r="H857" i="1"/>
  <c r="H858" i="1" a="1"/>
  <c r="H858" i="1"/>
  <c r="H859" i="1" a="1"/>
  <c r="H859" i="1"/>
  <c r="H860" i="1" a="1"/>
  <c r="H860" i="1"/>
  <c r="H861" i="1" a="1"/>
  <c r="H861" i="1"/>
  <c r="H862" i="1" a="1"/>
  <c r="H862" i="1" s="1"/>
  <c r="H863" i="1" a="1"/>
  <c r="H863" i="1"/>
  <c r="H864" i="1" a="1"/>
  <c r="H864" i="1"/>
  <c r="H865" i="1" a="1"/>
  <c r="H865" i="1"/>
  <c r="H866" i="1" a="1"/>
  <c r="H866" i="1"/>
  <c r="H867" i="1" a="1"/>
  <c r="H867" i="1"/>
  <c r="H2" i="1" a="1"/>
  <c r="H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<sst xmlns="http://schemas.openxmlformats.org/spreadsheetml/2006/main" count="4241" uniqueCount="1719">
  <si>
    <t>Row Labels</t>
  </si>
  <si>
    <t>Sum of Tech Application</t>
  </si>
  <si>
    <t>Sum of Tech Infrastructure</t>
  </si>
  <si>
    <t>Sum of Legal View</t>
  </si>
  <si>
    <t>Sum of Organisational View</t>
  </si>
  <si>
    <t>Sum of Semantic View</t>
  </si>
  <si>
    <t>Specification</t>
  </si>
  <si>
    <t>Grand Total</t>
  </si>
  <si>
    <t>ApplicationProfile</t>
  </si>
  <si>
    <t>Family</t>
  </si>
  <si>
    <t>Standard</t>
  </si>
  <si>
    <t>Count of Title</t>
  </si>
  <si>
    <t>Count of Alternative</t>
  </si>
  <si>
    <t>Count of Acronym</t>
  </si>
  <si>
    <t>Count of CAMSSA Count</t>
  </si>
  <si>
    <t>Column Labels</t>
  </si>
  <si>
    <t>Tech Application, Legal View, Organisational View, Semantic View</t>
  </si>
  <si>
    <t>Tech Application, Legal View, Semantic View</t>
  </si>
  <si>
    <t>Tech Application, Legal View, Organisational View</t>
  </si>
  <si>
    <t>Legal View, Organisational View, Semantic View</t>
  </si>
  <si>
    <t>Legal View, Semantic View</t>
  </si>
  <si>
    <t>Tech Infrastructure, Tech Application, Organisational View</t>
  </si>
  <si>
    <t>Legal View, Organisational View</t>
  </si>
  <si>
    <t>Tech Infrastructure, Tech Application, Semantic View</t>
  </si>
  <si>
    <t>Tech Infrastructure, Semantic View</t>
  </si>
  <si>
    <t>Tech Infrastructure, Organisational View</t>
  </si>
  <si>
    <t>Tech Application, Organisational View, Semantic View</t>
  </si>
  <si>
    <t>Organisational View, Semantic View</t>
  </si>
  <si>
    <t>Tech Application, Organisational View</t>
  </si>
  <si>
    <t>Organisational View</t>
  </si>
  <si>
    <t>Legal View</t>
  </si>
  <si>
    <t>Tech Infrastructure, Tech Application</t>
  </si>
  <si>
    <t>Tech Application, Semantic View</t>
  </si>
  <si>
    <t>Tech Infrastructure</t>
  </si>
  <si>
    <t>Semantic View</t>
  </si>
  <si>
    <t>Tech Application</t>
  </si>
  <si>
    <t>Type</t>
  </si>
  <si>
    <t>Title</t>
  </si>
  <si>
    <t>Acronym</t>
  </si>
  <si>
    <t>Alternative</t>
  </si>
  <si>
    <t>Maintainer</t>
  </si>
  <si>
    <t>Version</t>
  </si>
  <si>
    <t>Previous Version</t>
  </si>
  <si>
    <t>View</t>
  </si>
  <si>
    <t>CAMSSA Count</t>
  </si>
  <si>
    <t>Schema.org v29.2.0</t>
  </si>
  <si>
    <t>Schema.org</t>
  </si>
  <si>
    <t>29.2.0</t>
  </si>
  <si>
    <t>A Framework for Multicast in Network Virtualization over Layer 3 RFC 8293</t>
  </si>
  <si>
    <t>RFC 8293</t>
  </si>
  <si>
    <t>IETF</t>
  </si>
  <si>
    <t>2.0.0</t>
  </si>
  <si>
    <t>The Atom Syndication Format (RFC 4287)</t>
  </si>
  <si>
    <t>Atom</t>
  </si>
  <si>
    <t>RFC 4287</t>
  </si>
  <si>
    <t>1.0.0</t>
  </si>
  <si>
    <t>Multi-access Edge Computing (MEC); IoT API (ETSI GS MEC 033)</t>
  </si>
  <si>
    <t>MEC IoT API</t>
  </si>
  <si>
    <t>ETSI GS MEC 033</t>
  </si>
  <si>
    <t>ETSI</t>
  </si>
  <si>
    <t>3.1.1</t>
  </si>
  <si>
    <t>EU Catalogue of Services</t>
  </si>
  <si>
    <t>EC</t>
  </si>
  <si>
    <t>Monitoring and Control MIB for Power and Energy (RFC 7460)</t>
  </si>
  <si>
    <t>RFC 7460</t>
  </si>
  <si>
    <t>COMMUNICATION FROM THE COMMISSION TO THE EUROPEAN PARLIAMENT, THE COUNCIL, THE EUROPEAN ECONOMIC AND SOCIAL COMMITTEE AND THE COMMITTEE OF THE REGIONS - European Interoperability Framework – Implementation Strategy</t>
  </si>
  <si>
    <t>OP</t>
  </si>
  <si>
    <t>ITU-T X.1603 Data security requirements for the monitoring service of cloud computing</t>
  </si>
  <si>
    <t>ITU-T X.1603</t>
  </si>
  <si>
    <t>ITU</t>
  </si>
  <si>
    <t>Smart Data Models (SDM)</t>
  </si>
  <si>
    <t>SDM</t>
  </si>
  <si>
    <t>Transport Layer Security 1.3 (TLS 1.3)</t>
  </si>
  <si>
    <t>TLS</t>
  </si>
  <si>
    <t>1.3.0</t>
  </si>
  <si>
    <t>CLARIN Concept Registry (CCR)</t>
  </si>
  <si>
    <t>CCR</t>
  </si>
  <si>
    <t>CLARIN</t>
  </si>
  <si>
    <t>Internet Calendaring and Scheduling Core Object Specification (iCalendar)</t>
  </si>
  <si>
    <t>iCalendar</t>
  </si>
  <si>
    <t>10.0.0</t>
  </si>
  <si>
    <t>Smart Applications Reference Ontology (SAREF) (ETSI TS 103 673)</t>
  </si>
  <si>
    <t>SAREF</t>
  </si>
  <si>
    <t>ETSI TS 103 673</t>
  </si>
  <si>
    <t>Security and Privacy Controls for Information Systems and Organizations (NIST SP 800-53)</t>
  </si>
  <si>
    <t>NIST SP 800-53</t>
  </si>
  <si>
    <t>NIST</t>
  </si>
  <si>
    <t>Q.5026 : Signalling requirements and protocol for providing network-oriented data integrity verification service based on blockchain in IMT-2020 networks</t>
  </si>
  <si>
    <t>ITU-T Q.5026</t>
  </si>
  <si>
    <t>OGC Catalogue Services</t>
  </si>
  <si>
    <t>OGC CSW</t>
  </si>
  <si>
    <t>OGC</t>
  </si>
  <si>
    <t>3.0.0</t>
  </si>
  <si>
    <t>GUIDELINES AND TEMPLATES FOR AGREEMENTS BETWEEN PUBLIC ADMINISTRATIONS</t>
  </si>
  <si>
    <t>Web Services Security (WSS, WS-Security)</t>
  </si>
  <si>
    <t>WSS</t>
  </si>
  <si>
    <t>OASIS</t>
  </si>
  <si>
    <t>1.1.0</t>
  </si>
  <si>
    <t>Peppol Directory</t>
  </si>
  <si>
    <t>PEPPOL</t>
  </si>
  <si>
    <t>1.1.1</t>
  </si>
  <si>
    <t>User-Managed Access 2.0 (UMA)</t>
  </si>
  <si>
    <t>UMA</t>
  </si>
  <si>
    <t>Kantara Initiative</t>
  </si>
  <si>
    <t>Directive 2014/55/EU of the European Parliament and of the Council of 16 April 2014 on electronic invoicing in public procurement Text with EEA relevance</t>
  </si>
  <si>
    <t>L 133/1</t>
  </si>
  <si>
    <t>Cyber Security (CYBER); A Verifiable Credentials extension using  Attribute-Based Encryption (ETSI TS 103 964)</t>
  </si>
  <si>
    <t>ETSI TS 103 964</t>
  </si>
  <si>
    <t>Fast Healthcare Interoperability Resources (FHIR)</t>
  </si>
  <si>
    <t>FHIR</t>
  </si>
  <si>
    <t>Health Level Seven International (HL7)</t>
  </si>
  <si>
    <t>5.0.0</t>
  </si>
  <si>
    <t>The EU cybersecurity certification framework</t>
  </si>
  <si>
    <t>eDelivery BDX Location profile (eDelivery BDXL)</t>
  </si>
  <si>
    <t>BDXL</t>
  </si>
  <si>
    <t>BDX Location</t>
  </si>
  <si>
    <t>1.6.0</t>
  </si>
  <si>
    <t>Protocol Buffers (Protobuf)</t>
  </si>
  <si>
    <t>Protobuf</t>
  </si>
  <si>
    <t>protobuf.dev</t>
  </si>
  <si>
    <t>XSLT</t>
  </si>
  <si>
    <t>W3C</t>
  </si>
  <si>
    <t>CX-0006 Registration and Initial Onboarding v2.0.1</t>
  </si>
  <si>
    <t>CX-0006</t>
  </si>
  <si>
    <t>CATENA-X</t>
  </si>
  <si>
    <t>2.0.1</t>
  </si>
  <si>
    <t>X.1148 : Framework of de-identification process for telecommunication service providers</t>
  </si>
  <si>
    <t>ITU-T X.1148</t>
  </si>
  <si>
    <t>Electronic Signatures and Infrastructures (ESI); CAdES digital signatures; Part 2: Extended CAdES signatures (ETSI EN 319 122-2)</t>
  </si>
  <si>
    <t>CAdES</t>
  </si>
  <si>
    <t>ETSI EN 319 122-2</t>
  </si>
  <si>
    <t>JavaScript Object Notation (JSON) (ECMA-404)</t>
  </si>
  <si>
    <t>JSON</t>
  </si>
  <si>
    <t>ECMA-404</t>
  </si>
  <si>
    <t>Ecma</t>
  </si>
  <si>
    <t>OAuth 2.0 Authorization Server Metadata</t>
  </si>
  <si>
    <t>OAuth</t>
  </si>
  <si>
    <t>Machine-to-Machine communications (M2M); Impact of Smart City Activity on IoT Environment (ETSI TR 103 290)</t>
  </si>
  <si>
    <t>ETSI TR 103 290</t>
  </si>
  <si>
    <t>Core Public Organisation Vocabulary (CPOV)</t>
  </si>
  <si>
    <t>CPOV</t>
  </si>
  <si>
    <t>Context Information Management (CIM); NGSI-LD API (ETSI GR CIM 018)</t>
  </si>
  <si>
    <t>NGSI-LD API</t>
  </si>
  <si>
    <t>ETSI GR CIM 018</t>
  </si>
  <si>
    <t>Universally Unique IDentifier (UUID) URN Namespace (RFC 4122)</t>
  </si>
  <si>
    <t>UUDI</t>
  </si>
  <si>
    <t>RFC 4122</t>
  </si>
  <si>
    <t>GAIA-X Policy Rules Conformity Document</t>
  </si>
  <si>
    <t>GAIA-X</t>
  </si>
  <si>
    <t>23.10.0</t>
  </si>
  <si>
    <t>eIDAS SAML message format</t>
  </si>
  <si>
    <t>SAML</t>
  </si>
  <si>
    <t>1.2.0</t>
  </si>
  <si>
    <t>MyData Service Linking Specification</t>
  </si>
  <si>
    <t>HIIT</t>
  </si>
  <si>
    <t>1.2.1</t>
  </si>
  <si>
    <t>DOLCE-Ultralite</t>
  </si>
  <si>
    <t>ODP</t>
  </si>
  <si>
    <t>3.34.0</t>
  </si>
  <si>
    <t>Application Security Verification Standard (ASVS)</t>
  </si>
  <si>
    <t>ASVS</t>
  </si>
  <si>
    <t>OWASP SAMM</t>
  </si>
  <si>
    <t>4.0.3</t>
  </si>
  <si>
    <t>2011/130/EU: Commission Decision of 25 February 2011 establishing minimum requirements for the cross-border processing of documents signed electronically by competent authorities under Directive 2006/123/EC of the European Parliament and of the Council on services in the internal market (notified under document C(2011) 1081)</t>
  </si>
  <si>
    <t>Decision 2011/130/EU</t>
  </si>
  <si>
    <t>L 53/66</t>
  </si>
  <si>
    <t>AS4 Interoperability Profile for Four-Corner Networks</t>
  </si>
  <si>
    <t>AS4</t>
  </si>
  <si>
    <t>FIREWARE Catalogue</t>
  </si>
  <si>
    <t>FIWARE</t>
  </si>
  <si>
    <t>8.4.0</t>
  </si>
  <si>
    <t>ETSI TS 103 523-2 CYBER; Middlebox Security Protocol; Part 2: Transport layer MSP, profile for fine grained access control</t>
  </si>
  <si>
    <t>CYBER</t>
  </si>
  <si>
    <t>ETSI TS 103 523-2 CYBER</t>
  </si>
  <si>
    <t>BIS eDocuments guide for pre-award</t>
  </si>
  <si>
    <t>ITU-T X.1606 Security requirements for communication as a service application environments</t>
  </si>
  <si>
    <t>ITU-T X.1606</t>
  </si>
  <si>
    <t>Business Partner Data Pool API (BPM - 003 Business Partner Data Pool API)</t>
  </si>
  <si>
    <t>BPDM API</t>
  </si>
  <si>
    <t>BPM - 003</t>
  </si>
  <si>
    <t>2.1.0</t>
  </si>
  <si>
    <t>oneM2M Functional Architecture</t>
  </si>
  <si>
    <t>oneM2M</t>
  </si>
  <si>
    <t>5.6.0</t>
  </si>
  <si>
    <t>Extensible Authentication Protocol (EAP) (RFC 3748)</t>
  </si>
  <si>
    <t>EAP</t>
  </si>
  <si>
    <t>RFC 3748</t>
  </si>
  <si>
    <t>ETSI TS 103 523-3 CYBER; Middlebox Security Protocol; Part 3: Profile for enterprise network and data centre access control</t>
  </si>
  <si>
    <t>ETSI TS 103 523-3 CYBER</t>
  </si>
  <si>
    <t>1.3.1</t>
  </si>
  <si>
    <t>Web Services Business Process Execution Language (WS-BPEL) v2.0</t>
  </si>
  <si>
    <t>WS-BPEL</t>
  </si>
  <si>
    <t>PROV Family</t>
  </si>
  <si>
    <t>PROV</t>
  </si>
  <si>
    <t>CACAO Security Playbooks Version 1.0</t>
  </si>
  <si>
    <t>CACAO</t>
  </si>
  <si>
    <t>The EU Cybersecurity Act</t>
  </si>
  <si>
    <t>Regulation 2019/881/EU</t>
  </si>
  <si>
    <t>L 151/15</t>
  </si>
  <si>
    <t>Common Procurement Vocabulary (CPV)</t>
  </si>
  <si>
    <t>CPV</t>
  </si>
  <si>
    <t>Better regulation "Toolbox"</t>
  </si>
  <si>
    <t>SWD(2021) 305 final</t>
  </si>
  <si>
    <t>Electronic Signatures and Infrastructures (ESI); Registered Electronic Mail (REM); Part 2: Data requirements, Formats and Signatures for REM (ETSI TS 102 640-2)</t>
  </si>
  <si>
    <t>REM</t>
  </si>
  <si>
    <t>ETSI TS 102 640-2</t>
  </si>
  <si>
    <t>2.2.1</t>
  </si>
  <si>
    <t>X.1058 : Information technology - Security techniques - Code of practice for personally identifiable information protection</t>
  </si>
  <si>
    <t>ITU-T X.1058</t>
  </si>
  <si>
    <t>EBSI Trust Model</t>
  </si>
  <si>
    <t>Core Location Vocabulary 2.0.0</t>
  </si>
  <si>
    <t>CLV</t>
  </si>
  <si>
    <t>SLA for Open API Initiative Specification (SLA4OAI)</t>
  </si>
  <si>
    <t>SLA4OAI</t>
  </si>
  <si>
    <t>ISA Group</t>
  </si>
  <si>
    <t>0.10.0</t>
  </si>
  <si>
    <t>REGULATION OF THE EUROPEAN PARLIAMENT AND OF THE COUNCIL laying down measures for a high level of public sector interoperability across the Union (Interoperable Europe Act)</t>
  </si>
  <si>
    <t>IEA</t>
  </si>
  <si>
    <t>Interoperable Europe Act</t>
  </si>
  <si>
    <t>JSON Schema</t>
  </si>
  <si>
    <t>JSON SCHEMA</t>
  </si>
  <si>
    <t>IEC-CEN ELEC Frankfurt Agreement</t>
  </si>
  <si>
    <t>CEN-CENELEC</t>
  </si>
  <si>
    <t>Extensible Access Control Markup Language (XACML)</t>
  </si>
  <si>
    <t>XACML</t>
  </si>
  <si>
    <t>ITU-T X.1605 Security requirements of public infrastructure as a service (IaaS) in cloud computing</t>
  </si>
  <si>
    <t>ITU-T X.1605</t>
  </si>
  <si>
    <t>ISO/IEC 18384-2:2016 Information technology — Reference Architecture for Service Oriented Architecture (SOA RA) — Part 2: Reference Architecture for SOA Solutions</t>
  </si>
  <si>
    <t>SOA RA</t>
  </si>
  <si>
    <t>ISO/IEC 18384-2</t>
  </si>
  <si>
    <t>ISO</t>
  </si>
  <si>
    <t>3-Clause BSD License</t>
  </si>
  <si>
    <t>Open Source</t>
  </si>
  <si>
    <t>Security methodology for the use of identity-based cryptography in support of Internet of things (IoT) services over telecommunication networks (ITU-T X.1365)</t>
  </si>
  <si>
    <t>OpenPeppol eDEC Code Lists</t>
  </si>
  <si>
    <t>8.1.0</t>
  </si>
  <si>
    <t>Attribute-based Access Control (ABAC)</t>
  </si>
  <si>
    <t>ABAC</t>
  </si>
  <si>
    <t>ISO/IEC 38505-2: Information technology - Governance of IT - Part2: Implications of ISO/IEC38505-1 for Data Management</t>
  </si>
  <si>
    <t>ISO/IEC 38505-2</t>
  </si>
  <si>
    <t>Web Coverage Service (WCS)</t>
  </si>
  <si>
    <t>WCS</t>
  </si>
  <si>
    <t>International Standard on Assurance Engagements 3402 (ISAE 3402)</t>
  </si>
  <si>
    <t>ISAE 3402</t>
  </si>
  <si>
    <t>IAASB</t>
  </si>
  <si>
    <t>Web of Things (WoT)</t>
  </si>
  <si>
    <t>WoT</t>
  </si>
  <si>
    <t>Electronic Signatures and Trust Infrastructures (ESI); Policy and security requirements for Trust Service Providers issuing certificates; Part 1: General requirements (ETSI EN 319 411-1)</t>
  </si>
  <si>
    <t>ETSI EN 319 411-1</t>
  </si>
  <si>
    <t>1.5.1</t>
  </si>
  <si>
    <t>Markdown Syntax for Object Notation (MSON)</t>
  </si>
  <si>
    <t>MSON</t>
  </si>
  <si>
    <t>Apiary</t>
  </si>
  <si>
    <t>QUIC: A UDP-Based Multiplexed and Secure Transport</t>
  </si>
  <si>
    <t>QUIC</t>
  </si>
  <si>
    <t>34.0.0</t>
  </si>
  <si>
    <t>eID building block</t>
  </si>
  <si>
    <t>SmartM2M; SAREF: Ontology Support for  Urban Digital Twins and usage guidelines (ETSI TS 103 828)</t>
  </si>
  <si>
    <t>ETSI TS 103 828</t>
  </si>
  <si>
    <t>My Data Ontology (MDO)</t>
  </si>
  <si>
    <t>MDO</t>
  </si>
  <si>
    <t>CUBRC</t>
  </si>
  <si>
    <t>ETSI EN 319 412-3</t>
  </si>
  <si>
    <t>CYBER Middlebox Security Protocol Part 1: MSP Framework and Template Requirements</t>
  </si>
  <si>
    <t>ETSI TS 103 523-1</t>
  </si>
  <si>
    <t>Service Requirements for Layer 2 Provider-Provisioned Virtual Private Networks</t>
  </si>
  <si>
    <t>L2VPNs</t>
  </si>
  <si>
    <t>7.0.0</t>
  </si>
  <si>
    <t>Directive 2006/123/EC of the European Parliament and of the Council of 12 December 2006 on services in the internal market</t>
  </si>
  <si>
    <t>Directive 2006/123/EC</t>
  </si>
  <si>
    <t>L 376/36</t>
  </si>
  <si>
    <t>87/598/EEC: Commission Recommendation of 8 December 1987 on a European Code of Conduct relating to electronic payment (Relations between financial institutions, traders and service establishments, and consumers)</t>
  </si>
  <si>
    <t>Recommendation 87/598/EEC</t>
  </si>
  <si>
    <t>L 365</t>
  </si>
  <si>
    <t>Extensible Forms Description Language (XFDL)</t>
  </si>
  <si>
    <t>XFDL</t>
  </si>
  <si>
    <t>4.0.0</t>
  </si>
  <si>
    <t>Company Attribute Verification (IAM - 004 Company Attribute Verification)</t>
  </si>
  <si>
    <t>IAM - 004</t>
  </si>
  <si>
    <t>DCAT-AP High Value Datasets (HVD)</t>
  </si>
  <si>
    <t>HVD</t>
  </si>
  <si>
    <t>2.2.0</t>
  </si>
  <si>
    <t>AMQP Claims-based Security</t>
  </si>
  <si>
    <t>AMQP CBS</t>
  </si>
  <si>
    <t>Standard for Public Code</t>
  </si>
  <si>
    <t>0.2.2</t>
  </si>
  <si>
    <t>ISO/IEC/IEEE 24748-3:2020 Systems and software engineering — Life cycle management Part 3: Guidelines for the application of ISO/IEC/IEEE 12207 (software life cycle processes)</t>
  </si>
  <si>
    <t>ISO/IEC/IEEE 24748-3:2020</t>
  </si>
  <si>
    <t>Java Specification Requests (JSRs)</t>
  </si>
  <si>
    <t>JSRs</t>
  </si>
  <si>
    <t>JCP</t>
  </si>
  <si>
    <t>2.11.0</t>
  </si>
  <si>
    <t>Wheat Data Interoperability Guidelines</t>
  </si>
  <si>
    <t>RDA</t>
  </si>
  <si>
    <t>CX-0007 Minimal Data Provider Service Offering v1.1.1</t>
  </si>
  <si>
    <t>CX-0007</t>
  </si>
  <si>
    <t>Semantically Interlinked Online Communities</t>
  </si>
  <si>
    <t>SIOC</t>
  </si>
  <si>
    <t>eDelivery SMP - 2.0</t>
  </si>
  <si>
    <t>Application Performance Index</t>
  </si>
  <si>
    <t>APDEX</t>
  </si>
  <si>
    <t>APDEX Alliance</t>
  </si>
  <si>
    <t>Open Virtualization Format</t>
  </si>
  <si>
    <t>OVF</t>
  </si>
  <si>
    <t>DMTF</t>
  </si>
  <si>
    <t>2.1.1</t>
  </si>
  <si>
    <t>Task Execution Service (TES) API</t>
  </si>
  <si>
    <t>TES</t>
  </si>
  <si>
    <t>GA4GH</t>
  </si>
  <si>
    <t>Languages, Countries, and Codes (LCC)</t>
  </si>
  <si>
    <t>LCC</t>
  </si>
  <si>
    <t>OMG</t>
  </si>
  <si>
    <t>Portable Document Format v 1.7 (PDF 1.7)</t>
  </si>
  <si>
    <t>PDF</t>
  </si>
  <si>
    <t>1.7.0</t>
  </si>
  <si>
    <t>Information technology — Governance of IT for the organization (ISO/IEC 38500:2015)</t>
  </si>
  <si>
    <t>ISO/IEC 38500</t>
  </si>
  <si>
    <t>Transformational Government Framework Version 2.0</t>
  </si>
  <si>
    <t>TGF</t>
  </si>
  <si>
    <t>ISO/IEC 7498-1:1994 Information technology — Open Systems Interconnection</t>
  </si>
  <si>
    <t>OSI</t>
  </si>
  <si>
    <t>ISO/IEC 7498-1</t>
  </si>
  <si>
    <t>GITB Test Reporting Language (TRL)</t>
  </si>
  <si>
    <t>TRL</t>
  </si>
  <si>
    <t>1.17.0</t>
  </si>
  <si>
    <t>Framework for Layer 3 Provider-Provisioned Virtual Private Networks (PPVPNs)</t>
  </si>
  <si>
    <t>PPVPNs</t>
  </si>
  <si>
    <t>Performance-based Full Policy Cycle for the Digital Single Market</t>
  </si>
  <si>
    <t>OpenSource MANO</t>
  </si>
  <si>
    <t>OSM</t>
  </si>
  <si>
    <t>11.0.0</t>
  </si>
  <si>
    <t>Directive 2009/136/EC - EU Cookie Directive 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t>
  </si>
  <si>
    <t>Directive 2009/136/EC</t>
  </si>
  <si>
    <t>L 337/11</t>
  </si>
  <si>
    <t>IEEE/ISO/IEC 29119-2-2021 International Standard - Software and systems engineering - Software testing -- Part 2: Test processes</t>
  </si>
  <si>
    <t>IEEE/ISO/IEC 29119-2-2021</t>
  </si>
  <si>
    <t>IEEE</t>
  </si>
  <si>
    <t>Layer 2 Tunneling Protocol (L2TP)</t>
  </si>
  <si>
    <t>L2TP</t>
  </si>
  <si>
    <t>Portable Network Graphics (PNG)</t>
  </si>
  <si>
    <t>PNG</t>
  </si>
  <si>
    <t>OpenGIS Catalogue Services Specification 2.0.2 - ISO Metadata Application Profile</t>
  </si>
  <si>
    <t>1.0.2</t>
  </si>
  <si>
    <t>XA+ specification</t>
  </si>
  <si>
    <t>XA+</t>
  </si>
  <si>
    <t>Open Group</t>
  </si>
  <si>
    <t>Internet X.509 Public Key Infrastructure Certificate and Certificate Revocation List (CRL) Profile (RFC 5280)</t>
  </si>
  <si>
    <t>RFC 5280</t>
  </si>
  <si>
    <t>X.1403 : Security guidelines for using distributed ledger technology for decentralized identity management</t>
  </si>
  <si>
    <t>ITU-T X.1403</t>
  </si>
  <si>
    <t>GeoJSON Format (RFC 7946)</t>
  </si>
  <si>
    <t>GeoJSON</t>
  </si>
  <si>
    <t>RFC 7946</t>
  </si>
  <si>
    <t>ISO/IEC 11179-1:2023 Information technology Metadata registries (MDR) Part 1: Framework</t>
  </si>
  <si>
    <t>MDR</t>
  </si>
  <si>
    <t>ISO/IEC 11179-1</t>
  </si>
  <si>
    <t>EU Vocabularies Authority tables</t>
  </si>
  <si>
    <t>ITU-T X.1752: Security guidelines for big data infrastructure and platform</t>
  </si>
  <si>
    <t>ITU-T X.1752</t>
  </si>
  <si>
    <t>CloudEvents</t>
  </si>
  <si>
    <t>CNCF</t>
  </si>
  <si>
    <t>Risk Analysis and Assessment Modeling Language (RAAML)</t>
  </si>
  <si>
    <t>RAAML</t>
  </si>
  <si>
    <t>D&amp;S-001 EDC Discovery API</t>
  </si>
  <si>
    <t>eDelivery Access Point (AP) Domibus</t>
  </si>
  <si>
    <t>AP</t>
  </si>
  <si>
    <t>eDelivery AP Domibus</t>
  </si>
  <si>
    <t>4.2.7</t>
  </si>
  <si>
    <t>ISO/IEC 14662:2010 Information technology — Open-edi reference model</t>
  </si>
  <si>
    <t>Open-edi</t>
  </si>
  <si>
    <t>ISO/IEC 14662:2010</t>
  </si>
  <si>
    <t>Web Ontology Language (OWL2)</t>
  </si>
  <si>
    <t>OWL2</t>
  </si>
  <si>
    <t>ISO/IEC 19944-1:2020 - Cloud computing and distributed platforms ─ Data flow, data categories and data use — Part 1: Fundamentals</t>
  </si>
  <si>
    <t>ISO/IEC 19944-1:2020</t>
  </si>
  <si>
    <t>SmartM2M; Extension to SAREF;  Part 4: Smart Cities Domain (ETSI TS 103 410-4)</t>
  </si>
  <si>
    <t>ETSI TS 103 410-4</t>
  </si>
  <si>
    <t>X.509: Information technology - Open Systems Interconnection - The Directory: Public-key and attribute certificate frameworks</t>
  </si>
  <si>
    <t>Recommendation X.509 (10/19)</t>
  </si>
  <si>
    <t>eIDAS Interoperability Architecture</t>
  </si>
  <si>
    <t>Data Quality Vocabulary (DQV)</t>
  </si>
  <si>
    <t>DQV</t>
  </si>
  <si>
    <t>0.8.0</t>
  </si>
  <si>
    <t>Hypertext Transfer Protocol (HTTP) (RFCs 7230-7237)</t>
  </si>
  <si>
    <t>HTTP</t>
  </si>
  <si>
    <t>RFCs 7230-7237</t>
  </si>
  <si>
    <t>Identity of Member Companies (IAM - 001 Identity of Member Companies)</t>
  </si>
  <si>
    <t>Linked Data Platform (LDP)</t>
  </si>
  <si>
    <t>LDP</t>
  </si>
  <si>
    <t>ETSI TS 103 523-5 CYBER; Middlebox Security Protocol; Part 5: CYBER; Middlebox Security Protocol; Part 5: Enterprise Network Security</t>
  </si>
  <si>
    <t>ETSI TS 103 523-5</t>
  </si>
  <si>
    <t>Preservation Metadata: Implementation Strategies (PREMIS)</t>
  </si>
  <si>
    <t>PREMIS</t>
  </si>
  <si>
    <t>LoC</t>
  </si>
  <si>
    <t>Event Stream Extensions for AMQP</t>
  </si>
  <si>
    <t>European Legislation Identifier (ELI)</t>
  </si>
  <si>
    <t>ELI</t>
  </si>
  <si>
    <t>Y.4472 Open data application programming interfaces (APIs) for IoT data in smart cities and communities</t>
  </si>
  <si>
    <t>Y.4472</t>
  </si>
  <si>
    <t>Spatial Data on the Web Best Practices</t>
  </si>
  <si>
    <t>Linked Open Data Vocabularies LOD Vocabularies</t>
  </si>
  <si>
    <t>LOD Vocabularies</t>
  </si>
  <si>
    <t>LOV</t>
  </si>
  <si>
    <t>Resource Description Framework Schema (RDFS)</t>
  </si>
  <si>
    <t>RDFS</t>
  </si>
  <si>
    <t>Web Application Description Language (WADL)</t>
  </si>
  <si>
    <t>WADL</t>
  </si>
  <si>
    <t>Core Public Service Vocabulary Application Profile (CPSV-AP) 3.2.0</t>
  </si>
  <si>
    <t>CPSV-AP</t>
  </si>
  <si>
    <t>3.2.0</t>
  </si>
  <si>
    <t>Confidentiality Metadata Label Syntax</t>
  </si>
  <si>
    <t>NATO</t>
  </si>
  <si>
    <t>CAdES (CMS Advanced Electronic Signature) Baseline Profile</t>
  </si>
  <si>
    <t>COMMISSION IMPLEMENTING REGULATION (EU) 2015/1501 on the interoperability framework pursuant to Article 12(8) of Regulation (EU) No 910/2014 of the European Parliament and of the Council on electronic identification and trust services for electronic transactions in the internal market</t>
  </si>
  <si>
    <t>Regulation 2015/1501/EU</t>
  </si>
  <si>
    <t>L 235/1</t>
  </si>
  <si>
    <t>ODRL Vocabulary &amp; Expression 2.2</t>
  </si>
  <si>
    <t>ODRL</t>
  </si>
  <si>
    <t>Semantic Treehouse</t>
  </si>
  <si>
    <t>TNO</t>
  </si>
  <si>
    <t>2.19.1</t>
  </si>
  <si>
    <t>ISO 15489-1:2016 Information and documentation — Records management — Part 1: Concepts and principles</t>
  </si>
  <si>
    <t>ISO 15489-1</t>
  </si>
  <si>
    <t>Peppol Transport Infrastructure Service Metadata Publishing (Peppol SMP)</t>
  </si>
  <si>
    <t>SMP</t>
  </si>
  <si>
    <t>Peppol Policy for Transport Security</t>
  </si>
  <si>
    <t>Digital Single Market - Modernising VAT for cross border e-Commerce - Explanatory Notes on VAT e-commerce rules</t>
  </si>
  <si>
    <t>September 2020</t>
  </si>
  <si>
    <t>REGULATION OF THE EUROPEAN PARLIAMENT AND OF THE COUNCIL on European data governance</t>
  </si>
  <si>
    <t>Universal Description, Discovery, and Integration (UDDI)</t>
  </si>
  <si>
    <t>UDDI</t>
  </si>
  <si>
    <t>3.0.2</t>
  </si>
  <si>
    <t>ISO/IEC/IEEE 24748-2:2024 Systems and software engineering — Life cycle management Part 2: Guidelines for the application of ISO/IEC/IEEE 15288 (system life cycle processes)</t>
  </si>
  <si>
    <t>ISO/IEC/IEEE 24748</t>
  </si>
  <si>
    <t>Electronic Signatures and Infrastructures (ESI); CAdES digital signatures; Part 1: Building blocks and CAdES baseline signatures (ETSI EN 319 122-1)</t>
  </si>
  <si>
    <t>ETSI EN 319 122-1</t>
  </si>
  <si>
    <t>OpenID for Verifiable Presentations (OID4VP)</t>
  </si>
  <si>
    <t>OID4VP</t>
  </si>
  <si>
    <t>OpenID Foundation</t>
  </si>
  <si>
    <t>Syslog Protocol</t>
  </si>
  <si>
    <t>23.0.0</t>
  </si>
  <si>
    <t>SOAP 1.2</t>
  </si>
  <si>
    <t>SOAP</t>
  </si>
  <si>
    <t>eDelivery ebCore Party Id</t>
  </si>
  <si>
    <t>1.4.0</t>
  </si>
  <si>
    <t>ISO/IEC 18045:2022 Information security, cybersecurity and privacy protection — Evaluation criteria for IT security — Methodology for IT security evaluation</t>
  </si>
  <si>
    <t>ISO/IEC 18045:2022</t>
  </si>
  <si>
    <t>1</t>
  </si>
  <si>
    <t>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t>
  </si>
  <si>
    <t>Regulation 2015/1502/EU</t>
  </si>
  <si>
    <t>L 235/7</t>
  </si>
  <si>
    <t>X.1252 : Baseline identity management terms and definitions</t>
  </si>
  <si>
    <t>ITU-T X.1252</t>
  </si>
  <si>
    <t>E-ARK Archival Information Packages (AIP)</t>
  </si>
  <si>
    <t>AIP</t>
  </si>
  <si>
    <t>DILCIS Board</t>
  </si>
  <si>
    <t>Core Accessibility API Mappings</t>
  </si>
  <si>
    <t>ISO/IEC 19763 Series Information technology — Metamodel framework for interoperability (MFI)</t>
  </si>
  <si>
    <t>MFI</t>
  </si>
  <si>
    <t>ISO/IEC 19763 MFI</t>
  </si>
  <si>
    <t>Web Share API</t>
  </si>
  <si>
    <t>0.9.0</t>
  </si>
  <si>
    <t>OpenID4VC High-Assurance Interoperability Profile (HAIP) with SD-JWT VC</t>
  </si>
  <si>
    <t>OpenID4VC HAIP</t>
  </si>
  <si>
    <t>OpenID</t>
  </si>
  <si>
    <t>Cyber Security for Consumer Internet of Things Baseline Requirements (EN 303 645 3.1.3)</t>
  </si>
  <si>
    <t>EN 303 645</t>
  </si>
  <si>
    <t>3.1.3</t>
  </si>
  <si>
    <t>XML Schema Definition Language (XSD) 1.1 Part 1: Structures</t>
  </si>
  <si>
    <t>XSD</t>
  </si>
  <si>
    <t>System for Cross-domain Identity Management (SCIM) Protocol (RFC 7644)</t>
  </si>
  <si>
    <t>SCIM</t>
  </si>
  <si>
    <t>RFC 7644</t>
  </si>
  <si>
    <t>22.0.0</t>
  </si>
  <si>
    <t>data.europe.eu (DEU)</t>
  </si>
  <si>
    <t>DEU</t>
  </si>
  <si>
    <t>Directive 2014/23/EU of the European Parliament and of the Council of 26 February 2014 on the award of concession contracts Text with EEA relevance</t>
  </si>
  <si>
    <t>Directive 2014/23/EU</t>
  </si>
  <si>
    <t>L 94/1</t>
  </si>
  <si>
    <t>OData</t>
  </si>
  <si>
    <t>4.1.0</t>
  </si>
  <si>
    <t>Securing Artificial Intelligence (SAI); AI Threat Ontology and definitions (ETSI TS 104 050)</t>
  </si>
  <si>
    <t>ETSI TS 104 050</t>
  </si>
  <si>
    <t>IEEE P3652.1, Guide for Architectural Framework and Application of Federated Machine Learning</t>
  </si>
  <si>
    <t>IEEE P3652.1</t>
  </si>
  <si>
    <t>ETSI TS 133 501 5G; Security architecture and procedures for 5G System (3GPP TS 33.501 version 18.6.0 Release 18)</t>
  </si>
  <si>
    <t>ETSI TS 133 501 5G</t>
  </si>
  <si>
    <t>18.6.0</t>
  </si>
  <si>
    <t>IDSA Rulebook</t>
  </si>
  <si>
    <t>IDSA</t>
  </si>
  <si>
    <t>EDC (SOV-001 Eclipse Data Space Connector)</t>
  </si>
  <si>
    <t>EDC</t>
  </si>
  <si>
    <t>Electronic Signatures and Infrastructures (ESI); Registered Electronic Mail (REM) Services; Part 3: Formats (ETSI EN 319 532-3)</t>
  </si>
  <si>
    <t>ETSI EN 319 532-3</t>
  </si>
  <si>
    <t>eProcurement Ontology</t>
  </si>
  <si>
    <t>ePO</t>
  </si>
  <si>
    <t>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t>
  </si>
  <si>
    <t>L 295/39</t>
  </si>
  <si>
    <t>Workflow Execution Service (WES) API</t>
  </si>
  <si>
    <t>WES API</t>
  </si>
  <si>
    <t>EPUB</t>
  </si>
  <si>
    <t>Cascading Style Sheets (CSS) v2.1</t>
  </si>
  <si>
    <t>CSS</t>
  </si>
  <si>
    <t>ITU-T Y.3605  Big data reference architecture</t>
  </si>
  <si>
    <t>ITU-T Y.3605</t>
  </si>
  <si>
    <t>DIRECTIVE (EU) 2015/2366 OF THE EUROPEAN PARLIAMENT AND OF THE COUNCIL of 25 November 2015 on payment services in the internal market, amending Directives 2002/65/EC, 2009/110/EC and 2013/36/EU and Regulation (EU) No 1093/2010, and repealing Directive 2007/64/EC</t>
  </si>
  <si>
    <t>Directive 2015/2366/EU</t>
  </si>
  <si>
    <t>L 337/35</t>
  </si>
  <si>
    <t>CSV on the Web</t>
  </si>
  <si>
    <t>CSVW</t>
  </si>
  <si>
    <t>CSV on the Web Working Group</t>
  </si>
  <si>
    <t>Key performance indicators for smart sustainable cities to assess the achievement of sustainable development goals</t>
  </si>
  <si>
    <t>ITU-T Y.4903</t>
  </si>
  <si>
    <t>OWL-based Web Service Ontology (OWL-S)</t>
  </si>
  <si>
    <t>OWL-S</t>
  </si>
  <si>
    <t>G8 Open Data Charter</t>
  </si>
  <si>
    <t>ODC</t>
  </si>
  <si>
    <t>ISO/IEC 27000:2018 Information technology — Security techniques — Information security management systems — Overview and vocabulary</t>
  </si>
  <si>
    <t>ISO/IEC 27000:2018</t>
  </si>
  <si>
    <t>IDSA Dataspace Protocol</t>
  </si>
  <si>
    <t>Comma-Separated Values (CSV) (RFC 4180)</t>
  </si>
  <si>
    <t>CSV</t>
  </si>
  <si>
    <t>RFC 4180</t>
  </si>
  <si>
    <t>File Transfer Protocol (FTP) (RFC 959)</t>
  </si>
  <si>
    <t>FTP</t>
  </si>
  <si>
    <t>RFC 959</t>
  </si>
  <si>
    <t>Domain-based Message Authentication, Reporting &amp; Conformance (DMARC)</t>
  </si>
  <si>
    <t>DMARC</t>
  </si>
  <si>
    <t>13.0.0</t>
  </si>
  <si>
    <t>Code List Representation (genericode)</t>
  </si>
  <si>
    <t>genericode</t>
  </si>
  <si>
    <t>Software Independent Archival of Relational Databases (SIARD) format specification</t>
  </si>
  <si>
    <t>SIARD</t>
  </si>
  <si>
    <t>SAF</t>
  </si>
  <si>
    <t>Research Data Repository Interoperability Recommendations</t>
  </si>
  <si>
    <t>None</t>
  </si>
  <si>
    <t>ISO/TS 10020:2022 Quality management systems - Organizational change management - Processes</t>
  </si>
  <si>
    <t>ISO/TS 10020:2022</t>
  </si>
  <si>
    <t>Accessibility requirements for ICT products and services (EN 301 549)</t>
  </si>
  <si>
    <t>EN 301 549</t>
  </si>
  <si>
    <t>3.2.1</t>
  </si>
  <si>
    <t>Storage Management Initiative Specification (SMI-S)</t>
  </si>
  <si>
    <t>SMI-S</t>
  </si>
  <si>
    <t>SNIA</t>
  </si>
  <si>
    <t>1.8.0</t>
  </si>
  <si>
    <t>Data Catalog Vocabulary (DCAT) - Version 3</t>
  </si>
  <si>
    <t>DCAT</t>
  </si>
  <si>
    <t>Statistical Data and Metadata Exchange (SDMX)</t>
  </si>
  <si>
    <t>SDMX</t>
  </si>
  <si>
    <t>SDMX Initiative</t>
  </si>
  <si>
    <t>CEN/CWA 18125 :2024 ‘Trusted Data Transaction'</t>
  </si>
  <si>
    <t>Trusted Data Transaction</t>
  </si>
  <si>
    <t>Internet Protocol Security (IPSec)</t>
  </si>
  <si>
    <t>IPSec</t>
  </si>
  <si>
    <t>6.0.0</t>
  </si>
  <si>
    <t>X.509 Internet Public Key Infrastructure Online Certificate Status Protocol - OCSP</t>
  </si>
  <si>
    <t>OCSP</t>
  </si>
  <si>
    <t>RFC 6960</t>
  </si>
  <si>
    <t>8.0.0</t>
  </si>
  <si>
    <t>MyData Data Connection Specification</t>
  </si>
  <si>
    <t>Geography Markup Language (GML)</t>
  </si>
  <si>
    <t>GML</t>
  </si>
  <si>
    <t>3.3.0</t>
  </si>
  <si>
    <t>Security framework for the Internet of things based on the gateway model</t>
  </si>
  <si>
    <t>ITU-T X.1361</t>
  </si>
  <si>
    <t>ITU-T X.1604 Security requirements of network as a service (NaaS) in cloud computing</t>
  </si>
  <si>
    <t>ITU-T X.1604</t>
  </si>
  <si>
    <t>DNS Queries over HTTPS (DoH) RFC 8484</t>
  </si>
  <si>
    <t>DoH</t>
  </si>
  <si>
    <t>RFC 8484</t>
  </si>
  <si>
    <t>14.0.0</t>
  </si>
  <si>
    <t>Data on the Web Best Practices W3C</t>
  </si>
  <si>
    <t>DWBP</t>
  </si>
  <si>
    <t>Electronic Signatures and Trust Infrastructures (ESI); Policy and security requirements for  Trust Service Providers issuing certificates; Part 2: Requirements for trust service providers issuing EU qualified certificates (ETSI EN 319 411-2)</t>
  </si>
  <si>
    <t>ETSI EN 319 411-2</t>
  </si>
  <si>
    <t>2.6.1</t>
  </si>
  <si>
    <t>Electronic Signatures and Infrastructures (ESI); Trust Service Provider Conformity Assessment; Part 1: Requirements for conformity assessment bodies assessing Trust Service Providers</t>
  </si>
  <si>
    <t>2.3.1</t>
  </si>
  <si>
    <t>OSLC Tracked Resource Set Version 3.0</t>
  </si>
  <si>
    <t>OSLC TRS</t>
  </si>
  <si>
    <t>European Interoperability Reference Architecture (EIRA) v3.1.0</t>
  </si>
  <si>
    <t>EIRA</t>
  </si>
  <si>
    <t>3.1.0</t>
  </si>
  <si>
    <t>iShare Trust Framework</t>
  </si>
  <si>
    <t>iShare</t>
  </si>
  <si>
    <t>XML Security Policy Information File (SPIF) format</t>
  </si>
  <si>
    <t>SPIF</t>
  </si>
  <si>
    <t>XMLSPIF.org</t>
  </si>
  <si>
    <t>Regulation (EU) 2023/2854 of the European Parliament and of the Council of 13 December 2023 on harmonised rules on fair access to and use of data and amending Regulation (EU) 2017/2394 and Directive (EU) 2020/1828 (Data Act)</t>
  </si>
  <si>
    <t>European Parliament. Council of the European Union.</t>
  </si>
  <si>
    <t>Filesystem Hierarchy Standard (FHS)</t>
  </si>
  <si>
    <t>FHS</t>
  </si>
  <si>
    <t>Linux Foundation</t>
  </si>
  <si>
    <t>vCard Format Specification</t>
  </si>
  <si>
    <t>vCard</t>
  </si>
  <si>
    <t>Transmission Control Protocol (TCP) Specification</t>
  </si>
  <si>
    <t>TCP</t>
  </si>
  <si>
    <t>28.0.0</t>
  </si>
  <si>
    <t>AMQP Filter Expressions</t>
  </si>
  <si>
    <t>ETL specification</t>
  </si>
  <si>
    <t>ETL</t>
  </si>
  <si>
    <t>DataSF</t>
  </si>
  <si>
    <t>GAIA-X Federated Services Continuous Automated Monitoring Compliance Specification (working draft)</t>
  </si>
  <si>
    <t>GXFS CAM</t>
  </si>
  <si>
    <t>working draft</t>
  </si>
  <si>
    <t>Peppol Continuous Transaction Controls (Peppol CTC) Reference Document</t>
  </si>
  <si>
    <t>ISO/IEC 38505-1: Information technology - Governance of IT - Part 1: Application of ISO/IEC 38500 to the governance of data</t>
  </si>
  <si>
    <t>ISO/IEC 38505-1</t>
  </si>
  <si>
    <t>IEEE 7002 - Standard for Data Privacy Process</t>
  </si>
  <si>
    <t>IEEE 7002</t>
  </si>
  <si>
    <t>Concise Binary Object Representation (CBOR) Tags for Date (RFC 8943)</t>
  </si>
  <si>
    <t>CBOR</t>
  </si>
  <si>
    <t>RFC 8943</t>
  </si>
  <si>
    <t>User Agent Accessibility Guidelines (UAAG)</t>
  </si>
  <si>
    <t>UAAG</t>
  </si>
  <si>
    <t>Internet X.509 Public Key Infrastructure Certificate Policy and Certification Practices Framework (RFC 3647)</t>
  </si>
  <si>
    <t>RFC 3647</t>
  </si>
  <si>
    <t>Secure Shell Protocol (SSH)</t>
  </si>
  <si>
    <t>SSH</t>
  </si>
  <si>
    <t>Apache License version 2</t>
  </si>
  <si>
    <t>Apache Software Foundation</t>
  </si>
  <si>
    <t>Kerberos</t>
  </si>
  <si>
    <t>MIT</t>
  </si>
  <si>
    <t>1.20.0</t>
  </si>
  <si>
    <t>IPv6 over BLUETOOTH(R) Low Energy</t>
  </si>
  <si>
    <t>RFC 7668</t>
  </si>
  <si>
    <t>DIRECTIVE (EU) 2018/1972 OF THE EUROPEAN PARLIAMENT AND OF THE COUNCIL of 11 December 2018 establishing the European Electronic Communications Code</t>
  </si>
  <si>
    <t>Directive 2018/1972/EU</t>
  </si>
  <si>
    <t>L 321/36</t>
  </si>
  <si>
    <t>Regulation (EC) No 45/2001 of the European Parliament and of the Council of 18 December 2000 on the protection of individuals with regard to the processing of personal data by the Community institutions and bodies and on the free movement of such data</t>
  </si>
  <si>
    <t>L 008</t>
  </si>
  <si>
    <t>Observing Resources in the Constrained Application Protocol (CoAP) (RFC 7641)</t>
  </si>
  <si>
    <t>Software Package Data Exchange (SPDX)</t>
  </si>
  <si>
    <t>SPDX</t>
  </si>
  <si>
    <t>OGC Training Data Markup Language for Artificial Intelligence (TrainingDML-AI) Part 1: Conceptual Model Standard.</t>
  </si>
  <si>
    <t>TrainingDML-AI</t>
  </si>
  <si>
    <t>Improved Extensible Authentication Protocol Method for 3rd Generation Authentication and Key Agreement (EAP-AKA')</t>
  </si>
  <si>
    <t>RFC 5448</t>
  </si>
  <si>
    <t>Open Document Format for Office Applications (OpenDocument)</t>
  </si>
  <si>
    <t>OpenDocument</t>
  </si>
  <si>
    <t>Office Open XML File Formats Part 3: Markup Compatibility and Extensibility</t>
  </si>
  <si>
    <t>ISO/IEC 29500-3:2015</t>
  </si>
  <si>
    <t>Ontology Design Patterns (ODP)</t>
  </si>
  <si>
    <t>JSON-LD</t>
  </si>
  <si>
    <t>Open Trip Model</t>
  </si>
  <si>
    <t>OTM</t>
  </si>
  <si>
    <t>SIMACAN</t>
  </si>
  <si>
    <t>Data Distribution Service (DDS)</t>
  </si>
  <si>
    <t>DDS</t>
  </si>
  <si>
    <t>Peppol Policy for use of identifiers</t>
  </si>
  <si>
    <t>EBSI - Verifiable Credentials Status Framework (EBSI-VC SF)</t>
  </si>
  <si>
    <t>EBSI-VC SF</t>
  </si>
  <si>
    <t>ISO/IEC 27001 INFORMATION SECURITY MANAGEMENT</t>
  </si>
  <si>
    <t>ISO/IEC 27001:2022</t>
  </si>
  <si>
    <t>RDF Mapping Language (RML)</t>
  </si>
  <si>
    <t>RML</t>
  </si>
  <si>
    <t>Business Document Naming and Design Rules (BDNDR)</t>
  </si>
  <si>
    <t>BDNDR</t>
  </si>
  <si>
    <t>Basic Digital Government API EU framework</t>
  </si>
  <si>
    <t>Concise Binary Object Representation (CBOR) (RFC 8949)</t>
  </si>
  <si>
    <t>RFC 8949</t>
  </si>
  <si>
    <t>Electronic Signatures and Infrastructures (ESI); PAdES digital signatures; Part 2: Additional PAdES signatures profiles (ETSI EN 319 142-2)</t>
  </si>
  <si>
    <t>PAdES</t>
  </si>
  <si>
    <t>ETSI EN 319 142-2</t>
  </si>
  <si>
    <t>Asset Administration Shell (AAS) specification - Part 1 Metamodel</t>
  </si>
  <si>
    <t>AAS</t>
  </si>
  <si>
    <t>Platform Industrie 4.0</t>
  </si>
  <si>
    <t>3.0.1</t>
  </si>
  <si>
    <t>ESCO</t>
  </si>
  <si>
    <t>SAML 2.0 - Security Assertion Markup Language</t>
  </si>
  <si>
    <t>Sensor Observation Service (SOS)</t>
  </si>
  <si>
    <t>SOS</t>
  </si>
  <si>
    <t>Issuing Agency (BPM - 002 Issuing Agency)</t>
  </si>
  <si>
    <t>Single Integrated Metadata Structure (SIMS)</t>
  </si>
  <si>
    <t>SIMS</t>
  </si>
  <si>
    <t>RPKI Architecture</t>
  </si>
  <si>
    <t>Capability Maturity Model Integration (CMMI)</t>
  </si>
  <si>
    <t>CMMI</t>
  </si>
  <si>
    <t>ISACA</t>
  </si>
  <si>
    <t>EN 16931-1:2017+A1:2019/AC:2020</t>
  </si>
  <si>
    <t>UTF-16</t>
  </si>
  <si>
    <t>Regulation (EU) 2018/1724 of the European Parliament and of the Council of 2 October 2018 establishing a single digital gateway to provide access to information, to procedures and to assistance and problem-solving services (Single Digital Gateway)</t>
  </si>
  <si>
    <t>SDG</t>
  </si>
  <si>
    <t>Network Functions Virtualisation (NFV); Infrastructure Overview (NFVI)</t>
  </si>
  <si>
    <t>NFVI</t>
  </si>
  <si>
    <t>COMMUNICATION FROM THE COMMISSION TO THE EUROPEAN PARLIAMENT, THE COUNCIL, THE EUROPEAN ECONOMIC AND SOCIAL COMMITTEE AND THE COMMITTEE OF THE REGIONS - A Quality Framework for Services of General Interest in Europe</t>
  </si>
  <si>
    <t>Access Control Paradigm (IAM - 003 IAM &amp; Access Control Paradigm)</t>
  </si>
  <si>
    <t>IAM-003</t>
  </si>
  <si>
    <t>Directive 2014/24/EU of the European Parliament and of the Council of 26 February 2014 on public procurement and repealing Directive 2004/18/EC Text with EEA relevance</t>
  </si>
  <si>
    <t>Directive 2014/24/EU</t>
  </si>
  <si>
    <t>L 94/65</t>
  </si>
  <si>
    <t>Identifier service requirements for the interoperability of smart city applications</t>
  </si>
  <si>
    <t>ITU-T Y.4805</t>
  </si>
  <si>
    <t>OASIS Heimdall Data Format</t>
  </si>
  <si>
    <t>OHDF</t>
  </si>
  <si>
    <t>Domibus v5.1.7</t>
  </si>
  <si>
    <t>5.1.7</t>
  </si>
  <si>
    <t>Semantically Interlinked Online Communities (SIOC) Core Ontology Specification</t>
  </si>
  <si>
    <t>ISO 3166-1:2020 Codes for the representation of names of countries and their subdivisions -- Part 1: Country codes</t>
  </si>
  <si>
    <t>ISO 3166-1</t>
  </si>
  <si>
    <t>OCF Specification</t>
  </si>
  <si>
    <t>OCF</t>
  </si>
  <si>
    <t>Open Connectivity Foundation</t>
  </si>
  <si>
    <t>2.2.5</t>
  </si>
  <si>
    <t>Proof Key for Code Exchange (PKCE)</t>
  </si>
  <si>
    <t>PKCE</t>
  </si>
  <si>
    <t>NATO Core Metadata Specification (NCMS)</t>
  </si>
  <si>
    <t>NCMS</t>
  </si>
  <si>
    <t>Stichting Elektronische Transacties Uitzendbranche (SETU specifications)</t>
  </si>
  <si>
    <t>SETU</t>
  </si>
  <si>
    <t>Stichting Elektronische Transacties Uitzendbranche</t>
  </si>
  <si>
    <t>RapidIO(TM) interconnect specification</t>
  </si>
  <si>
    <t>RapidIO</t>
  </si>
  <si>
    <t>Shapes Constraint Language (SHACL)</t>
  </si>
  <si>
    <t>SHACL</t>
  </si>
  <si>
    <t>ISO/IEC 20802-1:2016 Information technology — Open data protocol (OData) v4.0 Part 1: Core</t>
  </si>
  <si>
    <t>ISO/IEC 20802-1:2016</t>
  </si>
  <si>
    <t>Extended Log File Format</t>
  </si>
  <si>
    <t>Working Draft</t>
  </si>
  <si>
    <t>Real-Time Transport Protocol (RTP) RFC 3550</t>
  </si>
  <si>
    <t>RTP</t>
  </si>
  <si>
    <t>12.0.0</t>
  </si>
  <si>
    <t>IoT Big Data Harmonised Data Model</t>
  </si>
  <si>
    <t>GSMA</t>
  </si>
  <si>
    <t>ISO/IEC 19757-3:2016 Information technology -- Document Schema Definition Languages (DSDL) -- Part 3: Rule-based validation -- Schematron</t>
  </si>
  <si>
    <t>DSDL</t>
  </si>
  <si>
    <t>Sender Policy Framework (SPF) for Authorizing Use of Domains in Email</t>
  </si>
  <si>
    <t>IANA Link Relations (RFC 8288, Web Linking)</t>
  </si>
  <si>
    <t>RFC 8288</t>
  </si>
  <si>
    <t>ESPD data model</t>
  </si>
  <si>
    <t>ESPD-EDM</t>
  </si>
  <si>
    <t>EPCIS 2.0 Standard</t>
  </si>
  <si>
    <t>EPCIS</t>
  </si>
  <si>
    <t>GS1</t>
  </si>
  <si>
    <t>IDS Clearing House (IDS-CH)</t>
  </si>
  <si>
    <t>IDS-CH</t>
  </si>
  <si>
    <t>Minimal interoperability mechanisms for smart and sustainable cities and communities</t>
  </si>
  <si>
    <t>ITU-T Y.4505</t>
  </si>
  <si>
    <t>Data Exchange Services</t>
  </si>
  <si>
    <t>Architectural Principles for a Quantum Internet</t>
  </si>
  <si>
    <t>RFC 9340</t>
  </si>
  <si>
    <t>AJAX</t>
  </si>
  <si>
    <t>jQuery Foundation</t>
  </si>
  <si>
    <t>1.5.0</t>
  </si>
  <si>
    <t>JSON Abstract Data Notation</t>
  </si>
  <si>
    <t>JADN</t>
  </si>
  <si>
    <t>OAIS v3.0.0</t>
  </si>
  <si>
    <t>Web Real-Time Communication (WebRTC)</t>
  </si>
  <si>
    <t>WebRTC</t>
  </si>
  <si>
    <t>HAProxy</t>
  </si>
  <si>
    <t>haproxy.org</t>
  </si>
  <si>
    <t>2.9.0</t>
  </si>
  <si>
    <t>Commission Decision of 11 December 2006 establishing a list of standards and/or specifications for electronic communications networks, services and associated facilities and services and replacing all previous versions (notified under document number C(2006) 6364)</t>
  </si>
  <si>
    <t>Secure File Transfer Protocol (SFTP)</t>
  </si>
  <si>
    <t>SFTP</t>
  </si>
  <si>
    <t>Sep 1984</t>
  </si>
  <si>
    <t>Structured Threat Information Expression</t>
  </si>
  <si>
    <t>STIX</t>
  </si>
  <si>
    <t>REGULATION (EU) 2021/1153 OF THE EUROPEAN PARLIAMENT AND OF THE COUNCIL of 7 July 2021 establishing the Connecting Europe Facility and repealing Regulations (EU) No 1316/2013 and (EU) No 283/2014</t>
  </si>
  <si>
    <t>L 249/38</t>
  </si>
  <si>
    <t>API Blueprint</t>
  </si>
  <si>
    <t>Domain Name System (DNS)</t>
  </si>
  <si>
    <t>DNS</t>
  </si>
  <si>
    <t>JSON-RPC</t>
  </si>
  <si>
    <t>Dynamic Adaptive Streaming over HTTP (DASH)</t>
  </si>
  <si>
    <t>DASH</t>
  </si>
  <si>
    <t>Privacy Management Reference Model and Methodology (PMRM)</t>
  </si>
  <si>
    <t>PMRM</t>
  </si>
  <si>
    <t>Context Information Management (CIM); NGSI-LD Information Model (ETSI GS CIM 006)</t>
  </si>
  <si>
    <t>ETSI GS CIM 006</t>
  </si>
  <si>
    <t>ISO/IEC/IEEE 12207:2017 Systems and software engineering — Software life cycle processes</t>
  </si>
  <si>
    <t>ISO/IEC/IEEE 12207:2017</t>
  </si>
  <si>
    <t>SoftEther</t>
  </si>
  <si>
    <t>5.1.0</t>
  </si>
  <si>
    <t>GITB Test Description Language (TDL)</t>
  </si>
  <si>
    <t>GITB TDL</t>
  </si>
  <si>
    <t>ISO/IEC 20802-2:2016 Information technology — Open data protocol (OData) v4.0 Part 2: OData JSON Format</t>
  </si>
  <si>
    <t>ISO/IEC 20802-2:2016</t>
  </si>
  <si>
    <t>Policy Requirements for Time-Stamping Authorities (TSAs) (RFC 3628)</t>
  </si>
  <si>
    <t>RFC 3628</t>
  </si>
  <si>
    <t>CLOUD; Test Descriptions for Cloud Interoperability (ETSI TS 103 142)</t>
  </si>
  <si>
    <t>ETSI TS 103 142</t>
  </si>
  <si>
    <t>MyData Authorisation Specification</t>
  </si>
  <si>
    <t>Human Resources (HR) Open Standards</t>
  </si>
  <si>
    <t>HR Open Standards</t>
  </si>
  <si>
    <t>4.2.0</t>
  </si>
  <si>
    <t>Experience Application Programming Interface (xAPI)</t>
  </si>
  <si>
    <t>xAPI</t>
  </si>
  <si>
    <t>ADL</t>
  </si>
  <si>
    <t>X.1363 : Technical framework of personally identifiable information handling system in Internet of things environment</t>
  </si>
  <si>
    <t>ITU-T X.1363</t>
  </si>
  <si>
    <t>PEPPOL AS2 Profile</t>
  </si>
  <si>
    <t>UBL 2.3 JSON Alternative Representation</t>
  </si>
  <si>
    <t>Point-to-Point Tunneling Protocol (PPTP)</t>
  </si>
  <si>
    <t>PPTP</t>
  </si>
  <si>
    <t>ETSI TS 119 511 Electronic Signatures and Infrastructures (ESI); Policy and security requirements for trust service providers providing long-term preservation of digital signatures or general data using digital signature techniques</t>
  </si>
  <si>
    <t>ETSI TS 119 511</t>
  </si>
  <si>
    <t>Geo-DCAT-AP</t>
  </si>
  <si>
    <t>ISO/IEC 30141:2018 Internet of Things (IoT) — Reference Architecture</t>
  </si>
  <si>
    <t>ISO/IEC 30141:2018</t>
  </si>
  <si>
    <t>Scalable Vector Graphics (SVG) v1.1 (Second Edition)</t>
  </si>
  <si>
    <t>SVG</t>
  </si>
  <si>
    <t>The Remote Framebuffer Protocol (RFB)</t>
  </si>
  <si>
    <t>RFB</t>
  </si>
  <si>
    <t>Online Access Act (OZG)</t>
  </si>
  <si>
    <t>OZG</t>
  </si>
  <si>
    <t>Government of Germany</t>
  </si>
  <si>
    <t>X.1171 : Threats and requirements for protection of personally identifiable information in applications using tag-based identification</t>
  </si>
  <si>
    <t>ITU-T X.1171</t>
  </si>
  <si>
    <t>Trusted Automated Exchange of Intelligence Information</t>
  </si>
  <si>
    <t>TAXII</t>
  </si>
  <si>
    <t>NIEM High-Level Version Architecture (HLVA)</t>
  </si>
  <si>
    <t>HLVA</t>
  </si>
  <si>
    <t>NTAC</t>
  </si>
  <si>
    <t>Hydra Core Vocabulary</t>
  </si>
  <si>
    <t>Extended Knowledge Organization System (XKOS)</t>
  </si>
  <si>
    <t>XKOS</t>
  </si>
  <si>
    <t>DDI Alliance</t>
  </si>
  <si>
    <t>L2TP over IPSec using ESP transport mode (L2TP/IPSec)</t>
  </si>
  <si>
    <t>L2TP/IPSec</t>
  </si>
  <si>
    <t>HTML+RDFa</t>
  </si>
  <si>
    <t>X.1250 : Baseline capabilities for enhanced global identity management and interoperability</t>
  </si>
  <si>
    <t>ITU-T X.1250</t>
  </si>
  <si>
    <t>Decentralized Identifiers (DIDs) v1.0</t>
  </si>
  <si>
    <t>DIDs</t>
  </si>
  <si>
    <t>Socrata Open Data Server (SODA)</t>
  </si>
  <si>
    <t>SODA</t>
  </si>
  <si>
    <t>Socrata</t>
  </si>
  <si>
    <t>E-ARK Submission Information Package (SIP)</t>
  </si>
  <si>
    <t>E-ARK SIP</t>
  </si>
  <si>
    <t>Cloud API Service Consistency (CASC) score</t>
  </si>
  <si>
    <t>CASC</t>
  </si>
  <si>
    <t>APImetrics</t>
  </si>
  <si>
    <t>Requirements and reference architecture of a Security Gateway for the exchange of industry data and services (DIN SPEC 27070:2020-03)</t>
  </si>
  <si>
    <t>DIN SPEC 27070:2020-03</t>
  </si>
  <si>
    <t>GXFSv2 ICAM</t>
  </si>
  <si>
    <t>24.7.0</t>
  </si>
  <si>
    <t>Federated Catalogue</t>
  </si>
  <si>
    <t>22.10.0</t>
  </si>
  <si>
    <t>Reactive WebSocket</t>
  </si>
  <si>
    <t>Spring</t>
  </si>
  <si>
    <t>Yet Another Markup Language (YAML)</t>
  </si>
  <si>
    <t>YAML</t>
  </si>
  <si>
    <t>yaml.org</t>
  </si>
  <si>
    <t>1.2.2</t>
  </si>
  <si>
    <t>Architectures and protocols for remote signature applications</t>
  </si>
  <si>
    <t>CSC</t>
  </si>
  <si>
    <t>Data Use Ontology (DUO)</t>
  </si>
  <si>
    <t>DUO</t>
  </si>
  <si>
    <t>Constrained Application Protocol (CoAP)</t>
  </si>
  <si>
    <t>CoAP</t>
  </si>
  <si>
    <t>Jun 14</t>
  </si>
  <si>
    <t>System for Cross-domain Identity Management: Definitions, Overview, Concepts, and Requirements RFC 7642</t>
  </si>
  <si>
    <t>RFC 7642</t>
  </si>
  <si>
    <t>IT4IT</t>
  </si>
  <si>
    <t>2011/833/EU: Commission Decision of 12 December 2011 on the reuse of Commission documents</t>
  </si>
  <si>
    <t>Decision 2011/833/EU</t>
  </si>
  <si>
    <t>L 330/39</t>
  </si>
  <si>
    <t>SPARQL 1.1 Graph Store HTTP Protocol</t>
  </si>
  <si>
    <t>ETSI TS 103 744 CYBER; Quantum-safe Hybrid Key Exchanges</t>
  </si>
  <si>
    <t>ETSI TS 103 744</t>
  </si>
  <si>
    <t>Core Assessment Vocabulary (CAV)</t>
  </si>
  <si>
    <t>CAV</t>
  </si>
  <si>
    <t>UN/EDIFACT Syntax 3</t>
  </si>
  <si>
    <t>UNECE</t>
  </si>
  <si>
    <t>PSC Charter</t>
  </si>
  <si>
    <t>EUDI Wallet Architecture &amp; Reference Framework (EUDI RAF)</t>
  </si>
  <si>
    <t>EUDI RAF</t>
  </si>
  <si>
    <t>ISO/IEC 9797-1:2011 Information technology - Security techniques - Message Authentication Codes (MACs) - Part 1: Mechanisms using a block cipher</t>
  </si>
  <si>
    <t>MACs</t>
  </si>
  <si>
    <t>ISO/IEC 9797-1:2011</t>
  </si>
  <si>
    <t>Cipher-based Message Authentication Code (CMAC)</t>
  </si>
  <si>
    <t>CMAC</t>
  </si>
  <si>
    <t>HMAC: Keyed-Hashing for Message Authentication</t>
  </si>
  <si>
    <t>Council Directive 2006/112/EC of 28 November 2006 on the common system of value added tax</t>
  </si>
  <si>
    <t>Directive 2006/112/EC</t>
  </si>
  <si>
    <t>L 347/1</t>
  </si>
  <si>
    <t>Ontology-Based Model of E-Governance</t>
  </si>
  <si>
    <t>CEN Workshop Agreement (CWA)</t>
  </si>
  <si>
    <t>CWA</t>
  </si>
  <si>
    <t>DIRECTIVE (EU) 2019/770 OF THE EUROPEAN PARLIAMENT AND OF THE COUNCIL of 20 May 2019 on certain aspects concerning contracts for the supply of digital content and digital services</t>
  </si>
  <si>
    <t>Directive 2019/770/EU</t>
  </si>
  <si>
    <t>L 136/1</t>
  </si>
  <si>
    <t>SmartM2M; Requirements and Guidelines for cross-domain data usability of IoT devices (ETSI TS 103 779)</t>
  </si>
  <si>
    <t>ETSI TS 103 779</t>
  </si>
  <si>
    <t>The OpenContainers Runtime Spec</t>
  </si>
  <si>
    <t>OCI</t>
  </si>
  <si>
    <t>ISO/IEC 23736-4:2020 Information technology — Digital publishing — EPUB 3.0.1 — Part 4: Open container format</t>
  </si>
  <si>
    <t>EPUB OCF</t>
  </si>
  <si>
    <t>ISO/IEC 23736-4:2020</t>
  </si>
  <si>
    <t>ECMAScript language specification</t>
  </si>
  <si>
    <t>ISO/IEC 30115:2018 Information technology — Redfish scalable platforms management API specification</t>
  </si>
  <si>
    <t>ISO/IEC 30115:2018</t>
  </si>
  <si>
    <t>CloudEvents v1.0.2</t>
  </si>
  <si>
    <t>Requirements and recommendations regarding the Digital Certificates used in eDelivery</t>
  </si>
  <si>
    <t>CYBER; Identity Management and Discovery for IoT (ETSI TS 103 486)</t>
  </si>
  <si>
    <t>ETSI TS 103 486</t>
  </si>
  <si>
    <t>ITU-T Y.4464 Framework of blockchain of things as decentralized service platform</t>
  </si>
  <si>
    <t>ITU-T Y.4464</t>
  </si>
  <si>
    <t>EBSI - Verifiable Credentials (EBSI-VC)</t>
  </si>
  <si>
    <t>EBSI-VC</t>
  </si>
  <si>
    <t>Universal 2nd Factor (U2F)</t>
  </si>
  <si>
    <t>U2F</t>
  </si>
  <si>
    <t>Electronic Signatures and Infrastructures (ESI); PAdES digital signatures; Part 1: Building blocks and PAdES baseline signatures (ETSI EN 319 142-1)</t>
  </si>
  <si>
    <t>ITU-T Y.3653 Functional architecture of big data-driven networking</t>
  </si>
  <si>
    <t>ITU-T Y.3653</t>
  </si>
  <si>
    <t>European Interoperability Reference Architecture (EIRA) v6.1.0</t>
  </si>
  <si>
    <t>6.1.0</t>
  </si>
  <si>
    <t>DID resolution</t>
  </si>
  <si>
    <t>ISO/IEC/IEEE 24774:2021 Systems and software engineering — Life cycle management — Specification for process description</t>
  </si>
  <si>
    <t>ISO/IEC/IEEE 24774:2021</t>
  </si>
  <si>
    <t>Electronic Signatures and Infrastructures (ESI); XAdES digital signatures; Part 2: Extended XAdES signatures (ETSI EN 319 132-2)</t>
  </si>
  <si>
    <t>XAdES</t>
  </si>
  <si>
    <t>Circular public procurement of information and communication technologies</t>
  </si>
  <si>
    <t>ITU-T L.1061</t>
  </si>
  <si>
    <t>Open Archives Initiative Protocol for Metadata Harvesting OAI-PMH</t>
  </si>
  <si>
    <t>OAI</t>
  </si>
  <si>
    <t>GITB Messaging Service API</t>
  </si>
  <si>
    <t>Open Cloud Computing Interface (OCCI)</t>
  </si>
  <si>
    <t>OCCI</t>
  </si>
  <si>
    <t>OGF</t>
  </si>
  <si>
    <t>RESTful API Modeling Language (RAML)</t>
  </si>
  <si>
    <t>RAML</t>
  </si>
  <si>
    <t>ODRL Information Model 2.2</t>
  </si>
  <si>
    <t>ISO/IEC 23271:2012 Information technology — Common Language Infrastructure (CLI)</t>
  </si>
  <si>
    <t>CLI</t>
  </si>
  <si>
    <t>RapidAPI</t>
  </si>
  <si>
    <t>ETSI TS 119 512 Electronic Signatures and Infrastructures (ESI); Protocols for trust service providers providing long-term data preservation services.</t>
  </si>
  <si>
    <t>ETSI TS 119 512</t>
  </si>
  <si>
    <t>Peppol Business Message Envelope (SBDH)</t>
  </si>
  <si>
    <t>SBDH</t>
  </si>
  <si>
    <t>ETSI ES 203 199 Environmental Engineering (EE); Methodology for environmental Life Cycle Assessment (LCA) of Information and Communication Technology (ICT) goods, networks and services</t>
  </si>
  <si>
    <t>ETSI ES 203 199</t>
  </si>
  <si>
    <t>COMMISSION DECISION (EU, Euratom) 2017/46 of 10 January 2017 on the security of communication and information systems in the European Commission</t>
  </si>
  <si>
    <t>European Security Certification Framework (EU-SEC)</t>
  </si>
  <si>
    <t>EU-SEC</t>
  </si>
  <si>
    <t>ECCC</t>
  </si>
  <si>
    <t>Cyber Security for Consumer Internet of Things Baseline Requirements (EN 303 645)</t>
  </si>
  <si>
    <t>ETSI EN 303 645</t>
  </si>
  <si>
    <t>Verifiable Credentials</t>
  </si>
  <si>
    <t>VC</t>
  </si>
  <si>
    <t>Details of the AAS Part 1 - Metamodel and Package File formats (AAS Metamodel)</t>
  </si>
  <si>
    <t>Metadata Registries Interoperability and Bindings (MDR-IB) (ISO/IEC 20944-1:2013)</t>
  </si>
  <si>
    <t>MDR-IB</t>
  </si>
  <si>
    <t>ISO/IEC 20944-1:2013</t>
  </si>
  <si>
    <t>Account Management API REST Specification (Account API)</t>
  </si>
  <si>
    <t>TM Forum</t>
  </si>
  <si>
    <t>GXFS Authentication/Authorization</t>
  </si>
  <si>
    <t>ISO/IEC 29500-2:2021 Document description and processing languages — Office Open XML file formats — Part 2: Open packaging conventions</t>
  </si>
  <si>
    <t>Additional HTTP Status Codes (RFC 6585)</t>
  </si>
  <si>
    <t>eDelivery SMP 1.10</t>
  </si>
  <si>
    <t>1.10.0</t>
  </si>
  <si>
    <t>X.1275 : Guidelines on protection of personally identifiable information in the application of RFID technology</t>
  </si>
  <si>
    <t>ITU-T X.1275</t>
  </si>
  <si>
    <t>Requirements and capability framework for IoT-based automotive emergency response system</t>
  </si>
  <si>
    <t>ITU-T Y.4119</t>
  </si>
  <si>
    <t>ETSI TS 119 612 - Electronic Signatures and Infrastructures (ESI); Trusted Lists</t>
  </si>
  <si>
    <t>ETSI TS 119 612</t>
  </si>
  <si>
    <t>Concise Data Definition Language (CDDL): A Notational Convention to Express Concise Binary Object Representation (CBOR) and JSON Data Structures (RFC 8610)</t>
  </si>
  <si>
    <t>CDDL</t>
  </si>
  <si>
    <t>Coordinated Metadata Catalogue Model (CMD)</t>
  </si>
  <si>
    <t>CMD</t>
  </si>
  <si>
    <t>Common Data Model</t>
  </si>
  <si>
    <t>CDM</t>
  </si>
  <si>
    <t>4.7.7</t>
  </si>
  <si>
    <t>XML Advanced Electronic Signatures (XAdES) - ISO 14533-2:2012</t>
  </si>
  <si>
    <t>ISO 14533-2:2012</t>
  </si>
  <si>
    <t>X.1770 : Technical guidelines for secure multi-party computation</t>
  </si>
  <si>
    <t>ITU-T X.1770</t>
  </si>
  <si>
    <t>Q.3914 : Set of parameters of cloud computing for monitoring</t>
  </si>
  <si>
    <t>ITU-T Q.3914</t>
  </si>
  <si>
    <t>ONB - 004 CX Registration API</t>
  </si>
  <si>
    <t>ONB-004</t>
  </si>
  <si>
    <t>IMMC Core Metadata</t>
  </si>
  <si>
    <t>Requirements and capability framework of digital twin for intelligent transport system</t>
  </si>
  <si>
    <t>ITU-T Y.4225</t>
  </si>
  <si>
    <t>Reference Model for an Open Archival Information System (OAIS)</t>
  </si>
  <si>
    <t>OAIS</t>
  </si>
  <si>
    <t>CCSDS</t>
  </si>
  <si>
    <t>REST API Standard (RAPIS)</t>
  </si>
  <si>
    <t>RAPIS</t>
  </si>
  <si>
    <t>RAPIS Working Group</t>
  </si>
  <si>
    <t>DCAT-AP v2.0.0</t>
  </si>
  <si>
    <t>DCAT-AP</t>
  </si>
  <si>
    <t>The Digital Europa Thesaurus (DET)</t>
  </si>
  <si>
    <t>DET</t>
  </si>
  <si>
    <t>IEEE 7001-2021 - IEEE Standard for Transparency of Autonomous Systems</t>
  </si>
  <si>
    <t>IEEE 7001-2021</t>
  </si>
  <si>
    <t>HTTP over SSL/TLS (HTTPS) (RFC 2818)</t>
  </si>
  <si>
    <t>HTTPS</t>
  </si>
  <si>
    <t>RFC 2818</t>
  </si>
  <si>
    <t>Electronic Signatures and Infrastructures (ESI); Time-stamping protocol and time-stamp token profiles</t>
  </si>
  <si>
    <t>ETSI EN 319 422</t>
  </si>
  <si>
    <t>Office Open XML File Formats Part 4: Transitional Migration Features</t>
  </si>
  <si>
    <t>ISO/IEC 29500-4:2016</t>
  </si>
  <si>
    <t>Y.4208 : Internet of things requirements for support of edge computing</t>
  </si>
  <si>
    <t>ITU-T Y.4208</t>
  </si>
  <si>
    <t>W3C PROV-N: The Provenance Notation</t>
  </si>
  <si>
    <t>PROV-N</t>
  </si>
  <si>
    <t>SmartM2M; Smart Applications;  Reference Ontology and oneM2M Mapping (ETSI TS 103 264)</t>
  </si>
  <si>
    <t>ETSI TS 103 264</t>
  </si>
  <si>
    <t>4.1.1</t>
  </si>
  <si>
    <t>Indian Urban Data Exchange (IUDX)</t>
  </si>
  <si>
    <t>IUDX</t>
  </si>
  <si>
    <t>Government of India</t>
  </si>
  <si>
    <t>WebFinger protocol</t>
  </si>
  <si>
    <t>CMS Advanced Electronic Signatures (CAdES) - ISO 14533-1:2014</t>
  </si>
  <si>
    <t>ISO 14533-1:2014</t>
  </si>
  <si>
    <t>JSON-stat Dataset Format</t>
  </si>
  <si>
    <t>JSON-stat</t>
  </si>
  <si>
    <t>json-stat</t>
  </si>
  <si>
    <t>Apache Avro</t>
  </si>
  <si>
    <t>1.12.0</t>
  </si>
  <si>
    <t>REGULATION (EU) 2019/1157 OF THE EUROPEAN PARLIAMENT AND OF THE COUNCIL of 20 June 2019 on strengthening the security of identity cards of Union citizens and of residence documents issued to Union citizens and their family members exercising their right of free movement</t>
  </si>
  <si>
    <t>Regulation 2019/1157/EU</t>
  </si>
  <si>
    <t>L 188/67</t>
  </si>
  <si>
    <t>BIS eDelivery guide for pre-award</t>
  </si>
  <si>
    <t>OpenStack</t>
  </si>
  <si>
    <t>25.0.0</t>
  </si>
  <si>
    <t>WDS Publishing Data Services</t>
  </si>
  <si>
    <t>European Interoperability Reference Architecture (EIRA) v5.0.0</t>
  </si>
  <si>
    <t>MIME</t>
  </si>
  <si>
    <t>GS1 EANCOM Syntax 4 standard</t>
  </si>
  <si>
    <t>Advanced Message Queuing Protocol (AMQP)</t>
  </si>
  <si>
    <t>AMQP</t>
  </si>
  <si>
    <t>RosettaNet Implementation Framework (RNIF)</t>
  </si>
  <si>
    <t>RNIF</t>
  </si>
  <si>
    <t>Linked Data Event Streams</t>
  </si>
  <si>
    <t>LDES</t>
  </si>
  <si>
    <t>Gaia-X Policy Rules and Labelling Document</t>
  </si>
  <si>
    <t>22.11.0</t>
  </si>
  <si>
    <t>Linked Data Event Streams (LDES)</t>
  </si>
  <si>
    <t>Data Collections API</t>
  </si>
  <si>
    <t>CEN/TC 428 - ICT Professionalism and Digital Competences - European Competency Framework (The European Union's European e-Competence Framework (e-CF)</t>
  </si>
  <si>
    <t>e-CF</t>
  </si>
  <si>
    <t>CEN/TC 428</t>
  </si>
  <si>
    <t>iShare Authorization Registry</t>
  </si>
  <si>
    <t>OpenTelemetry (OTel)</t>
  </si>
  <si>
    <t>OTel</t>
  </si>
  <si>
    <t>Functional architecture of network-based driving assistance for autonomous vehicles</t>
  </si>
  <si>
    <t>ITU-T Y.4471</t>
  </si>
  <si>
    <t>GAIA-X Federated Services Data Exchange Logging Service (GXFS DELS) working draft</t>
  </si>
  <si>
    <t>GXFS DELS</t>
  </si>
  <si>
    <t>Working draft</t>
  </si>
  <si>
    <t>E-ARK Common Specification for Information Packages (CSIP)</t>
  </si>
  <si>
    <t>E-ARK CSIP</t>
  </si>
  <si>
    <t>Electronic Signatures and Infrastructures (ESI); Protocols for remote digital signature creation (ETSI TS 119 432)</t>
  </si>
  <si>
    <t>ETSI TS 119 432</t>
  </si>
  <si>
    <t>RTP Profile for Audio and Video Conferences with Minimal Control</t>
  </si>
  <si>
    <t>RFC 3551</t>
  </si>
  <si>
    <t>OpenID for Verifiable Credential Issuance (OID4VCI)</t>
  </si>
  <si>
    <t>OID4VCI</t>
  </si>
  <si>
    <t>Electronic Signatures and Infrastructures (ESI); XAdES digital signatures; Part 1: Building blocks and XAdES baseline signatures (ETSI EN 319 132-1)</t>
  </si>
  <si>
    <t>ETSI EN 319 132-1</t>
  </si>
  <si>
    <t>CEF eDelivery PKI Service</t>
  </si>
  <si>
    <t>2.3.0</t>
  </si>
  <si>
    <t>Proposal for regulation on establishing a Single Digital GateWay Proposal for a REGULATION OF THE EUROPEAN PARLIAMENT AND OF THE COUNCIL on establishing a single digital gateway to provide information, procedures, assistance and problem solving services and amending Regulation (EU) No 1024/2012 COM/2017/0256 final - 2017/086 (COD)</t>
  </si>
  <si>
    <t>Regulation 2017/0086/COD</t>
  </si>
  <si>
    <t>COM(2017) 256</t>
  </si>
  <si>
    <t>XBRL-GL</t>
  </si>
  <si>
    <t>XBRL International</t>
  </si>
  <si>
    <t>2017</t>
  </si>
  <si>
    <t>Cyber Security (CYBER); Cyber Security for Consumer Internet of Things: Conformance Assessment of Baseline Requirements (ETSI TS 103 701)</t>
  </si>
  <si>
    <t>ETSI TS 103 701</t>
  </si>
  <si>
    <t>DomainKeys Identified Mail (DKIM)</t>
  </si>
  <si>
    <t>DKIM</t>
  </si>
  <si>
    <t>Collection+JSON</t>
  </si>
  <si>
    <t>amundsen.com</t>
  </si>
  <si>
    <t>Information Technology Cloud computing Service level agreement (SLA) framework (ISO/IEC 19086-1:2016)</t>
  </si>
  <si>
    <t>ISO/IEC 19086-1:2016</t>
  </si>
  <si>
    <t>SHA-3</t>
  </si>
  <si>
    <t>TR.NCDP - Session-layer network coding protocol for multicast data transmission</t>
  </si>
  <si>
    <t>nan</t>
  </si>
  <si>
    <t>Data Catalog Vocabulary (DCAT) - Version 2</t>
  </si>
  <si>
    <t>Microcks</t>
  </si>
  <si>
    <t>Universally Unique Identifiers RFC 9562</t>
  </si>
  <si>
    <t>UUIDs</t>
  </si>
  <si>
    <t>RFC 9562</t>
  </si>
  <si>
    <t>Date and Time on the Internet: Timestamps (RFC 3339)</t>
  </si>
  <si>
    <t>RFC 3339</t>
  </si>
  <si>
    <t>ITU-T X.1751: Security guidelines on big data lifecycle management for telecom operators</t>
  </si>
  <si>
    <t>ITU-T X.1751</t>
  </si>
  <si>
    <t>IETF Time Stamp Protocol RFC 3161</t>
  </si>
  <si>
    <t>TSP</t>
  </si>
  <si>
    <t>RFC 3161</t>
  </si>
  <si>
    <t>15.0.0</t>
  </si>
  <si>
    <t>OpenPM2</t>
  </si>
  <si>
    <t>PROV Ontology</t>
  </si>
  <si>
    <t>PROV-O</t>
  </si>
  <si>
    <t>AsyncAPI</t>
  </si>
  <si>
    <t>Transport Layer Security (TLS)</t>
  </si>
  <si>
    <t>publiccode.yml</t>
  </si>
  <si>
    <t>Developers Italia</t>
  </si>
  <si>
    <t>0.4.0</t>
  </si>
  <si>
    <t>Peppol Transport Infrastructure Service Metadata Locator (Peppol SML)</t>
  </si>
  <si>
    <t>SML</t>
  </si>
  <si>
    <t>Virtual I/O Device (VIRTIO) Version 1.1</t>
  </si>
  <si>
    <t>VIRTIO</t>
  </si>
  <si>
    <t>BregDCAT-AP</t>
  </si>
  <si>
    <t>Y3600 Big data - Cloud computing based requirements and capabilities</t>
  </si>
  <si>
    <t>ITU-T Y.3600</t>
  </si>
  <si>
    <t>Swedish API License</t>
  </si>
  <si>
    <t>API UX</t>
  </si>
  <si>
    <t>OpenSearch</t>
  </si>
  <si>
    <t>Amazon</t>
  </si>
  <si>
    <t>2.15.0</t>
  </si>
  <si>
    <t>Cross Industry Invoice (CII)</t>
  </si>
  <si>
    <t>CII</t>
  </si>
  <si>
    <t>eIDAS Cryptographic Requirements for the Interoperability Framework</t>
  </si>
  <si>
    <t>Electronic Signatures and Infrastructures (ESI);Testing Conformance and Interoperability of Trusted Lists; Part 1: Specifications for testing conformance of XML representation of Trusted Lists</t>
  </si>
  <si>
    <t>UN/CEFACT CCTS v3.0.0</t>
  </si>
  <si>
    <t>CCTS</t>
  </si>
  <si>
    <t>EU Vocabularies</t>
  </si>
  <si>
    <t>ISO/IEC 21838-2:2021 Information technology — Top-level ontologies (TLO) — Part 2: Basic Formal Ontology (BFO)</t>
  </si>
  <si>
    <t>BFO</t>
  </si>
  <si>
    <t>ISO/IEC 21838-2:2021</t>
  </si>
  <si>
    <t>CSAF Common Vulnerability Reporting Framework (CVRF) Version 1.2</t>
  </si>
  <si>
    <t>CVRF</t>
  </si>
  <si>
    <t>Tag image file format for image technology (TIFF/IT)</t>
  </si>
  <si>
    <t>TIFF/IT</t>
  </si>
  <si>
    <t>ISO 12639:2004</t>
  </si>
  <si>
    <t>Internet Protocol version 6 (IPv6) (RFC 2460)</t>
  </si>
  <si>
    <t>IPv6</t>
  </si>
  <si>
    <t>RFC 2460</t>
  </si>
  <si>
    <t>Peppol eDelivery Network Specifications</t>
  </si>
  <si>
    <t>ETSI TS 103 532 CYBER; Attribute Based Encryption for Attribute Based Access Control</t>
  </si>
  <si>
    <t>ETSI TS 103 532</t>
  </si>
  <si>
    <t>Standard Business Document Header (SBDH)</t>
  </si>
  <si>
    <t>X.1212 : Design considerations for improved end-user perception of trustworthiness indicators</t>
  </si>
  <si>
    <t>ITU-T X.1212</t>
  </si>
  <si>
    <t>ETSI TR 103 619 CYBER; Migration strategies and recommendations to Quantum Safe schemes</t>
  </si>
  <si>
    <t>FQSCS</t>
  </si>
  <si>
    <t>ETSI TR 103 619</t>
  </si>
  <si>
    <t>YANG Data Model for L3VPN Service Delivery RFC 8299</t>
  </si>
  <si>
    <t>RFC 8299</t>
  </si>
  <si>
    <t>Data Format Description Language (DFDL)</t>
  </si>
  <si>
    <t>DFDL</t>
  </si>
  <si>
    <t>MyData Account Specification</t>
  </si>
  <si>
    <t>Keyhole Markup Language (KML)</t>
  </si>
  <si>
    <t>KML</t>
  </si>
  <si>
    <t>XML Query Language (XQuery)</t>
  </si>
  <si>
    <t>Payment Card Industry Data Security Standard</t>
  </si>
  <si>
    <t>PCI DSS</t>
  </si>
  <si>
    <t>HAL-FORMS</t>
  </si>
  <si>
    <t>Dwolla</t>
  </si>
  <si>
    <t>0.0.2</t>
  </si>
  <si>
    <t>Data Space Support Centre Blueprint (DSSC Blueprint)</t>
  </si>
  <si>
    <t>DSSC Blueprint</t>
  </si>
  <si>
    <t>DSSC</t>
  </si>
  <si>
    <t>COBIT</t>
  </si>
  <si>
    <t>Directive 2000/31/EC of the European Parliament and of the Council of 8 June 2000 on certain legal aspects of information society services, in particular electronic commerce, in the Internal Market ('Directive on electronic commerce')</t>
  </si>
  <si>
    <t>Directive 2000/31/EC</t>
  </si>
  <si>
    <t>L 178</t>
  </si>
  <si>
    <t>COMMUNICATION FROM THE COMMISSION TO THE EUROPEAN PARLIAMENT, THE COUNCIL, THE EUROPEAN ECONOMIC AND SOCIAL COMMITTEE AND THE COMMITTEE OF THE REGIONS - Shaping Europe's digital future</t>
  </si>
  <si>
    <t>COM(2020) 67 final</t>
  </si>
  <si>
    <t>Problem Details for HTTP APIs (RFC 7807)</t>
  </si>
  <si>
    <t>RFC 7807</t>
  </si>
  <si>
    <t>Electronic Signatures and Infrastructures (ESI); Policy and security requirements for trust service components providing identity proofing of trust service subjects</t>
  </si>
  <si>
    <t>ETSI TS 119 461</t>
  </si>
  <si>
    <t>Core Network and Interoperability Testing (INT); Methodologies for Testing &amp; Validation of  Network Application based services over 5G networks (ETSI TR 104 074)</t>
  </si>
  <si>
    <t>ETSI TR 104 074</t>
  </si>
  <si>
    <t>Electronic Signature Formats for long term electronic signatures (RFC 3126)</t>
  </si>
  <si>
    <t>RFC 3126</t>
  </si>
  <si>
    <t>JSON Web Token (JWT)</t>
  </si>
  <si>
    <t>JWT</t>
  </si>
  <si>
    <t>32.0.0</t>
  </si>
  <si>
    <t>Indexed Database API (IndexedDB)</t>
  </si>
  <si>
    <t>IndexedDB</t>
  </si>
  <si>
    <t>Resource Description Framework (RDF)</t>
  </si>
  <si>
    <t>RDF</t>
  </si>
  <si>
    <t>The OpenContainers Distribution Spec</t>
  </si>
  <si>
    <t>COMMUNICATION FROM THE COMMISSION TO THE EUROPEAN PARLIAMENT, THE COUNCIL, THE EUROPEAN ECONOMIC AND SOCIAL COMMITTEE AND THE COMMITTEE OF THE REGIONS Towards interoperability for European public services</t>
  </si>
  <si>
    <t>Core Location Vocabulary</t>
  </si>
  <si>
    <t>5G; Security architecture and procedures for 5G System (3GPP TS 33.501 version 18.9.0 Release 18) (ETSI TS 133 501)</t>
  </si>
  <si>
    <t>ETSI TS 133 501</t>
  </si>
  <si>
    <t>18.9.0</t>
  </si>
  <si>
    <t>Core Criterion and Core Evidence Vocabulary v1.0.0</t>
  </si>
  <si>
    <t>CCCEV</t>
  </si>
  <si>
    <t>Multi-access Edge Computing (MEC)</t>
  </si>
  <si>
    <t>MEC</t>
  </si>
  <si>
    <t>Common Object Request Broker Architecture (CORBA)</t>
  </si>
  <si>
    <t>CORBA</t>
  </si>
  <si>
    <t>3.4.0</t>
  </si>
  <si>
    <t>Standardized Usage Statistics Harvesting Initiative (SUSHI) Protocol</t>
  </si>
  <si>
    <t>SUSHI</t>
  </si>
  <si>
    <t>NISO</t>
  </si>
  <si>
    <t>X.1451 : Risk identification to optimize authentication</t>
  </si>
  <si>
    <t>ITU-T X.1451</t>
  </si>
  <si>
    <t>oneM2M Base Ontology</t>
  </si>
  <si>
    <t>3.7.3</t>
  </si>
  <si>
    <t>European Union Public License (EUPL)</t>
  </si>
  <si>
    <t>EUPL</t>
  </si>
  <si>
    <t>Building Blocks for HTTP APIs (httpapi)</t>
  </si>
  <si>
    <t>httpapi</t>
  </si>
  <si>
    <t>COMMISSION DELEGATED REGULATION (EU) 2018/389 of 27 November 2017 supplementing Directive (EU) 2015/2366 of the European Parliament and of the Council with regard to regulatory technical standards for strong customer authentication and common and secure open standards of communication</t>
  </si>
  <si>
    <t>Regulation 2018/389/EU</t>
  </si>
  <si>
    <t>L 69/23</t>
  </si>
  <si>
    <t>Vocabulary of Interlinked Datasets (VoID)</t>
  </si>
  <si>
    <t>VoID</t>
  </si>
  <si>
    <t>The Ogg Encapsulation Format</t>
  </si>
  <si>
    <t>Ogg</t>
  </si>
  <si>
    <t>Internet X.509 Public Key Infrastructure Certificate Management Protocol (CMP)</t>
  </si>
  <si>
    <t>CMP</t>
  </si>
  <si>
    <t>9.0.0</t>
  </si>
  <si>
    <t>Q.4040 : The framework and overview of cloud computing interoperability testing</t>
  </si>
  <si>
    <t>ITU-T Q.4040</t>
  </si>
  <si>
    <t>R2RML (RDB to RDF Mapping Language)</t>
  </si>
  <si>
    <t>R2RML</t>
  </si>
  <si>
    <t>ISO/IEC 17789:2014 Information technology — Cloud computing — Reference architecture</t>
  </si>
  <si>
    <t>CCRA</t>
  </si>
  <si>
    <t>ISO/IEC 17789:2014</t>
  </si>
  <si>
    <t>Context Information Management (CIM); NGSI-LD Information Model (ETSI GS CIM 018)</t>
  </si>
  <si>
    <t>ETSI GS CIM 018</t>
  </si>
  <si>
    <t>1.7.1</t>
  </si>
  <si>
    <t>RDFa Core</t>
  </si>
  <si>
    <t>Data Privacy Vocabulary (DPV) 2.1.0</t>
  </si>
  <si>
    <t>DPV</t>
  </si>
  <si>
    <t>Sustainable Development Goals (SDG)</t>
  </si>
  <si>
    <t>Framework of smart greenhouse service</t>
  </si>
  <si>
    <t>Y.4466</t>
  </si>
  <si>
    <t>e-SENS REM profile</t>
  </si>
  <si>
    <t>EuroSciVoc</t>
  </si>
  <si>
    <t>Identity Credential and Access Management (ICAM)</t>
  </si>
  <si>
    <t>ICAM</t>
  </si>
  <si>
    <t>ITU-T Y.4473 SensorThings API – Sensing</t>
  </si>
  <si>
    <t>ITU-T Y.4473</t>
  </si>
  <si>
    <t>Core Standards and Specifications Vocabulary (CSSV)</t>
  </si>
  <si>
    <t>CSSV</t>
  </si>
  <si>
    <t>DNS-based Authentication of Named Entities (DANE)</t>
  </si>
  <si>
    <t>DANE</t>
  </si>
  <si>
    <t>Collaboration Protocol Profile and Agreement (CPPA)</t>
  </si>
  <si>
    <t>CPPA</t>
  </si>
  <si>
    <t>WebSocket Protocol</t>
  </si>
  <si>
    <t>OAuth 2.0</t>
  </si>
  <si>
    <t>COM 2005 596 Framework strategy for multilingualism</t>
  </si>
  <si>
    <t>52005DC0596</t>
  </si>
  <si>
    <t>COM(2005) 596 final</t>
  </si>
  <si>
    <t>Generic Federated OOP Architecture</t>
  </si>
  <si>
    <t>GAIA-X Compliance</t>
  </si>
  <si>
    <t>25.3.0</t>
  </si>
  <si>
    <t>Universal Business Language</t>
  </si>
  <si>
    <t>UBL</t>
  </si>
  <si>
    <t>Universal Business Language (UBL)</t>
  </si>
  <si>
    <t>2.4.0</t>
  </si>
  <si>
    <t>Open Standards for Linked Organisations (OSLO)</t>
  </si>
  <si>
    <t>OSLO</t>
  </si>
  <si>
    <t>vlaanderen.be</t>
  </si>
  <si>
    <t>The Friend Of A Friend (FOAF) ontology</t>
  </si>
  <si>
    <t>FOAF</t>
  </si>
  <si>
    <t>FOAF project</t>
  </si>
  <si>
    <t>CEF Building Blocks</t>
  </si>
  <si>
    <t>LegalRuleML</t>
  </si>
  <si>
    <t>Semantic Definition Format (SDF) for Data and Interactions of Things</t>
  </si>
  <si>
    <t>SDF</t>
  </si>
  <si>
    <t>Profiles Vocabulary (PROF)</t>
  </si>
  <si>
    <t>PROF</t>
  </si>
  <si>
    <t>Lightweight Directory Access Protocol (LDAP) (RFC 4511)</t>
  </si>
  <si>
    <t>LDAP</t>
  </si>
  <si>
    <t>ITIL v3</t>
  </si>
  <si>
    <t>ITIL</t>
  </si>
  <si>
    <t>Axelos</t>
  </si>
  <si>
    <t>ISO/IEC 20933:2019 Information technology — Distributed application platforms and services (DAPS) — Framework for distributed real-time access systems</t>
  </si>
  <si>
    <t>DAPS</t>
  </si>
  <si>
    <t>ISO/IEC 20933</t>
  </si>
  <si>
    <t>IEEE P2145, Standard for Framework and Definitions for Blockchain Governance</t>
  </si>
  <si>
    <t>IEEE P2145</t>
  </si>
  <si>
    <t>GITB Processing Service API</t>
  </si>
  <si>
    <t>IDS Global Dynamic Attribute Provisioning Service (IDS-G DAPS)</t>
  </si>
  <si>
    <t>IDS-G DAPS</t>
  </si>
  <si>
    <t>HTTP Cookies</t>
  </si>
  <si>
    <t>Internet X.509 Public Key Infrastructure Data Validation and Certification Server Protocols (DVCS)</t>
  </si>
  <si>
    <t>DVCS</t>
  </si>
  <si>
    <t>Web Annotation Data Model</t>
  </si>
  <si>
    <t>Gaia-X Trust Framework</t>
  </si>
  <si>
    <t>Open Policy Agent (OPA)</t>
  </si>
  <si>
    <t>OPA</t>
  </si>
  <si>
    <t>0.66.0</t>
  </si>
  <si>
    <t>Identity of Employees and Technical Users (IAM - 002 Identity of Employees and Technical Users)</t>
  </si>
  <si>
    <t>IAM - 002</t>
  </si>
  <si>
    <t>Information technology — Artificial intelligence — Artificial intelligence concepts and terminology (ISO/IEC 22989:2022)</t>
  </si>
  <si>
    <t>ISO/IEC 22989:2022</t>
  </si>
  <si>
    <t>Microsoft ODBC 4.0 Specification</t>
  </si>
  <si>
    <t>OBDC</t>
  </si>
  <si>
    <t>Microsoft</t>
  </si>
  <si>
    <t>GITB Validation Service API</t>
  </si>
  <si>
    <t>UN/EDIFACT Syntax 4</t>
  </si>
  <si>
    <t>TCP, UDP, ICMP, MAC, Ethernet LAN (802.3), virtual LAN (VPN), IPv4 and IPV6</t>
  </si>
  <si>
    <t>Darwin Information Typing Architecture (DITA)</t>
  </si>
  <si>
    <t>DITA</t>
  </si>
  <si>
    <t>eIDAS2</t>
  </si>
  <si>
    <t>Xforms 2.0</t>
  </si>
  <si>
    <t>Xforms</t>
  </si>
  <si>
    <t>GS1 EANCOM Syntax 3 standard</t>
  </si>
  <si>
    <t>Solid</t>
  </si>
  <si>
    <t>XAdES (XML Advanced Electronic Signatures) Baseline Profile</t>
  </si>
  <si>
    <t>XML Schema Definition Language (XSD) 1.1 Part 2: Datatypes</t>
  </si>
  <si>
    <t>Shape Expressions (ShEx) 2.1 Primer</t>
  </si>
  <si>
    <t>ShEx</t>
  </si>
  <si>
    <t>MyData Service Registry Specification</t>
  </si>
  <si>
    <t>Message Queuing Telemetry Transport (MQTT)</t>
  </si>
  <si>
    <t>MQTT</t>
  </si>
  <si>
    <t>HyperText Markup Language v5 (HTML5)</t>
  </si>
  <si>
    <t>HTML5</t>
  </si>
  <si>
    <t>Generic Statistical Business Process Model (GSBPM)</t>
  </si>
  <si>
    <t>GSBPM</t>
  </si>
  <si>
    <t>Hypermedia as the Engine of Application State (HATEOAS)</t>
  </si>
  <si>
    <t>HATEOAS</t>
  </si>
  <si>
    <t>University of California</t>
  </si>
  <si>
    <t>2.2.2</t>
  </si>
  <si>
    <t>Participant Information Service (parIS)</t>
  </si>
  <si>
    <t>parIS</t>
  </si>
  <si>
    <t>GAIA-X Architecture Document</t>
  </si>
  <si>
    <t>NetCDF (Network Common Data Form)</t>
  </si>
  <si>
    <t>NetCDF</t>
  </si>
  <si>
    <t>Network Common Data Form</t>
  </si>
  <si>
    <t>UCAR</t>
  </si>
  <si>
    <t>OASIS ebXML RegRep Version 4.0</t>
  </si>
  <si>
    <t>Hierarchical Data Format</t>
  </si>
  <si>
    <t>HDF</t>
  </si>
  <si>
    <t>The HDF Group</t>
  </si>
  <si>
    <t>1.14.5</t>
  </si>
  <si>
    <t>Postman collections</t>
  </si>
  <si>
    <t>Postman</t>
  </si>
  <si>
    <t>Attribute-based Access Control (ABAC) v2.0.0</t>
  </si>
  <si>
    <t>SAMM (Software Assurance Maturity Model)</t>
  </si>
  <si>
    <t>SAMM</t>
  </si>
  <si>
    <t>Meta-Share ontology (MS-OWL)</t>
  </si>
  <si>
    <t>MS-OWL</t>
  </si>
  <si>
    <t>Distributed Relational Database Architecture (DRDA)</t>
  </si>
  <si>
    <t>DRDA</t>
  </si>
  <si>
    <t>GAIA-X Compliance Registry</t>
  </si>
  <si>
    <t>2.8.1</t>
  </si>
  <si>
    <t>ITU-T Y.4461: Framework of open data in smart cities</t>
  </si>
  <si>
    <t>ITU-T Y.4461</t>
  </si>
  <si>
    <t>ETSI TS 103 458 CYBER; Application of Attribute Based Encryption (ABE) for PII and personal data protection on IoT devices, WLAN, cloud and mobile services - High level requirements</t>
  </si>
  <si>
    <t>ETSI TS 103 458</t>
  </si>
  <si>
    <t>eGovernment Core Vocabularies Handbook</t>
  </si>
  <si>
    <t>ISO/IEC/IEEE 15289:2019 Systems and software engineering — Content of life-cycle information items</t>
  </si>
  <si>
    <t>ISO/IEC/IEEE 15289:2019</t>
  </si>
  <si>
    <t>Global eBusiness Interoperability Testbed (GITB)</t>
  </si>
  <si>
    <t>GITB</t>
  </si>
  <si>
    <t>Treaty on the Functioning of the European Union</t>
  </si>
  <si>
    <t>TFEU</t>
  </si>
  <si>
    <t>Q.5001 : Signalling requirements and architecture of intelligent edge computing</t>
  </si>
  <si>
    <t>ITU-T Q.5001</t>
  </si>
  <si>
    <t>Metadata Encoding and Transmission Standard (METS)</t>
  </si>
  <si>
    <t>METS</t>
  </si>
  <si>
    <t>1.12.1</t>
  </si>
  <si>
    <t>ITU-T X.1147: Security requirements and framework for big data analytics in mobile internet services</t>
  </si>
  <si>
    <t>ITU-T X.1147</t>
  </si>
  <si>
    <t>Modular Requirements for Records Systems (MoReq2010)</t>
  </si>
  <si>
    <t>MoReq2010</t>
  </si>
  <si>
    <t>DLM Forum</t>
  </si>
  <si>
    <t>exFAT file system specification</t>
  </si>
  <si>
    <t>10.6.4</t>
  </si>
  <si>
    <t>HTTP Strict Transport Security (HSTS)</t>
  </si>
  <si>
    <t>HSTS</t>
  </si>
  <si>
    <t>ISO 17100:2015 - Translation services -- Requirements for translation services ISO</t>
  </si>
  <si>
    <t>ISO 17100:2015</t>
  </si>
  <si>
    <t>HAL - Hypertext Application Language</t>
  </si>
  <si>
    <t>HAL</t>
  </si>
  <si>
    <t>Stateless</t>
  </si>
  <si>
    <t>ISO/IEC 24760-1:2019 IT Security and Privacy — A framework for identity management Part 1: Terminology and concepts</t>
  </si>
  <si>
    <t>ISO/IEC 24760-1:2019</t>
  </si>
  <si>
    <t>MyData White paper</t>
  </si>
  <si>
    <t>DPV-GDPR: GDPR Extension for DPV</t>
  </si>
  <si>
    <t>DPV-GDPR</t>
  </si>
  <si>
    <t>Global digital sustainable product passport opportunities to achieve a circular economy</t>
  </si>
  <si>
    <t>ITU-T L.1070</t>
  </si>
  <si>
    <t>Guideline 2014/C 240/01 on recommended standard licences, datasets and charging for the reuse of documents.</t>
  </si>
  <si>
    <t>Indexed Database API</t>
  </si>
  <si>
    <t>App Store</t>
  </si>
  <si>
    <t>OSLC Configuration Management Version 1.0</t>
  </si>
  <si>
    <t>IDS Reference Architecture Model (IDS-RAM)</t>
  </si>
  <si>
    <t>IDS-RAM</t>
  </si>
  <si>
    <t>ISO/IEC TR 22678 --Cloud Computing --Guidance for Policy Development</t>
  </si>
  <si>
    <t>ISO/IEC TR 22678</t>
  </si>
  <si>
    <t>The MIT License</t>
  </si>
  <si>
    <t>ISO/IEC 38505-3: Information technology - Governance of Data - Part3: Guidelines for Data Classification</t>
  </si>
  <si>
    <t>ISO/IEC 38505-3</t>
  </si>
  <si>
    <t>Y.4122 : Requirements and capability framework of the edge-computing-enabled gateway in the Internet of things</t>
  </si>
  <si>
    <t>ITU-T Y.4122</t>
  </si>
  <si>
    <t>Digital Signature Service</t>
  </si>
  <si>
    <t>DSS</t>
  </si>
  <si>
    <t>X.500: Information technology - Open Systems Interconnection - The Directory: Overview of concepts, models and services</t>
  </si>
  <si>
    <t>AGREEMENT ON TECHNICAL CO-OPERATION BETWEEN ISO AND CEN (Vienna Agreement)</t>
  </si>
  <si>
    <t>Vienna Agreement</t>
  </si>
  <si>
    <t>ISO/IEC/IEEE 24748-1:2024 Systems and software engineering — Life cycle management Part 1: Guidelines for life cycle management</t>
  </si>
  <si>
    <t>ISO/IEC/IEEE 24748-1:2024</t>
  </si>
  <si>
    <t>REGULATION (EU) No 910/2014 (EP&amp;EC) on electronic identification and trust services for electronic transactions in the internal market and repealing Directive 1999/93/EC (eIDAS)</t>
  </si>
  <si>
    <t>eIDAS</t>
  </si>
  <si>
    <t>L 257/73</t>
  </si>
  <si>
    <t>JSON transformation language JSLT</t>
  </si>
  <si>
    <t>Schibsted</t>
  </si>
  <si>
    <t>0.1.14</t>
  </si>
  <si>
    <t>Service Metadata Publisher (DomiSMP)</t>
  </si>
  <si>
    <t>DomiSMP</t>
  </si>
  <si>
    <t>5.0.1</t>
  </si>
  <si>
    <t>Open Data Product Specification</t>
  </si>
  <si>
    <t>ODPS</t>
  </si>
  <si>
    <t>Real-Time Streaming Protocol (RTSP)</t>
  </si>
  <si>
    <t>RTSP</t>
  </si>
  <si>
    <t>OpenMinTeD Shared Infrastructure for Text and Data Mining (OMTD-SHARE)</t>
  </si>
  <si>
    <t>OMTD-SHARE</t>
  </si>
  <si>
    <t>DPV-PD: Extended Personal Data categories for DPV</t>
  </si>
  <si>
    <t>DPV-PD</t>
  </si>
  <si>
    <t>Directive 2002/58/EC concerning the processing of personal data and the protection of privacy in the electronic communications sector (ePrivacy directive)</t>
  </si>
  <si>
    <t>Directive 2002/58/EC</t>
  </si>
  <si>
    <t>L 201</t>
  </si>
  <si>
    <t>Framework for Base Registry Access and Interconnection (BRAIF)</t>
  </si>
  <si>
    <t>BRAIF</t>
  </si>
  <si>
    <t>Key words for use in RFCs to Indicate Requirement Levels (RFC 2119)</t>
  </si>
  <si>
    <t>RFC 2119</t>
  </si>
  <si>
    <t>OASIS Topology and Orchestration Specification for Cloud Applications (TOSCA)</t>
  </si>
  <si>
    <t>TOSCA</t>
  </si>
  <si>
    <t>Self-Issued Open ID Provider (SIOPv2)</t>
  </si>
  <si>
    <t>SIOPv2</t>
  </si>
  <si>
    <t>Secutiry Controls - Linking eIDAS (Q)ERDS &amp; CEF eDelivery</t>
  </si>
  <si>
    <t>Group Communication for the Constrained Application Protocol (CoAP)</t>
  </si>
  <si>
    <t>RFC 7390</t>
  </si>
  <si>
    <t>BPN (BPM - 001 Business Partner Number)</t>
  </si>
  <si>
    <t>BPM-001</t>
  </si>
  <si>
    <t>Accessibility requirements for smart public transport services</t>
  </si>
  <si>
    <t>ITU-T Y.4211</t>
  </si>
  <si>
    <t>GS1 XML Electronic Data Interchange</t>
  </si>
  <si>
    <t>GS1 XML EDI</t>
  </si>
  <si>
    <t>SmartM2M; Digital Twins Communication Requirements (ETSI TS 103 845)</t>
  </si>
  <si>
    <t>ETSI TS 103 845</t>
  </si>
  <si>
    <t>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t>
  </si>
  <si>
    <t>Directive 2016/680/EU</t>
  </si>
  <si>
    <t>L 119/89</t>
  </si>
  <si>
    <t>Cyber Security; Security Threats and related Requirements  for Consumer Sensor Hubs (ETSI TS 103 864)</t>
  </si>
  <si>
    <t>ETSI TS 103 864</t>
  </si>
  <si>
    <t>ebXML Messaging Protocol Binding for RegRep Version 1.0</t>
  </si>
  <si>
    <t>ESS handbook for quality and metadata reports (EHQMR)</t>
  </si>
  <si>
    <t>EHQMR</t>
  </si>
  <si>
    <t>StartTLS</t>
  </si>
  <si>
    <t>Data Management: SQL Call Level Interface (CLI)</t>
  </si>
  <si>
    <t>Information technology — Big data — Overview and vocabulary (ISO/IEC 20546:2019)</t>
  </si>
  <si>
    <t>ISO/IEC 20546:2019</t>
  </si>
  <si>
    <t>WAI-ARIA</t>
  </si>
  <si>
    <t>ISO/IEC 15408-1:2022 Information security, cybersecurity and privacy protection — Evaluation criteria for IT security Part 1: Introduction and general model</t>
  </si>
  <si>
    <t>ISO/IEC 15408-1:2022</t>
  </si>
  <si>
    <t>Business Process Simulator (BPSim)</t>
  </si>
  <si>
    <t>BPSim</t>
  </si>
  <si>
    <t>WfMC</t>
  </si>
  <si>
    <t>Mobile Application Security Verification Standard (MASVS)</t>
  </si>
  <si>
    <t>MASVS</t>
  </si>
  <si>
    <t>OWASP</t>
  </si>
  <si>
    <t>ISO/IEC TR 15944-6:2015 Information technology — Business operational view — Part 6: Technical introduction to e-Business modelling</t>
  </si>
  <si>
    <t>ISO/IEC TR 15944-6:2015</t>
  </si>
  <si>
    <t>ISO/IEC 20000-1:2018 Information technology — Service management — Part 1: Service management system requirements</t>
  </si>
  <si>
    <t>ISO/IEC 20000-1:2018</t>
  </si>
  <si>
    <t>Hypertext Markup Language (HTML) v4.01</t>
  </si>
  <si>
    <t>HTML</t>
  </si>
  <si>
    <t>4.01.0</t>
  </si>
  <si>
    <t>The OpenContainers Image Spec</t>
  </si>
  <si>
    <t>1.0.1</t>
  </si>
  <si>
    <t>ISO/IEC 19941:2017 Information technology — Cloud computing — Interoperability and portability</t>
  </si>
  <si>
    <t>ISO/IEC 19941:2017</t>
  </si>
  <si>
    <t>Framework for Layer 2 Virtual Private Networks (L2VPNs) RFC 4664</t>
  </si>
  <si>
    <t>RFC 4664</t>
  </si>
  <si>
    <t>The Token Binding Protocol</t>
  </si>
  <si>
    <t>IANA Media Types (RFC 6838, MIME  types)</t>
  </si>
  <si>
    <t>RFC 6838</t>
  </si>
  <si>
    <t>Registered Organization Vocabulary</t>
  </si>
  <si>
    <t>RegOrg</t>
  </si>
  <si>
    <t>Arazzo</t>
  </si>
  <si>
    <t>ASiC (Associated Signature Container) Baseline Profile</t>
  </si>
  <si>
    <t>ASiC</t>
  </si>
  <si>
    <t>Methodology for data validation</t>
  </si>
  <si>
    <t>PDF Advanced Electronic Signatures (PAdES) - ISO 14533-3:2017</t>
  </si>
  <si>
    <t>ISO 14533-3:2017</t>
  </si>
  <si>
    <t>ISO/IEC 19987:2024 Information technology — EPC Information Services (EPCIS)</t>
  </si>
  <si>
    <t>ISO/IEC 19987:2024</t>
  </si>
  <si>
    <t>Digital Credentials API (Browser agent)</t>
  </si>
  <si>
    <t>Electronic Signatures and Infrastructures (ESI); Associated Signature Containers (ASiC); Part 1: Building blocks and ASiC baseline containers (ETSI EN 319 162-1)</t>
  </si>
  <si>
    <t>ETSI EN 319 162-1</t>
  </si>
  <si>
    <t>Linked Data Notifications (LDN)</t>
  </si>
  <si>
    <t>LDN</t>
  </si>
  <si>
    <t>ITU-T X.1750 'Guidelines on security of big data as a service for Big Data Service Providers'</t>
  </si>
  <si>
    <t>ITU-T X.1750</t>
  </si>
  <si>
    <t>Effects of information and communication technology-enabled autonomy on vehicles longevity and waste creation</t>
  </si>
  <si>
    <t>ITU-T L.1040</t>
  </si>
  <si>
    <t>OpenEHR</t>
  </si>
  <si>
    <t>openEHR Foundation</t>
  </si>
  <si>
    <t>2014/771/EU: Commission Implementing Decision of 31 October 2014 on the identification of Universal Business Language version 2.1 for referencing in public procurement Text with EEA relevance</t>
  </si>
  <si>
    <t>Decision 2014/771/EU</t>
  </si>
  <si>
    <t>L 315/44</t>
  </si>
  <si>
    <t>Electronic Signatures and Trust Infrastructures (ESI); Cryptographic Suites (ETSI TS 119 312)</t>
  </si>
  <si>
    <t>ETSI TS 119 312</t>
  </si>
  <si>
    <t>ISO/IEC TR 14369:2018 Information technology — Programming languages, their environments and system software interfaces — Guidelines for the preparation of language-independent service specifications (LISS)</t>
  </si>
  <si>
    <t>LISS</t>
  </si>
  <si>
    <t>ISO/IEC TR 14369:2018</t>
  </si>
  <si>
    <t>Eurovoc</t>
  </si>
  <si>
    <t>EuroVoc</t>
  </si>
  <si>
    <t>4.12.0</t>
  </si>
  <si>
    <t>Commission Implementing Decision (EU) 2017/2288 of 11 December 2017 on the identification of ICT Technical Specifications for referencing in public procurement</t>
  </si>
  <si>
    <t>Decision 2017/2288/EU</t>
  </si>
  <si>
    <t>L 328/123</t>
  </si>
  <si>
    <t>Catalogue Services Standard 2.0 Extension Package for ebRIM Application Profile: Earth Observation Products</t>
  </si>
  <si>
    <t>Web Services Description Language (WSDL)</t>
  </si>
  <si>
    <t>WSDL</t>
  </si>
  <si>
    <t>OpenPGP</t>
  </si>
  <si>
    <t>DCAT-AP extension for Metadata in National Access Points (DCAT-NAP-AP)</t>
  </si>
  <si>
    <t>DCAT-NAP-AP</t>
  </si>
  <si>
    <t>OASIS Content Managemnet Interoperability Services (CMIS)</t>
  </si>
  <si>
    <t>CMIS</t>
  </si>
  <si>
    <t>EUR-Lex</t>
  </si>
  <si>
    <t>EURLex</t>
  </si>
  <si>
    <t>Core Criterion and Core Evidence Vocabulary (CCCEV) v2.1.0</t>
  </si>
  <si>
    <t>Skills Framework for the Information Age (SFIA)</t>
  </si>
  <si>
    <t>SFIA</t>
  </si>
  <si>
    <t>Good Practices on building sucessful interconnections of Base Registries</t>
  </si>
  <si>
    <t>Post-Award BIS Specifications and Guidelines (Peppol BIS Billing)</t>
  </si>
  <si>
    <t>Peppol BIS Billing</t>
  </si>
  <si>
    <t>3.0.10</t>
  </si>
  <si>
    <t>ISO 19011:2018 Guidelines for auditing management systems</t>
  </si>
  <si>
    <t>ISO 19011:2018</t>
  </si>
  <si>
    <t>e-delivery AS4</t>
  </si>
  <si>
    <t>1.15.0</t>
  </si>
  <si>
    <t>GXFSv2 - Identity and Access Management</t>
  </si>
  <si>
    <t>GXFSv2</t>
  </si>
  <si>
    <t>Security techniques — Extension to ISO/IEC 27001 and ISO/IEC 27002 for privacy information management — Requirements and guidelines (ISO/IEC 27701:2019)</t>
  </si>
  <si>
    <t>ISO/IEC 27701:2019</t>
  </si>
  <si>
    <t>Internet Protocol version 4 (IPv4)</t>
  </si>
  <si>
    <t>IPv4</t>
  </si>
  <si>
    <t>Electronic Signatures and Infrastructures (ESI); Associated Signature Containers (ASiC); Part 2: Additional ASiC containers (ETSI EN 319 162-2)</t>
  </si>
  <si>
    <t>ETSI EN 319 162-2</t>
  </si>
  <si>
    <t>The Dublin Core Ontology</t>
  </si>
  <si>
    <t>DCMI</t>
  </si>
  <si>
    <t>PSI Directive</t>
  </si>
  <si>
    <t>JSON Lines</t>
  </si>
  <si>
    <t>Microformats</t>
  </si>
  <si>
    <t>microformats.org</t>
  </si>
  <si>
    <t>Simple Network Management Protocol (SNMP)</t>
  </si>
  <si>
    <t>SNMP</t>
  </si>
  <si>
    <t>Digital Link -  GS1 Digital Link | GS1</t>
  </si>
  <si>
    <t>Digital Link</t>
  </si>
  <si>
    <t>Gaia-X Digital Clearing House (GXDCH)</t>
  </si>
  <si>
    <t>GXDCH</t>
  </si>
  <si>
    <t>File Transfer Protocol over Transport Layer Security (FTPS or FTP over TLS)</t>
  </si>
  <si>
    <t>FTPS</t>
  </si>
  <si>
    <t>eXtensible Markup Language (XML)</t>
  </si>
  <si>
    <t>XML</t>
  </si>
  <si>
    <t>EU eGovernment Action Plan 2016-2020 - Accelerating the digital transformation of government</t>
  </si>
  <si>
    <t>AKN4EU</t>
  </si>
  <si>
    <t>Asset Description Metadata Schema (ADMS)</t>
  </si>
  <si>
    <t>ADMS</t>
  </si>
  <si>
    <t>ISO/IEC/IEEE 15288:2023 Systems and software engineering — System life cycle processes</t>
  </si>
  <si>
    <t>ISO/IEC/IEEE 15288:2023</t>
  </si>
  <si>
    <t>ITU-T Y.3500: Information technology - Cloud computing - Overview and vocabulary</t>
  </si>
  <si>
    <t>ITU-T Y.3500</t>
  </si>
  <si>
    <t>SmartM2M; Digital Twins: Functionalities and  communication Reference Architecture (ETSI TS 103 846)</t>
  </si>
  <si>
    <t>ETSI TS 103 846</t>
  </si>
  <si>
    <t>Regulation (EU) No 1025/2012</t>
  </si>
  <si>
    <t>Joint Photographic Experts Group (JPEG)</t>
  </si>
  <si>
    <t>JPEG</t>
  </si>
  <si>
    <t>ETSI TS 119 512 Electronic Signatures and Infrastructures (ESI); Protocols for trust service providers providing long-term data preservation services</t>
  </si>
  <si>
    <t>1.1.2</t>
  </si>
  <si>
    <t>Context Information Management (CIM); NGSI-LD API (ETSI GS CIM 009)</t>
  </si>
  <si>
    <t>ETSI GS CIM 009</t>
  </si>
  <si>
    <t>eGovernment accelerating digital public services that support the functioning of the single market</t>
  </si>
  <si>
    <t>REGULATION (EU) 2018/1807 OF THE EUROPEAN PARLIAMENT AND OF THE COUNCIL, of 14 November 2018 on a framework for the free flow of non-personal data in the European Union (Text with EEA relevance)</t>
  </si>
  <si>
    <t>Regulation 2018/1807/EU</t>
  </si>
  <si>
    <t>L 303/59</t>
  </si>
  <si>
    <t>Web Services for Remote Portlets (WSRP)</t>
  </si>
  <si>
    <t>WSRP</t>
  </si>
  <si>
    <t>Credential Transparency Description Language (CTDL)</t>
  </si>
  <si>
    <t>CTDL</t>
  </si>
  <si>
    <t>Credential Engine</t>
  </si>
  <si>
    <t>Hypertext Transfer Protocol (HTTP/3)</t>
  </si>
  <si>
    <t>HTTP/3</t>
  </si>
  <si>
    <t>OpenFlow Switch Specification</t>
  </si>
  <si>
    <t>ONF</t>
  </si>
  <si>
    <t>1.3.4</t>
  </si>
  <si>
    <t>Guidelines on the protection of personal data processed through web services provided by EU institutions</t>
  </si>
  <si>
    <t>EDPS</t>
  </si>
  <si>
    <t>GAIA-X Federated Catalogue</t>
  </si>
  <si>
    <t>Domain Name System Security Extensions (DNSSEC)</t>
  </si>
  <si>
    <t>DNSSEC</t>
  </si>
  <si>
    <t>DNS over TLS (DoT)</t>
  </si>
  <si>
    <t>DoT</t>
  </si>
  <si>
    <t>Office Open XML File Formats Part 1: Fundamentals and Markup Language Reference</t>
  </si>
  <si>
    <t>ISO/IEC 29500-1:2016</t>
  </si>
  <si>
    <t>Core Person Vocabulary</t>
  </si>
  <si>
    <t>FreeRADIUS</t>
  </si>
  <si>
    <t>ISO 639-2:1998 Codes for the representation of names of languages -- Part 2: Alpha-3 code</t>
  </si>
  <si>
    <t>ISO 639-2:1998</t>
  </si>
  <si>
    <t>NUTS</t>
  </si>
  <si>
    <t>Nomenclature of territorial units for statistics 2024</t>
  </si>
  <si>
    <t>2024</t>
  </si>
  <si>
    <t>The Extensible Hypertext Markup Language (XHTML)</t>
  </si>
  <si>
    <t>XHTML</t>
  </si>
  <si>
    <t>European Privacy Policy</t>
  </si>
  <si>
    <t>Extended MKCOL for Web Distributed Authoring and Versioning (Extended WebDAV MKCOL)</t>
  </si>
  <si>
    <t>802.3-2022 - IEEE Standard for Ethernet</t>
  </si>
  <si>
    <t>Microdata (Schema.org)</t>
  </si>
  <si>
    <t>29.1.0</t>
  </si>
  <si>
    <t>ISO/IEC 19086-1:2016 Information technology — Cloud computing — Service level agreement (SLA) framework — Part 1: Overview and concepts</t>
  </si>
  <si>
    <t>DIRECTIVE (EU) 2019/1024 OF THE EUROPEAN PARLIAMENT AND OF THE COUNCIL of 20 June 2019 on open data and the re-use of public sector information.</t>
  </si>
  <si>
    <t>L 172/56</t>
  </si>
  <si>
    <t>EBSI - Decentralized indetifier (EBSI-DID)</t>
  </si>
  <si>
    <t>EBSI-DID</t>
  </si>
  <si>
    <t>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</si>
  <si>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GDPR</t>
  </si>
  <si>
    <t>L 119/1</t>
  </si>
  <si>
    <t>PAdES (PDF Advanced Electronic Signature) Baseline Profile</t>
  </si>
  <si>
    <t>CDN Interconnection Architecture (ETSI TS 182 032)</t>
  </si>
  <si>
    <t>ETSI TS 182 032</t>
  </si>
  <si>
    <t>GraphQL</t>
  </si>
  <si>
    <t>GraphQL Foundation</t>
  </si>
  <si>
    <t>JOINT COMMUNICATION TO THE EUROPEAN PARLIAMENT AND THE COUNCIL - The EU's Cybersecurity Strategy for the Digital Decade</t>
  </si>
  <si>
    <t>DIRECTIVE (EU) 2016/2102 OF THE EUROPEAN PARLIAMENT AND OF THE COUNCIL of 26 October 2016 on the accessibility of the websites and mobile applications of public sector bodies</t>
  </si>
  <si>
    <t>Directive 2016/2102/EU</t>
  </si>
  <si>
    <t>L 327/1</t>
  </si>
  <si>
    <t>LegalDocML</t>
  </si>
  <si>
    <t>Transport Layer Security (TLS) Transport Mapping for Syslog</t>
  </si>
  <si>
    <t>Internet of Things (IoT) — Interoperability for IoT Systems — Part 1: Framework. (ISO/IEC 21823-1:2019)</t>
  </si>
  <si>
    <t>ISO/IEC 21823-1:2019</t>
  </si>
  <si>
    <t>OpenAPI Specification</t>
  </si>
  <si>
    <t>OAS</t>
  </si>
  <si>
    <t>OpenAPI Initiative</t>
  </si>
  <si>
    <t>OGC I15 (ISO19115 Metadata) Extension Package of CS-W ebRIM Profile 1.0</t>
  </si>
  <si>
    <t>OpenID Connect</t>
  </si>
  <si>
    <t>OIDC</t>
  </si>
  <si>
    <t>Simple Mail Transfer Protocol (SMTP)</t>
  </si>
  <si>
    <t>SMTP</t>
  </si>
  <si>
    <t>Role-Based Access Controls (RBAC)</t>
  </si>
  <si>
    <t>RBAC</t>
  </si>
  <si>
    <t>UTF-8</t>
  </si>
  <si>
    <t>Core Public Service Vocabulary Application Profile 2.2</t>
  </si>
  <si>
    <t>Simple Knowledge Organisation system (SKOS)</t>
  </si>
  <si>
    <t>SKOS</t>
  </si>
  <si>
    <t>Directive 2014/25/EU of the European Parliament and of the Council of 26 February 2014 on procurement by entities operating in the water, energy, transport and postal services sectors and repealing Directive 2004/17/EC Text with EEA relevance</t>
  </si>
  <si>
    <t>Directive 2014/25/EU</t>
  </si>
  <si>
    <t>L 94/243</t>
  </si>
  <si>
    <t>Data Privacy Vocabulary (DPV)</t>
  </si>
  <si>
    <t>AES (Advanced Encryption Standard)</t>
  </si>
  <si>
    <t>AES</t>
  </si>
  <si>
    <t>BSI C5</t>
  </si>
  <si>
    <t>BSI</t>
  </si>
  <si>
    <t>C5:2020</t>
  </si>
  <si>
    <t>Communication COM (2011) 882, open data, engine of innnovation, growth and transparent government</t>
  </si>
  <si>
    <t>COM(2011) 882</t>
  </si>
  <si>
    <t>International Data Spaces Information Model</t>
  </si>
  <si>
    <t>IDSA IM</t>
  </si>
  <si>
    <t>AES-CMAC algorithm</t>
  </si>
  <si>
    <t>Uniform Basis for Exchanging Representations (UBER)</t>
  </si>
  <si>
    <t>UBER</t>
  </si>
  <si>
    <t>JSON Web Key JWK</t>
  </si>
  <si>
    <t>JWK</t>
  </si>
  <si>
    <t>May 2025</t>
  </si>
  <si>
    <t>Service Metadata Publishing (SMP) Version 2.0</t>
  </si>
  <si>
    <t>YAMATO (Yet Another More Advanced Top Ontology)</t>
  </si>
  <si>
    <t>YAMATO</t>
  </si>
  <si>
    <t>Hozo</t>
  </si>
  <si>
    <t>SCIM Core Schema</t>
  </si>
  <si>
    <t>NetCDF Markup Language</t>
  </si>
  <si>
    <t>Fetch API Living Standard</t>
  </si>
  <si>
    <t>EDAMIS Web Application (EWA)</t>
  </si>
  <si>
    <t>EWA</t>
  </si>
  <si>
    <t>3.1.8</t>
  </si>
  <si>
    <t>ETSI TR 103 603 Guidance for providers and standardisation makers</t>
  </si>
  <si>
    <t>ETSI TR 103 603</t>
  </si>
  <si>
    <t>E-ARK Dissemination Information Package (DIP)</t>
  </si>
  <si>
    <t>E-ARK DIP</t>
  </si>
  <si>
    <t>RDF-star and SPARQL-star</t>
  </si>
  <si>
    <t>Web Feature Service (WFC)</t>
  </si>
  <si>
    <t>WFC</t>
  </si>
  <si>
    <t>2.0.2</t>
  </si>
  <si>
    <t>SIREN</t>
  </si>
  <si>
    <t>Siren Hypermedia</t>
  </si>
  <si>
    <t>INSPIRE Directive 2007/2/EC of 14 March 2007, Article 18</t>
  </si>
  <si>
    <t>INSPIRE</t>
  </si>
  <si>
    <t>Directive 2007/2/EC</t>
  </si>
  <si>
    <t>L 108/1</t>
  </si>
  <si>
    <t>EBSI OpenID Connect for Verifiable Credentials (EBSI-OpenID4VC)</t>
  </si>
  <si>
    <t>EBSI-OpenID4VC</t>
  </si>
  <si>
    <t>Portable Document Format/A (PDF/A)</t>
  </si>
  <si>
    <t>PDF/A</t>
  </si>
  <si>
    <t>European Interoperability Framework</t>
  </si>
  <si>
    <t>EIF</t>
  </si>
  <si>
    <t>Open Document Format for Office Applications (ODF) v1.2</t>
  </si>
  <si>
    <t>ODF</t>
  </si>
  <si>
    <t>INTERINSTITUTIONAL AGREEMENT BETWEEN THE EUROPEAN PARLIAMENT, THE COUNCIL OF THE EUROPEAN UNION AND THE EUROPEAN COMMISSION ON BETTER LAW-MAKING</t>
  </si>
  <si>
    <t>Metadata Binding Mechanism</t>
  </si>
  <si>
    <t>SPARQL 1.1 Protocol</t>
  </si>
  <si>
    <t>Semantic data model of the core elements of an electronic invoice (EN 16931-1:2017)</t>
  </si>
  <si>
    <t>EN 16931-1:2017</t>
  </si>
  <si>
    <t>Blazegraph</t>
  </si>
  <si>
    <t>2.1.6</t>
  </si>
  <si>
    <t>Web electronic identity (Web eID)</t>
  </si>
  <si>
    <t>Web eID</t>
  </si>
  <si>
    <t>ID</t>
  </si>
  <si>
    <t>2.6.0</t>
  </si>
  <si>
    <t>gRPC</t>
  </si>
  <si>
    <t>1.9.0</t>
  </si>
  <si>
    <t>DECISION (EU) 2018/646 OF THE EUROPEAN PARLIAMENT AND OF THE COUNCIL of 18 April 2018 on a common framework for the provision of better services for skills and qualifications (Europass) and repealing Decision No 2241/2004/EC (Text with EEA relevance)</t>
  </si>
  <si>
    <t>Decision 2018/646/EU</t>
  </si>
  <si>
    <t>L 112/42</t>
  </si>
  <si>
    <t>Regulation (EC) No 1049/2001 of the European Parliament and of the Council of 30 May 2001 regarding public access to European Parliament, Council and Commission documents</t>
  </si>
  <si>
    <t>Regulation 1049/2001/EC</t>
  </si>
  <si>
    <t>L 145</t>
  </si>
  <si>
    <t>OPC Unified Architecture (OPC UA)</t>
  </si>
  <si>
    <t>OPC UA</t>
  </si>
  <si>
    <t>OPC</t>
  </si>
  <si>
    <t>REST</t>
  </si>
  <si>
    <t>RESTfulAPI</t>
  </si>
  <si>
    <t>OpenDEI Position Paper: Design Principles for Data Spaces</t>
  </si>
  <si>
    <t>OpenDEI</t>
  </si>
  <si>
    <t>BSBA Technical Convergence Discussion Document</t>
  </si>
  <si>
    <t>DSBA</t>
  </si>
  <si>
    <t>ISO 9241-11:2018 Ergonomics of human-system interaction - Part 11: Usability: Definitions and concepts</t>
  </si>
  <si>
    <t>ISO 9241-11:2018</t>
  </si>
  <si>
    <t>Asset Description Metadata Schema</t>
  </si>
  <si>
    <t>eDelivery SMP</t>
  </si>
  <si>
    <t>eDelivery Access Point Domibus</t>
  </si>
  <si>
    <t>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</si>
</sst>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[specifications_some_numbers_february.xlsx]assessment per view!PivotTable1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pivotFmt>
    </c:pivotFmts>
    <c:plotArea>
      <c:layout/>
      <c:barChart>
        <c:barDir val="col"/>
        <c:grouping val="clustered"/>
        <c:varyColors val="0"/>
        <c:ser>
          <c:idx val="0"/>
          <c:order val="0"/>
          <c:tx>
            <c:strRef>
              <c:f>'assessment per view'!$B$3</c:f>
              <c:strCache>
                <c:ptCount val="1"/>
                <c:pt idx="0">
                  <c:v>Sum of Tech Application</c:v>
                </c:pt>
              </c:strCache>
            </c:strRef>
          </c:tx>
          <c:spPr>
            <a:solidFill>
              <a:schemeClr val="accent1"/>
            </a:solidFill>
            <a:ln>
              <a:noFill/>
            </a:ln>
            <a:effectLst/>
          </c:spPr>
          <c:invertIfNegative val="0"/>
          <c:cat>
            <c:multiLvlStrRef>
              <c:f>'assessment per view'!$A$4:$A$9</c:f>
              <c:multiLvlStrCache>
                <c:ptCount val="4"/>
                <c:lvl>
                  <c:pt idx="0">
                    <c:v>0</c:v>
                  </c:pt>
                  <c:pt idx="1">
                    <c:v>1</c:v>
                  </c:pt>
                  <c:pt idx="2">
                    <c:v>2</c:v>
                  </c:pt>
                  <c:pt idx="3">
                    <c:v>3</c:v>
                  </c:pt>
                </c:lvl>
                <c:lvl>
                  <c:pt idx="0">
                    <c:v>Specification</c:v>
                  </c:pt>
                </c:lvl>
              </c:multiLvlStrCache>
            </c:multiLvlStrRef>
          </c:cat>
          <c:val>
            <c:numRef>
              <c:f>'assessment per view'!$B$4:$B$9</c:f>
              <c:numCache>
                <c:formatCode>General</c:formatCode>
                <c:ptCount val="4"/>
                <c:pt idx="0">
                  <c:v>894</c:v>
                </c:pt>
                <c:pt idx="1">
                  <c:v>132</c:v>
                </c:pt>
                <c:pt idx="2">
                  <c:v>64</c:v>
                </c:pt>
                <c:pt idx="3">
                  <c:v>6</c:v>
                </c:pt>
              </c:numCache>
            </c:numRef>
          </c:val>
          <c:extLst>
            <c:ext xmlns:c16="http://schemas.microsoft.com/office/drawing/2014/chart" uri="{C3380CC4-5D6E-409C-BE32-E72D297353CC}">
              <c16:uniqueId val="{00000000-2452-48FB-B8A7-55FD984CCDB4}"/>
            </c:ext>
          </c:extLst>
        </c:ser>
        <c:ser>
          <c:idx val="1"/>
          <c:order val="1"/>
          <c:tx>
            <c:strRef>
              <c:f>'assessment per view'!$C$3</c:f>
              <c:strCache>
                <c:ptCount val="1"/>
                <c:pt idx="0">
                  <c:v>Sum of Tech Infrastructure</c:v>
                </c:pt>
              </c:strCache>
            </c:strRef>
          </c:tx>
          <c:spPr>
            <a:solidFill>
              <a:srgbClr val="00B0F0"/>
            </a:solidFill>
            <a:ln>
              <a:noFill/>
            </a:ln>
            <a:effectLst/>
          </c:spPr>
          <c:invertIfNegative val="0"/>
          <c:cat>
            <c:multiLvlStrRef>
              <c:f>'assessment per view'!$A$4:$A$9</c:f>
              <c:multiLvlStrCache>
                <c:ptCount val="4"/>
                <c:lvl>
                  <c:pt idx="0">
                    <c:v>0</c:v>
                  </c:pt>
                  <c:pt idx="1">
                    <c:v>1</c:v>
                  </c:pt>
                  <c:pt idx="2">
                    <c:v>2</c:v>
                  </c:pt>
                  <c:pt idx="3">
                    <c:v>3</c:v>
                  </c:pt>
                </c:lvl>
                <c:lvl>
                  <c:pt idx="0">
                    <c:v>Specification</c:v>
                  </c:pt>
                </c:lvl>
              </c:multiLvlStrCache>
            </c:multiLvlStrRef>
          </c:cat>
          <c:val>
            <c:numRef>
              <c:f>'assessment per view'!$C$4:$C$9</c:f>
              <c:numCache>
                <c:formatCode>General</c:formatCode>
                <c:ptCount val="4"/>
                <c:pt idx="0">
                  <c:v>187</c:v>
                </c:pt>
                <c:pt idx="1">
                  <c:v>49</c:v>
                </c:pt>
                <c:pt idx="2">
                  <c:v>4</c:v>
                </c:pt>
                <c:pt idx="3">
                  <c:v>6</c:v>
                </c:pt>
              </c:numCache>
            </c:numRef>
          </c:val>
          <c:extLst>
            <c:ext xmlns:c16="http://schemas.microsoft.com/office/drawing/2014/chart" uri="{C3380CC4-5D6E-409C-BE32-E72D297353CC}">
              <c16:uniqueId val="{00000001-2452-48FB-B8A7-55FD984CCDB4}"/>
            </c:ext>
          </c:extLst>
        </c:ser>
        <c:ser>
          <c:idx val="2"/>
          <c:order val="2"/>
          <c:tx>
            <c:strRef>
              <c:f>'assessment per view'!$D$3</c:f>
              <c:strCache>
                <c:ptCount val="1"/>
                <c:pt idx="0">
                  <c:v>Sum of Legal View</c:v>
                </c:pt>
              </c:strCache>
            </c:strRef>
          </c:tx>
          <c:spPr>
            <a:solidFill>
              <a:schemeClr val="accent3"/>
            </a:solidFill>
            <a:ln>
              <a:noFill/>
            </a:ln>
            <a:effectLst/>
          </c:spPr>
          <c:invertIfNegative val="0"/>
          <c:cat>
            <c:multiLvlStrRef>
              <c:f>'assessment per view'!$A$4:$A$9</c:f>
              <c:multiLvlStrCache>
                <c:ptCount val="4"/>
                <c:lvl>
                  <c:pt idx="0">
                    <c:v>0</c:v>
                  </c:pt>
                  <c:pt idx="1">
                    <c:v>1</c:v>
                  </c:pt>
                  <c:pt idx="2">
                    <c:v>2</c:v>
                  </c:pt>
                  <c:pt idx="3">
                    <c:v>3</c:v>
                  </c:pt>
                </c:lvl>
                <c:lvl>
                  <c:pt idx="0">
                    <c:v>Specification</c:v>
                  </c:pt>
                </c:lvl>
              </c:multiLvlStrCache>
            </c:multiLvlStrRef>
          </c:cat>
          <c:val>
            <c:numRef>
              <c:f>'assessment per view'!$D$4:$D$9</c:f>
              <c:numCache>
                <c:formatCode>General</c:formatCode>
                <c:ptCount val="4"/>
                <c:pt idx="0">
                  <c:v>135</c:v>
                </c:pt>
                <c:pt idx="1">
                  <c:v>16</c:v>
                </c:pt>
                <c:pt idx="2">
                  <c:v>18</c:v>
                </c:pt>
                <c:pt idx="3">
                  <c:v>0</c:v>
                </c:pt>
              </c:numCache>
            </c:numRef>
          </c:val>
          <c:extLst>
            <c:ext xmlns:c16="http://schemas.microsoft.com/office/drawing/2014/chart" uri="{C3380CC4-5D6E-409C-BE32-E72D297353CC}">
              <c16:uniqueId val="{00000002-2452-48FB-B8A7-55FD984CCDB4}"/>
            </c:ext>
          </c:extLst>
        </c:ser>
        <c:ser>
          <c:idx val="3"/>
          <c:order val="3"/>
          <c:tx>
            <c:strRef>
              <c:f>'assessment per view'!$E$3</c:f>
              <c:strCache>
                <c:ptCount val="1"/>
                <c:pt idx="0">
                  <c:v>Sum of Organisational View</c:v>
                </c:pt>
              </c:strCache>
            </c:strRef>
          </c:tx>
          <c:spPr>
            <a:solidFill>
              <a:schemeClr val="accent4"/>
            </a:solidFill>
            <a:ln>
              <a:noFill/>
            </a:ln>
            <a:effectLst/>
          </c:spPr>
          <c:invertIfNegative val="0"/>
          <c:cat>
            <c:multiLvlStrRef>
              <c:f>'assessment per view'!$A$4:$A$9</c:f>
              <c:multiLvlStrCache>
                <c:ptCount val="4"/>
                <c:lvl>
                  <c:pt idx="0">
                    <c:v>0</c:v>
                  </c:pt>
                  <c:pt idx="1">
                    <c:v>1</c:v>
                  </c:pt>
                  <c:pt idx="2">
                    <c:v>2</c:v>
                  </c:pt>
                  <c:pt idx="3">
                    <c:v>3</c:v>
                  </c:pt>
                </c:lvl>
                <c:lvl>
                  <c:pt idx="0">
                    <c:v>Specification</c:v>
                  </c:pt>
                </c:lvl>
              </c:multiLvlStrCache>
            </c:multiLvlStrRef>
          </c:cat>
          <c:val>
            <c:numRef>
              <c:f>'assessment per view'!$E$4:$E$9</c:f>
              <c:numCache>
                <c:formatCode>General</c:formatCode>
                <c:ptCount val="4"/>
                <c:pt idx="0">
                  <c:v>108</c:v>
                </c:pt>
                <c:pt idx="1">
                  <c:v>23</c:v>
                </c:pt>
                <c:pt idx="2">
                  <c:v>5</c:v>
                </c:pt>
                <c:pt idx="3">
                  <c:v>0</c:v>
                </c:pt>
              </c:numCache>
            </c:numRef>
          </c:val>
          <c:extLst>
            <c:ext xmlns:c16="http://schemas.microsoft.com/office/drawing/2014/chart" uri="{C3380CC4-5D6E-409C-BE32-E72D297353CC}">
              <c16:uniqueId val="{00000003-2452-48FB-B8A7-55FD984CCDB4}"/>
            </c:ext>
          </c:extLst>
        </c:ser>
        <c:ser>
          <c:idx val="4"/>
          <c:order val="4"/>
          <c:tx>
            <c:strRef>
              <c:f>'assessment per view'!$F$3</c:f>
              <c:strCache>
                <c:ptCount val="1"/>
                <c:pt idx="0">
                  <c:v>Sum of Semantic View</c:v>
                </c:pt>
              </c:strCache>
            </c:strRef>
          </c:tx>
          <c:spPr>
            <a:solidFill>
              <a:srgbClr val="C00000"/>
            </a:solidFill>
            <a:ln>
              <a:noFill/>
            </a:ln>
            <a:effectLst/>
          </c:spPr>
          <c:invertIfNegative val="0"/>
          <c:cat>
            <c:multiLvlStrRef>
              <c:f>'assessment per view'!$A$4:$A$9</c:f>
              <c:multiLvlStrCache>
                <c:ptCount val="4"/>
                <c:lvl>
                  <c:pt idx="0">
                    <c:v>0</c:v>
                  </c:pt>
                  <c:pt idx="1">
                    <c:v>1</c:v>
                  </c:pt>
                  <c:pt idx="2">
                    <c:v>2</c:v>
                  </c:pt>
                  <c:pt idx="3">
                    <c:v>3</c:v>
                  </c:pt>
                </c:lvl>
                <c:lvl>
                  <c:pt idx="0">
                    <c:v>Specification</c:v>
                  </c:pt>
                </c:lvl>
              </c:multiLvlStrCache>
            </c:multiLvlStrRef>
          </c:cat>
          <c:val>
            <c:numRef>
              <c:f>'assessment per view'!$F$4:$F$9</c:f>
              <c:numCache>
                <c:formatCode>General</c:formatCode>
                <c:ptCount val="4"/>
                <c:pt idx="0">
                  <c:v>544</c:v>
                </c:pt>
                <c:pt idx="1">
                  <c:v>60</c:v>
                </c:pt>
                <c:pt idx="2">
                  <c:v>86</c:v>
                </c:pt>
                <c:pt idx="3">
                  <c:v>2</c:v>
                </c:pt>
              </c:numCache>
            </c:numRef>
          </c:val>
          <c:extLst>
            <c:ext xmlns:c16="http://schemas.microsoft.com/office/drawing/2014/chart" uri="{C3380CC4-5D6E-409C-BE32-E72D297353CC}">
              <c16:uniqueId val="{00000004-2452-48FB-B8A7-55FD984CCDB4}"/>
            </c:ext>
          </c:extLst>
        </c:ser>
        <c:dLbls>
          <c:showLegendKey val="0"/>
          <c:showVal val="0"/>
          <c:showCatName val="0"/>
          <c:showSerName val="0"/>
          <c:showPercent val="0"/>
          <c:showBubbleSize val="0"/>
        </c:dLbls>
        <c:gapWidth val="219"/>
        <c:overlap val="-27"/>
        <c:axId val="1215676031"/>
        <c:axId val="1215676991"/>
      </c:barChart>
      <c:catAx>
        <c:axId val="121567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15676991"/>
        <c:crosses val="autoZero"/>
        <c:auto val="1"/>
        <c:lblAlgn val="ctr"/>
        <c:lblOffset val="100"/>
        <c:noMultiLvlLbl val="0"/>
      </c:catAx>
      <c:valAx>
        <c:axId val="121567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1567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850900</xdr:colOff>
      <xdr:row>0</xdr:row>
      <xdr:rowOff>165100</xdr:rowOff>
    </xdr:from>
    <xdr:to>
      <xdr:col>4</xdr:col>
      <xdr:colOff>1339850</xdr:colOff>
      <xdr:row>19</xdr:row>
      <xdr:rowOff>76200</xdr:rowOff>
    </xdr:to>
    <xdr:graphicFrame macro="">
      <xdr:nvGraphicFramePr>
        <xdr:cNvPr id="3" name="Chart 2">
          <a:extLst>
            <a:ext uri="{FF2B5EF4-FFF2-40B4-BE49-F238E27FC236}">
              <a16:creationId xmlns:a16="http://schemas.microsoft.com/office/drawing/2014/main" id="{5AD2AB5E-C927-13E0-FC7C-CEA3726A0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Bravo Candel" refreshedDate="46071.446956481479" createdVersion="8" refreshedVersion="8" minRefreshableVersion="3" recordCount="866" xr:uid="{0ECA766B-A4BB-425C-97DC-F5D00FA0D121}">
  <cacheSource type="worksheet">
    <worksheetSource ref="A1:N867" sheet="Sheet1"/>
  </cacheSource>
  <cacheFields count="14">
    <cacheField name="Type" numFmtId="0">
      <sharedItems count="4">
        <s v="Specification"/>
        <s v="Standard"/>
        <s v="Family"/>
        <s v="ApplicationProfile"/>
      </sharedItems>
    </cacheField>
    <cacheField name="Title" numFmtId="0">
      <sharedItems longText="1"/>
    </cacheField>
    <cacheField name="Acronym" numFmtId="0">
      <sharedItems containsBlank="1"/>
    </cacheField>
    <cacheField name="Alternative" numFmtId="0">
      <sharedItems containsBlank="1"/>
    </cacheField>
    <cacheField name="Maintainer" numFmtId="0">
      <sharedItems/>
    </cacheField>
    <cacheField name="Version" numFmtId="0">
      <sharedItems/>
    </cacheField>
    <cacheField name="Previous Version" numFmtId="0">
      <sharedItems containsNonDate="0" containsString="0" containsBlank="1"/>
    </cacheField>
    <cacheField name="View" numFmtId="0">
      <sharedItems count="21">
        <s v="Semantic View"/>
        <s v="Tech Infrastructure"/>
        <s v="Organisational View"/>
        <s v="Legal View, Organisational View"/>
        <s v="Tech Infrastructure, Organisational View"/>
        <s v="Tech Application, Semantic View"/>
        <s v="Tech Infrastructure, Tech Application"/>
        <s v="Tech Application"/>
        <s v="Tech Infrastructure, Semantic View"/>
        <s v="Legal View"/>
        <s v="Tech Application, Organisational View, Semantic View"/>
        <s v="Tech Infrastructure, Tech Application, Semantic View"/>
        <s v=""/>
        <s v="Tech Application, Organisational View"/>
        <s v="Tech Application, Legal View, Organisational View"/>
        <s v="Organisational View, Semantic View"/>
        <s v="Legal View, Semantic View"/>
        <s v="Tech Application, Legal View, Semantic View"/>
        <s v="Legal View, Organisational View, Semantic View"/>
        <s v="Tech Infrastructure, Tech Application, Organisational View"/>
        <s v="Tech Application, Legal View, Organisational View, Semantic View"/>
      </sharedItems>
    </cacheField>
    <cacheField name="Tech Infrastructure" numFmtId="0">
      <sharedItems containsSemiMixedTypes="0" containsString="0" containsNumber="1" containsInteger="1" minValue="0" maxValue="7" count="8">
        <n v="0"/>
        <n v="1"/>
        <n v="2"/>
        <n v="7"/>
        <n v="6"/>
        <n v="4"/>
        <n v="3"/>
        <n v="5"/>
      </sharedItems>
    </cacheField>
    <cacheField name="Tech Application" numFmtId="0">
      <sharedItems containsSemiMixedTypes="0" containsString="0" containsNumber="1" containsInteger="1" minValue="0" maxValue="11" count="10">
        <n v="0"/>
        <n v="2"/>
        <n v="4"/>
        <n v="3"/>
        <n v="6"/>
        <n v="1"/>
        <n v="5"/>
        <n v="7"/>
        <n v="8"/>
        <n v="11"/>
      </sharedItems>
    </cacheField>
    <cacheField name="Legal View" numFmtId="0">
      <sharedItems containsSemiMixedTypes="0" containsString="0" containsNumber="1" containsInteger="1" minValue="0" maxValue="9"/>
    </cacheField>
    <cacheField name="Organisational View" numFmtId="0">
      <sharedItems containsSemiMixedTypes="0" containsString="0" containsNumber="1" containsInteger="1" minValue="0" maxValue="14"/>
    </cacheField>
    <cacheField name="Semantic View" numFmtId="0">
      <sharedItems containsSemiMixedTypes="0" containsString="0" containsNumber="1" containsInteger="1" minValue="0" maxValue="14"/>
    </cacheField>
    <cacheField name="CAMSSA Count" numFmtId="0">
      <sharedItems containsSemiMixedTypes="0" containsString="0" containsNumber="1" containsInteger="1" minValue="0" maxValue="3" count="4">
        <n v="0"/>
        <n v="1"/>
        <n v="2"/>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6">
  <r>
    <x v="0"/>
    <s v="Schema.org v29.2.0"/>
    <m/>
    <m/>
    <s v="Schema.org"/>
    <s v="29.2.0"/>
    <m/>
    <x v="0"/>
    <x v="0"/>
    <x v="0"/>
    <n v="0"/>
    <n v="0"/>
    <n v="1"/>
    <x v="0"/>
  </r>
  <r>
    <x v="0"/>
    <s v="A Framework for Multicast in Network Virtualization over Layer 3 RFC 8293"/>
    <m/>
    <s v="RFC 8293"/>
    <s v="IETF"/>
    <s v="2.0.0"/>
    <m/>
    <x v="1"/>
    <x v="1"/>
    <x v="0"/>
    <n v="0"/>
    <n v="0"/>
    <n v="0"/>
    <x v="0"/>
  </r>
  <r>
    <x v="0"/>
    <s v="The Atom Syndication Format (RFC 4287)"/>
    <s v="Atom"/>
    <s v="RFC 4287"/>
    <s v="IETF"/>
    <s v="1.0.0"/>
    <m/>
    <x v="0"/>
    <x v="0"/>
    <x v="0"/>
    <n v="0"/>
    <n v="0"/>
    <n v="2"/>
    <x v="0"/>
  </r>
  <r>
    <x v="0"/>
    <s v="Multi-access Edge Computing (MEC); IoT API (ETSI GS MEC 033)"/>
    <s v="MEC IoT API"/>
    <s v="ETSI GS MEC 033"/>
    <s v="ETSI"/>
    <s v="3.1.1"/>
    <m/>
    <x v="1"/>
    <x v="2"/>
    <x v="0"/>
    <n v="0"/>
    <n v="0"/>
    <n v="0"/>
    <x v="0"/>
  </r>
  <r>
    <x v="0"/>
    <s v="EU Catalogue of Services"/>
    <m/>
    <m/>
    <s v="EC"/>
    <s v="1.0.0"/>
    <m/>
    <x v="2"/>
    <x v="0"/>
    <x v="0"/>
    <n v="0"/>
    <n v="1"/>
    <n v="0"/>
    <x v="0"/>
  </r>
  <r>
    <x v="0"/>
    <s v="Monitoring and Control MIB for Power and Energy (RFC 7460)"/>
    <m/>
    <s v="RFC 7460"/>
    <s v="IETF"/>
    <s v="1.0.0"/>
    <m/>
    <x v="1"/>
    <x v="1"/>
    <x v="0"/>
    <n v="0"/>
    <n v="0"/>
    <n v="0"/>
    <x v="0"/>
  </r>
  <r>
    <x v="0"/>
    <s v="COMMUNICATION FROM THE COMMISSION TO THE EUROPEAN PARLIAMENT, THE COUNCIL, THE EUROPEAN ECONOMIC AND SOCIAL COMMITTEE AND THE COMMITTEE OF THE REGIONS - European Interoperability Framework – Implementation Strategy"/>
    <m/>
    <m/>
    <s v="OP"/>
    <s v="1.0.0"/>
    <m/>
    <x v="3"/>
    <x v="0"/>
    <x v="0"/>
    <n v="2"/>
    <n v="1"/>
    <n v="0"/>
    <x v="0"/>
  </r>
  <r>
    <x v="0"/>
    <s v="ITU-T X.1603 Data security requirements for the monitoring service of cloud computing"/>
    <m/>
    <s v="ITU-T X.1603"/>
    <s v="ITU"/>
    <s v="1.0.0"/>
    <m/>
    <x v="4"/>
    <x v="1"/>
    <x v="0"/>
    <n v="0"/>
    <n v="1"/>
    <n v="0"/>
    <x v="0"/>
  </r>
  <r>
    <x v="0"/>
    <s v="Smart Data Models (SDM)"/>
    <s v="SDM"/>
    <m/>
    <s v="SDM"/>
    <s v="1.0.0"/>
    <m/>
    <x v="5"/>
    <x v="0"/>
    <x v="1"/>
    <n v="0"/>
    <n v="0"/>
    <n v="1"/>
    <x v="0"/>
  </r>
  <r>
    <x v="0"/>
    <s v="Transport Layer Security 1.3 (TLS 1.3)"/>
    <s v="TLS"/>
    <m/>
    <s v="IETF"/>
    <s v="1.3.0"/>
    <m/>
    <x v="6"/>
    <x v="3"/>
    <x v="2"/>
    <n v="0"/>
    <n v="0"/>
    <n v="0"/>
    <x v="1"/>
  </r>
  <r>
    <x v="0"/>
    <s v="CLARIN Concept Registry (CCR)"/>
    <s v="CCR"/>
    <m/>
    <s v="CLARIN"/>
    <s v="1.0.0"/>
    <m/>
    <x v="0"/>
    <x v="0"/>
    <x v="0"/>
    <n v="0"/>
    <n v="0"/>
    <n v="4"/>
    <x v="0"/>
  </r>
  <r>
    <x v="0"/>
    <s v="Internet Calendaring and Scheduling Core Object Specification (iCalendar)"/>
    <m/>
    <s v="iCalendar"/>
    <s v="IETF"/>
    <s v="10.0.0"/>
    <m/>
    <x v="7"/>
    <x v="0"/>
    <x v="2"/>
    <n v="0"/>
    <n v="0"/>
    <n v="0"/>
    <x v="1"/>
  </r>
  <r>
    <x v="0"/>
    <s v="Smart Applications Reference Ontology (SAREF) (ETSI TS 103 673)"/>
    <s v="SAREF"/>
    <s v="ETSI TS 103 673"/>
    <s v="ETSI"/>
    <s v="3.1.1"/>
    <m/>
    <x v="8"/>
    <x v="2"/>
    <x v="0"/>
    <n v="0"/>
    <n v="0"/>
    <n v="1"/>
    <x v="1"/>
  </r>
  <r>
    <x v="0"/>
    <s v="Security and Privacy Controls for Information Systems and Organizations (NIST SP 800-53)"/>
    <m/>
    <s v="NIST SP 800-53"/>
    <s v="NIST"/>
    <s v="1.0.0"/>
    <m/>
    <x v="7"/>
    <x v="0"/>
    <x v="3"/>
    <n v="0"/>
    <n v="0"/>
    <n v="0"/>
    <x v="0"/>
  </r>
  <r>
    <x v="0"/>
    <s v="Q.5026 : Signalling requirements and protocol for providing network-oriented data integrity verification service based on blockchain in IMT-2020 networks"/>
    <m/>
    <s v="ITU-T Q.5026"/>
    <s v="ITU"/>
    <s v="1.0.0"/>
    <m/>
    <x v="7"/>
    <x v="0"/>
    <x v="1"/>
    <n v="0"/>
    <n v="0"/>
    <n v="0"/>
    <x v="0"/>
  </r>
  <r>
    <x v="0"/>
    <s v="OGC Catalogue Services"/>
    <s v="OGC CSW"/>
    <m/>
    <s v="OGC"/>
    <s v="3.0.0"/>
    <m/>
    <x v="7"/>
    <x v="0"/>
    <x v="4"/>
    <n v="0"/>
    <n v="0"/>
    <n v="0"/>
    <x v="0"/>
  </r>
  <r>
    <x v="0"/>
    <s v="GUIDELINES AND TEMPLATES FOR AGREEMENTS BETWEEN PUBLIC ADMINISTRATIONS"/>
    <m/>
    <m/>
    <s v="EC"/>
    <s v="1.0.0"/>
    <m/>
    <x v="2"/>
    <x v="0"/>
    <x v="0"/>
    <n v="0"/>
    <n v="1"/>
    <n v="0"/>
    <x v="0"/>
  </r>
  <r>
    <x v="0"/>
    <s v="Web Services Security (WSS, WS-Security)"/>
    <s v="WSS"/>
    <m/>
    <s v="OASIS"/>
    <s v="1.1.0"/>
    <m/>
    <x v="7"/>
    <x v="0"/>
    <x v="1"/>
    <n v="0"/>
    <n v="0"/>
    <n v="0"/>
    <x v="1"/>
  </r>
  <r>
    <x v="0"/>
    <s v="Peppol Directory"/>
    <m/>
    <m/>
    <s v="PEPPOL"/>
    <s v="1.1.1"/>
    <m/>
    <x v="7"/>
    <x v="0"/>
    <x v="5"/>
    <n v="0"/>
    <n v="0"/>
    <n v="0"/>
    <x v="0"/>
  </r>
  <r>
    <x v="0"/>
    <s v="User-Managed Access 2.0 (UMA)"/>
    <s v="UMA"/>
    <m/>
    <s v="Kantara Initiative"/>
    <s v="2.0.0"/>
    <m/>
    <x v="7"/>
    <x v="0"/>
    <x v="3"/>
    <n v="0"/>
    <n v="0"/>
    <n v="0"/>
    <x v="0"/>
  </r>
  <r>
    <x v="0"/>
    <s v="Directive 2014/55/EU of the European Parliament and of the Council of 16 April 2014 on electronic invoicing in public procurement Text with EEA relevance"/>
    <m/>
    <m/>
    <s v="OP"/>
    <s v="L 133/1"/>
    <m/>
    <x v="9"/>
    <x v="0"/>
    <x v="0"/>
    <n v="1"/>
    <n v="0"/>
    <n v="0"/>
    <x v="0"/>
  </r>
  <r>
    <x v="0"/>
    <s v="Cyber Security (CYBER); A Verifiable Credentials extension using  Attribute-Based Encryption (ETSI TS 103 964)"/>
    <m/>
    <s v="ETSI TS 103 964"/>
    <s v="ETSI"/>
    <s v="1.1.1"/>
    <m/>
    <x v="7"/>
    <x v="0"/>
    <x v="2"/>
    <n v="0"/>
    <n v="0"/>
    <n v="0"/>
    <x v="0"/>
  </r>
  <r>
    <x v="0"/>
    <s v="Fast Healthcare Interoperability Resources (FHIR)"/>
    <s v="FHIR"/>
    <m/>
    <s v="Health Level Seven International (HL7)"/>
    <s v="5.0.0"/>
    <m/>
    <x v="7"/>
    <x v="0"/>
    <x v="1"/>
    <n v="0"/>
    <n v="0"/>
    <n v="0"/>
    <x v="0"/>
  </r>
  <r>
    <x v="0"/>
    <s v="The EU cybersecurity certification framework"/>
    <m/>
    <m/>
    <s v="EC"/>
    <s v="1.0.0"/>
    <m/>
    <x v="2"/>
    <x v="0"/>
    <x v="0"/>
    <n v="0"/>
    <n v="1"/>
    <n v="0"/>
    <x v="0"/>
  </r>
  <r>
    <x v="0"/>
    <s v="eDelivery BDX Location profile (eDelivery BDXL)"/>
    <s v="BDXL"/>
    <s v="BDX Location"/>
    <s v="EC"/>
    <s v="1.6.0"/>
    <m/>
    <x v="10"/>
    <x v="0"/>
    <x v="3"/>
    <n v="0"/>
    <n v="1"/>
    <n v="3"/>
    <x v="0"/>
  </r>
  <r>
    <x v="0"/>
    <s v="Protocol Buffers (Protobuf)"/>
    <m/>
    <s v="Protobuf"/>
    <s v="protobuf.dev"/>
    <s v="3.0.0"/>
    <m/>
    <x v="7"/>
    <x v="0"/>
    <x v="1"/>
    <n v="0"/>
    <n v="0"/>
    <n v="0"/>
    <x v="0"/>
  </r>
  <r>
    <x v="0"/>
    <s v="XSLT"/>
    <s v="XSLT"/>
    <m/>
    <s v="W3C"/>
    <s v="3.0.0"/>
    <m/>
    <x v="7"/>
    <x v="0"/>
    <x v="1"/>
    <n v="0"/>
    <n v="0"/>
    <n v="0"/>
    <x v="2"/>
  </r>
  <r>
    <x v="0"/>
    <s v="CX-0006 Registration and Initial Onboarding v2.0.1"/>
    <m/>
    <s v="CX-0006"/>
    <s v="CATENA-X"/>
    <s v="2.0.1"/>
    <m/>
    <x v="5"/>
    <x v="0"/>
    <x v="3"/>
    <n v="0"/>
    <n v="0"/>
    <n v="1"/>
    <x v="0"/>
  </r>
  <r>
    <x v="0"/>
    <s v="X.1148 : Framework of de-identification process for telecommunication service providers"/>
    <m/>
    <s v="ITU-T X.1148"/>
    <s v="ITU"/>
    <s v="1.0.0"/>
    <m/>
    <x v="7"/>
    <x v="0"/>
    <x v="4"/>
    <n v="0"/>
    <n v="0"/>
    <n v="0"/>
    <x v="0"/>
  </r>
  <r>
    <x v="0"/>
    <s v="Electronic Signatures and Infrastructures (ESI); CAdES digital signatures; Part 2: Extended CAdES signatures (ETSI EN 319 122-2)"/>
    <s v="CAdES"/>
    <s v="ETSI EN 319 122-2"/>
    <s v="ETSI"/>
    <s v="1.1.1"/>
    <m/>
    <x v="7"/>
    <x v="0"/>
    <x v="2"/>
    <n v="0"/>
    <n v="0"/>
    <n v="0"/>
    <x v="0"/>
  </r>
  <r>
    <x v="0"/>
    <s v="JavaScript Object Notation (JSON) (ECMA-404)"/>
    <s v="JSON"/>
    <s v="ECMA-404"/>
    <s v="Ecma"/>
    <s v="2.0.0"/>
    <m/>
    <x v="0"/>
    <x v="0"/>
    <x v="0"/>
    <n v="0"/>
    <n v="0"/>
    <n v="2"/>
    <x v="2"/>
  </r>
  <r>
    <x v="0"/>
    <s v="OAuth 2.0 Authorization Server Metadata"/>
    <m/>
    <s v="OAuth"/>
    <s v="IETF"/>
    <s v="2.0.0"/>
    <m/>
    <x v="6"/>
    <x v="1"/>
    <x v="3"/>
    <n v="0"/>
    <n v="0"/>
    <n v="0"/>
    <x v="0"/>
  </r>
  <r>
    <x v="0"/>
    <s v="Machine-to-Machine communications (M2M); Impact of Smart City Activity on IoT Environment (ETSI TR 103 290)"/>
    <m/>
    <s v="ETSI TR 103 290"/>
    <s v="ETSI"/>
    <s v="1.1.1"/>
    <m/>
    <x v="11"/>
    <x v="1"/>
    <x v="1"/>
    <n v="0"/>
    <n v="0"/>
    <n v="1"/>
    <x v="0"/>
  </r>
  <r>
    <x v="0"/>
    <s v="Core Public Organisation Vocabulary (CPOV)"/>
    <s v="CPOV"/>
    <m/>
    <s v="EC"/>
    <s v="2.0.0"/>
    <m/>
    <x v="0"/>
    <x v="0"/>
    <x v="0"/>
    <n v="0"/>
    <n v="0"/>
    <n v="2"/>
    <x v="2"/>
  </r>
  <r>
    <x v="0"/>
    <s v="Context Information Management (CIM); NGSI-LD API (ETSI GR CIM 018)"/>
    <s v="NGSI-LD API"/>
    <s v="ETSI GR CIM 018"/>
    <s v="ETSI"/>
    <s v="1.1.1"/>
    <m/>
    <x v="7"/>
    <x v="0"/>
    <x v="1"/>
    <n v="0"/>
    <n v="0"/>
    <n v="0"/>
    <x v="0"/>
  </r>
  <r>
    <x v="0"/>
    <s v="Universally Unique IDentifier (UUID) URN Namespace (RFC 4122)"/>
    <s v="UUDI"/>
    <s v="RFC 4122"/>
    <s v="IETF"/>
    <s v="1.0.0"/>
    <m/>
    <x v="7"/>
    <x v="0"/>
    <x v="1"/>
    <n v="0"/>
    <n v="0"/>
    <n v="0"/>
    <x v="0"/>
  </r>
  <r>
    <x v="0"/>
    <s v="GAIA-X Policy Rules Conformity Document"/>
    <m/>
    <m/>
    <s v="GAIA-X"/>
    <s v="23.10.0"/>
    <m/>
    <x v="0"/>
    <x v="0"/>
    <x v="0"/>
    <n v="0"/>
    <n v="0"/>
    <n v="2"/>
    <x v="0"/>
  </r>
  <r>
    <x v="0"/>
    <s v="eIDAS SAML message format"/>
    <s v="SAML"/>
    <m/>
    <s v="EC"/>
    <s v="1.2.0"/>
    <m/>
    <x v="6"/>
    <x v="1"/>
    <x v="6"/>
    <n v="0"/>
    <n v="0"/>
    <n v="0"/>
    <x v="0"/>
  </r>
  <r>
    <x v="0"/>
    <s v="MyData Service Linking Specification"/>
    <m/>
    <m/>
    <s v="HIIT"/>
    <s v="1.2.1"/>
    <m/>
    <x v="7"/>
    <x v="0"/>
    <x v="3"/>
    <n v="0"/>
    <n v="0"/>
    <n v="0"/>
    <x v="0"/>
  </r>
  <r>
    <x v="0"/>
    <s v="DOLCE-Ultralite"/>
    <m/>
    <m/>
    <s v="ODP"/>
    <s v="3.34.0"/>
    <m/>
    <x v="0"/>
    <x v="0"/>
    <x v="0"/>
    <n v="0"/>
    <n v="0"/>
    <n v="1"/>
    <x v="0"/>
  </r>
  <r>
    <x v="0"/>
    <s v="Application Security Verification Standard (ASVS)"/>
    <s v="ASVS"/>
    <m/>
    <s v="OWASP SAMM"/>
    <s v="4.0.3"/>
    <m/>
    <x v="7"/>
    <x v="0"/>
    <x v="5"/>
    <n v="0"/>
    <n v="0"/>
    <n v="0"/>
    <x v="0"/>
  </r>
  <r>
    <x v="0"/>
    <s v="2011/130/EU: Commission Decision of 25 February 2011 establishing minimum requirements for the cross-border processing of documents signed electronically by competent authorities under Directive 2006/123/EC of the European Parliament and of the Council on services in the internal market (notified under document C(2011) 1081)"/>
    <m/>
    <s v="Decision 2011/130/EU"/>
    <s v="EC"/>
    <s v="L 53/66"/>
    <m/>
    <x v="9"/>
    <x v="0"/>
    <x v="0"/>
    <n v="5"/>
    <n v="0"/>
    <n v="0"/>
    <x v="0"/>
  </r>
  <r>
    <x v="0"/>
    <s v="AS4 Interoperability Profile for Four-Corner Networks"/>
    <s v="AS4"/>
    <m/>
    <s v="OASIS"/>
    <s v="1.0.0"/>
    <m/>
    <x v="7"/>
    <x v="0"/>
    <x v="1"/>
    <n v="0"/>
    <n v="0"/>
    <n v="0"/>
    <x v="0"/>
  </r>
  <r>
    <x v="0"/>
    <s v="FIREWARE Catalogue"/>
    <m/>
    <m/>
    <s v="FIWARE"/>
    <s v="8.4.0"/>
    <m/>
    <x v="7"/>
    <x v="0"/>
    <x v="1"/>
    <n v="0"/>
    <n v="0"/>
    <n v="0"/>
    <x v="0"/>
  </r>
  <r>
    <x v="0"/>
    <s v="ETSI TS 103 523-2 CYBER; Middlebox Security Protocol; Part 2: Transport layer MSP, profile for fine grained access control"/>
    <s v="CYBER"/>
    <s v="ETSI TS 103 523-2 CYBER"/>
    <s v="ETSI"/>
    <s v="1.1.1"/>
    <m/>
    <x v="7"/>
    <x v="0"/>
    <x v="1"/>
    <n v="0"/>
    <n v="0"/>
    <n v="0"/>
    <x v="0"/>
  </r>
  <r>
    <x v="0"/>
    <s v="BIS eDocuments guide for pre-award"/>
    <m/>
    <m/>
    <s v="PEPPOL"/>
    <s v="1.2.0"/>
    <m/>
    <x v="12"/>
    <x v="0"/>
    <x v="0"/>
    <n v="0"/>
    <n v="0"/>
    <n v="0"/>
    <x v="0"/>
  </r>
  <r>
    <x v="0"/>
    <s v="ITU-T X.1606 Security requirements for communication as a service application environments"/>
    <m/>
    <s v="ITU-T X.1606"/>
    <s v="ITU"/>
    <s v="1.0.0"/>
    <m/>
    <x v="4"/>
    <x v="1"/>
    <x v="0"/>
    <n v="0"/>
    <n v="1"/>
    <n v="0"/>
    <x v="0"/>
  </r>
  <r>
    <x v="0"/>
    <s v="Business Partner Data Pool API (BPM - 003 Business Partner Data Pool API)"/>
    <s v="BPDM API"/>
    <s v="BPM - 003"/>
    <s v="CATENA-X"/>
    <s v="2.1.0"/>
    <m/>
    <x v="7"/>
    <x v="0"/>
    <x v="3"/>
    <n v="0"/>
    <n v="0"/>
    <n v="0"/>
    <x v="0"/>
  </r>
  <r>
    <x v="0"/>
    <s v="oneM2M Functional Architecture"/>
    <m/>
    <m/>
    <s v="oneM2M"/>
    <s v="5.6.0"/>
    <m/>
    <x v="7"/>
    <x v="0"/>
    <x v="1"/>
    <n v="0"/>
    <n v="0"/>
    <n v="0"/>
    <x v="0"/>
  </r>
  <r>
    <x v="0"/>
    <s v="Extensible Authentication Protocol (EAP) (RFC 3748)"/>
    <s v="EAP"/>
    <s v="RFC 3748"/>
    <s v="IETF"/>
    <s v="1.0.0"/>
    <m/>
    <x v="7"/>
    <x v="0"/>
    <x v="1"/>
    <n v="0"/>
    <n v="0"/>
    <n v="0"/>
    <x v="0"/>
  </r>
  <r>
    <x v="0"/>
    <s v="ETSI TS 103 523-3 CYBER; Middlebox Security Protocol; Part 3: Profile for enterprise network and data centre access control"/>
    <s v="CYBER"/>
    <s v="ETSI TS 103 523-3 CYBER"/>
    <s v="ETSI"/>
    <s v="1.3.1"/>
    <m/>
    <x v="7"/>
    <x v="0"/>
    <x v="1"/>
    <n v="0"/>
    <n v="0"/>
    <n v="0"/>
    <x v="0"/>
  </r>
  <r>
    <x v="0"/>
    <s v="Web Services Business Process Execution Language (WS-BPEL) v2.0"/>
    <s v="WS-BPEL"/>
    <m/>
    <s v="OASIS"/>
    <s v="2.0.0"/>
    <m/>
    <x v="12"/>
    <x v="0"/>
    <x v="0"/>
    <n v="0"/>
    <n v="0"/>
    <n v="0"/>
    <x v="0"/>
  </r>
  <r>
    <x v="0"/>
    <s v="PROV Family"/>
    <s v="PROV"/>
    <m/>
    <s v="W3C"/>
    <s v="1.0.0"/>
    <m/>
    <x v="0"/>
    <x v="0"/>
    <x v="0"/>
    <n v="0"/>
    <n v="0"/>
    <n v="8"/>
    <x v="1"/>
  </r>
  <r>
    <x v="0"/>
    <s v="CACAO Security Playbooks Version 1.0"/>
    <s v="CACAO"/>
    <m/>
    <s v="OASIS"/>
    <s v="1.0.0"/>
    <m/>
    <x v="10"/>
    <x v="0"/>
    <x v="2"/>
    <n v="0"/>
    <n v="1"/>
    <n v="1"/>
    <x v="0"/>
  </r>
  <r>
    <x v="0"/>
    <s v="The EU Cybersecurity Act"/>
    <m/>
    <s v="Regulation 2019/881/EU"/>
    <s v="EC"/>
    <s v="L 151/15"/>
    <m/>
    <x v="2"/>
    <x v="0"/>
    <x v="0"/>
    <n v="0"/>
    <n v="1"/>
    <n v="0"/>
    <x v="0"/>
  </r>
  <r>
    <x v="0"/>
    <s v="Common Procurement Vocabulary (CPV)"/>
    <s v="CPV"/>
    <m/>
    <s v="OP"/>
    <s v="1.0.0"/>
    <m/>
    <x v="0"/>
    <x v="0"/>
    <x v="0"/>
    <n v="0"/>
    <n v="0"/>
    <n v="1"/>
    <x v="0"/>
  </r>
  <r>
    <x v="0"/>
    <s v="Better regulation &quot;Toolbox&quot;"/>
    <m/>
    <m/>
    <s v="OP"/>
    <s v="SWD(2021) 305 final"/>
    <m/>
    <x v="9"/>
    <x v="0"/>
    <x v="0"/>
    <n v="9"/>
    <n v="0"/>
    <n v="0"/>
    <x v="2"/>
  </r>
  <r>
    <x v="0"/>
    <s v="Electronic Signatures and Infrastructures (ESI); Registered Electronic Mail (REM); Part 2: Data requirements, Formats and Signatures for REM (ETSI TS 102 640-2)"/>
    <s v="REM"/>
    <s v="ETSI TS 102 640-2"/>
    <s v="ETSI"/>
    <s v="2.2.1"/>
    <m/>
    <x v="7"/>
    <x v="0"/>
    <x v="5"/>
    <n v="0"/>
    <n v="0"/>
    <n v="0"/>
    <x v="0"/>
  </r>
  <r>
    <x v="0"/>
    <s v="X.1058 : Information technology - Security techniques - Code of practice for personally identifiable information protection"/>
    <m/>
    <s v="ITU-T X.1058"/>
    <s v="ITU"/>
    <s v="1.0.0"/>
    <m/>
    <x v="13"/>
    <x v="0"/>
    <x v="1"/>
    <n v="0"/>
    <n v="1"/>
    <n v="0"/>
    <x v="0"/>
  </r>
  <r>
    <x v="0"/>
    <s v="EBSI Trust Model"/>
    <m/>
    <m/>
    <s v="EC"/>
    <s v="1.0.0"/>
    <m/>
    <x v="7"/>
    <x v="0"/>
    <x v="5"/>
    <n v="0"/>
    <n v="0"/>
    <n v="0"/>
    <x v="0"/>
  </r>
  <r>
    <x v="0"/>
    <s v="Core Location Vocabulary 2.0.0"/>
    <s v="CLV"/>
    <m/>
    <s v="EC"/>
    <s v="2.0.0"/>
    <m/>
    <x v="0"/>
    <x v="0"/>
    <x v="0"/>
    <n v="0"/>
    <n v="0"/>
    <n v="6"/>
    <x v="0"/>
  </r>
  <r>
    <x v="0"/>
    <s v="SLA for Open API Initiative Specification (SLA4OAI)"/>
    <s v="SLA4OAI"/>
    <m/>
    <s v="ISA Group"/>
    <s v="0.10.0"/>
    <m/>
    <x v="7"/>
    <x v="0"/>
    <x v="1"/>
    <n v="0"/>
    <n v="0"/>
    <n v="0"/>
    <x v="0"/>
  </r>
  <r>
    <x v="0"/>
    <s v="REGULATION OF THE EUROPEAN PARLIAMENT AND OF THE COUNCIL laying down measures for a high level of public sector interoperability across the Union (Interoperable Europe Act)"/>
    <s v="IEA"/>
    <s v="Interoperable Europe Act"/>
    <s v="EC"/>
    <s v="1.0.0"/>
    <m/>
    <x v="9"/>
    <x v="0"/>
    <x v="0"/>
    <n v="4"/>
    <n v="0"/>
    <n v="0"/>
    <x v="0"/>
  </r>
  <r>
    <x v="0"/>
    <s v="JSON Schema"/>
    <m/>
    <m/>
    <s v="JSON SCHEMA"/>
    <s v="2.0.0"/>
    <m/>
    <x v="0"/>
    <x v="0"/>
    <x v="0"/>
    <n v="0"/>
    <n v="0"/>
    <n v="2"/>
    <x v="0"/>
  </r>
  <r>
    <x v="0"/>
    <s v="IEC-CEN ELEC Frankfurt Agreement"/>
    <m/>
    <m/>
    <s v="CEN-CENELEC"/>
    <s v="1.0.0"/>
    <m/>
    <x v="7"/>
    <x v="0"/>
    <x v="1"/>
    <n v="0"/>
    <n v="0"/>
    <n v="0"/>
    <x v="0"/>
  </r>
  <r>
    <x v="0"/>
    <s v="Extensible Access Control Markup Language (XACML)"/>
    <s v="XACML"/>
    <m/>
    <s v="OASIS"/>
    <s v="3.0.0"/>
    <m/>
    <x v="14"/>
    <x v="0"/>
    <x v="3"/>
    <n v="2"/>
    <n v="1"/>
    <n v="0"/>
    <x v="2"/>
  </r>
  <r>
    <x v="0"/>
    <s v="ITU-T X.1605 Security requirements of public infrastructure as a service (IaaS) in cloud computing"/>
    <m/>
    <s v="ITU-T X.1605"/>
    <s v="ITU"/>
    <s v="1.0.0"/>
    <m/>
    <x v="1"/>
    <x v="2"/>
    <x v="0"/>
    <n v="0"/>
    <n v="0"/>
    <n v="0"/>
    <x v="0"/>
  </r>
  <r>
    <x v="0"/>
    <s v="ISO/IEC 18384-2:2016 Information technology — Reference Architecture for Service Oriented Architecture (SOA RA) — Part 2: Reference Architecture for SOA Solutions"/>
    <s v="SOA RA"/>
    <s v="ISO/IEC 18384-2"/>
    <s v="ISO"/>
    <s v="1.0.0"/>
    <m/>
    <x v="1"/>
    <x v="1"/>
    <x v="0"/>
    <n v="0"/>
    <n v="0"/>
    <n v="0"/>
    <x v="0"/>
  </r>
  <r>
    <x v="0"/>
    <s v="3-Clause BSD License"/>
    <m/>
    <m/>
    <s v="Open Source"/>
    <s v="3.0.0"/>
    <m/>
    <x v="7"/>
    <x v="0"/>
    <x v="5"/>
    <n v="0"/>
    <n v="0"/>
    <n v="0"/>
    <x v="0"/>
  </r>
  <r>
    <x v="0"/>
    <s v="Security methodology for the use of identity-based cryptography in support of Internet of things (IoT) services over telecommunication networks (ITU-T X.1365)"/>
    <m/>
    <m/>
    <s v="ITU"/>
    <s v="1.0.0"/>
    <m/>
    <x v="7"/>
    <x v="0"/>
    <x v="2"/>
    <n v="0"/>
    <n v="0"/>
    <n v="0"/>
    <x v="0"/>
  </r>
  <r>
    <x v="0"/>
    <s v="OpenPeppol eDEC Code Lists"/>
    <m/>
    <m/>
    <s v="PEPPOL"/>
    <s v="8.1.0"/>
    <m/>
    <x v="0"/>
    <x v="0"/>
    <x v="0"/>
    <n v="0"/>
    <n v="0"/>
    <n v="1"/>
    <x v="0"/>
  </r>
  <r>
    <x v="0"/>
    <s v="Attribute-based Access Control (ABAC)"/>
    <s v="ABAC"/>
    <m/>
    <s v="NIST"/>
    <s v="1.0.0"/>
    <m/>
    <x v="7"/>
    <x v="0"/>
    <x v="3"/>
    <n v="0"/>
    <n v="0"/>
    <n v="0"/>
    <x v="0"/>
  </r>
  <r>
    <x v="0"/>
    <s v="ISO/IEC 38505-2: Information technology - Governance of IT - Part2: Implications of ISO/IEC38505-1 for Data Management"/>
    <m/>
    <s v="ISO/IEC 38505-2"/>
    <s v="ISO"/>
    <s v="1.0.0"/>
    <m/>
    <x v="2"/>
    <x v="0"/>
    <x v="0"/>
    <n v="0"/>
    <n v="1"/>
    <n v="0"/>
    <x v="0"/>
  </r>
  <r>
    <x v="0"/>
    <s v="Web Coverage Service (WCS)"/>
    <s v="WCS"/>
    <m/>
    <s v="OGC"/>
    <s v="2.1.0"/>
    <m/>
    <x v="7"/>
    <x v="0"/>
    <x v="5"/>
    <n v="0"/>
    <n v="0"/>
    <n v="0"/>
    <x v="0"/>
  </r>
  <r>
    <x v="0"/>
    <s v="International Standard on Assurance Engagements 3402 (ISAE 3402)"/>
    <m/>
    <s v="ISAE 3402"/>
    <s v="IAASB"/>
    <s v="1.0.0"/>
    <m/>
    <x v="2"/>
    <x v="0"/>
    <x v="0"/>
    <n v="0"/>
    <n v="1"/>
    <n v="0"/>
    <x v="1"/>
  </r>
  <r>
    <x v="0"/>
    <s v="Web of Things (WoT)"/>
    <s v="WoT"/>
    <m/>
    <s v="W3C"/>
    <s v="1.0.0"/>
    <m/>
    <x v="7"/>
    <x v="0"/>
    <x v="1"/>
    <n v="0"/>
    <n v="0"/>
    <n v="0"/>
    <x v="0"/>
  </r>
  <r>
    <x v="0"/>
    <s v="Electronic Signatures and Trust Infrastructures (ESI); Policy and security requirements for Trust Service Providers issuing certificates; Part 1: General requirements (ETSI EN 319 411-1)"/>
    <m/>
    <s v="ETSI EN 319 411-1"/>
    <s v="ETSI"/>
    <s v="1.5.1"/>
    <m/>
    <x v="7"/>
    <x v="0"/>
    <x v="2"/>
    <n v="0"/>
    <n v="0"/>
    <n v="0"/>
    <x v="0"/>
  </r>
  <r>
    <x v="0"/>
    <s v="Markdown Syntax for Object Notation (MSON)"/>
    <s v="MSON"/>
    <m/>
    <s v="Apiary"/>
    <s v="1.0.0"/>
    <m/>
    <x v="5"/>
    <x v="0"/>
    <x v="1"/>
    <n v="0"/>
    <n v="0"/>
    <n v="4"/>
    <x v="0"/>
  </r>
  <r>
    <x v="0"/>
    <s v="QUIC: A UDP-Based Multiplexed and Secure Transport"/>
    <s v="QUIC"/>
    <m/>
    <s v="IETF"/>
    <s v="34.0.0"/>
    <m/>
    <x v="7"/>
    <x v="0"/>
    <x v="1"/>
    <n v="0"/>
    <n v="0"/>
    <n v="0"/>
    <x v="0"/>
  </r>
  <r>
    <x v="0"/>
    <s v="eID building block"/>
    <m/>
    <m/>
    <s v="EC"/>
    <s v="1.0.0"/>
    <m/>
    <x v="13"/>
    <x v="0"/>
    <x v="5"/>
    <n v="0"/>
    <n v="1"/>
    <n v="0"/>
    <x v="0"/>
  </r>
  <r>
    <x v="0"/>
    <s v="SmartM2M; SAREF: Ontology Support for  Urban Digital Twins and usage guidelines (ETSI TS 103 828)"/>
    <m/>
    <s v="ETSI TS 103 828"/>
    <s v="ETSI"/>
    <s v="1.1.1"/>
    <m/>
    <x v="10"/>
    <x v="0"/>
    <x v="1"/>
    <n v="0"/>
    <n v="1"/>
    <n v="1"/>
    <x v="0"/>
  </r>
  <r>
    <x v="0"/>
    <s v="My Data Ontology (MDO)"/>
    <s v="MDO"/>
    <m/>
    <s v="CUBRC"/>
    <s v="1.0.0"/>
    <m/>
    <x v="5"/>
    <x v="0"/>
    <x v="1"/>
    <n v="0"/>
    <n v="0"/>
    <n v="7"/>
    <x v="0"/>
  </r>
  <r>
    <x v="0"/>
    <s v="ETSI EN 319 412-3"/>
    <m/>
    <s v="ETSI EN 319 412-3"/>
    <s v="ETSI"/>
    <s v="1.3.1"/>
    <m/>
    <x v="5"/>
    <x v="0"/>
    <x v="3"/>
    <n v="0"/>
    <n v="0"/>
    <n v="2"/>
    <x v="0"/>
  </r>
  <r>
    <x v="0"/>
    <s v="CYBER Middlebox Security Protocol Part 1: MSP Framework and Template Requirements"/>
    <s v="CYBER"/>
    <s v="ETSI TS 103 523-1"/>
    <s v="ETSI"/>
    <s v="1.1.1"/>
    <m/>
    <x v="1"/>
    <x v="1"/>
    <x v="0"/>
    <n v="0"/>
    <n v="0"/>
    <n v="0"/>
    <x v="0"/>
  </r>
  <r>
    <x v="0"/>
    <s v="Service Requirements for Layer 2 Provider-Provisioned Virtual Private Networks"/>
    <s v="L2VPNs"/>
    <m/>
    <s v="IETF"/>
    <s v="7.0.0"/>
    <m/>
    <x v="1"/>
    <x v="1"/>
    <x v="0"/>
    <n v="0"/>
    <n v="0"/>
    <n v="0"/>
    <x v="0"/>
  </r>
  <r>
    <x v="0"/>
    <s v="Directive 2006/123/EC of the European Parliament and of the Council of 12 December 2006 on services in the internal market"/>
    <m/>
    <s v="Directive 2006/123/EC"/>
    <s v="OP"/>
    <s v="L 376/36"/>
    <m/>
    <x v="9"/>
    <x v="0"/>
    <x v="0"/>
    <n v="1"/>
    <n v="0"/>
    <n v="0"/>
    <x v="0"/>
  </r>
  <r>
    <x v="0"/>
    <s v="87/598/EEC: Commission Recommendation of 8 December 1987 on a European Code of Conduct relating to electronic payment (Relations between financial institutions, traders and service establishments, and consumers)"/>
    <m/>
    <s v="Recommendation 87/598/EEC"/>
    <s v="EC"/>
    <s v="L 365"/>
    <m/>
    <x v="9"/>
    <x v="0"/>
    <x v="0"/>
    <n v="1"/>
    <n v="0"/>
    <n v="0"/>
    <x v="0"/>
  </r>
  <r>
    <x v="0"/>
    <s v="Extensible Forms Description Language (XFDL)"/>
    <s v="XFDL"/>
    <m/>
    <s v="W3C"/>
    <s v="4.0.0"/>
    <m/>
    <x v="7"/>
    <x v="0"/>
    <x v="1"/>
    <n v="0"/>
    <n v="0"/>
    <n v="0"/>
    <x v="1"/>
  </r>
  <r>
    <x v="0"/>
    <s v="Company Attribute Verification (IAM - 004 Company Attribute Verification)"/>
    <m/>
    <s v="IAM - 004"/>
    <s v="CATENA-X"/>
    <s v="2.1.0"/>
    <m/>
    <x v="7"/>
    <x v="0"/>
    <x v="1"/>
    <n v="0"/>
    <n v="0"/>
    <n v="0"/>
    <x v="0"/>
  </r>
  <r>
    <x v="0"/>
    <s v="DCAT-AP High Value Datasets (HVD)"/>
    <s v="HVD"/>
    <m/>
    <s v="W3C"/>
    <s v="2.2.0"/>
    <m/>
    <x v="0"/>
    <x v="0"/>
    <x v="0"/>
    <n v="0"/>
    <n v="0"/>
    <n v="4"/>
    <x v="0"/>
  </r>
  <r>
    <x v="0"/>
    <s v="AMQP Claims-based Security"/>
    <s v="AMQP CBS"/>
    <m/>
    <s v="OASIS"/>
    <s v="1.0.0"/>
    <m/>
    <x v="13"/>
    <x v="0"/>
    <x v="1"/>
    <n v="0"/>
    <n v="1"/>
    <n v="0"/>
    <x v="0"/>
  </r>
  <r>
    <x v="0"/>
    <s v="Standard for Public Code"/>
    <m/>
    <m/>
    <s v="EC"/>
    <s v="0.2.2"/>
    <m/>
    <x v="12"/>
    <x v="0"/>
    <x v="0"/>
    <n v="0"/>
    <n v="0"/>
    <n v="0"/>
    <x v="0"/>
  </r>
  <r>
    <x v="0"/>
    <s v="ISO/IEC/IEEE 24748-3:2020 Systems and software engineering — Life cycle management Part 3: Guidelines for the application of ISO/IEC/IEEE 12207 (software life cycle processes)"/>
    <m/>
    <s v="ISO/IEC/IEEE 24748-3:2020"/>
    <s v="ISO"/>
    <s v="1.0.0"/>
    <m/>
    <x v="1"/>
    <x v="2"/>
    <x v="0"/>
    <n v="0"/>
    <n v="0"/>
    <n v="0"/>
    <x v="0"/>
  </r>
  <r>
    <x v="0"/>
    <s v="Java Specification Requests (JSRs)"/>
    <s v="JSRs"/>
    <m/>
    <s v="JCP"/>
    <s v="2.11.0"/>
    <m/>
    <x v="1"/>
    <x v="4"/>
    <x v="0"/>
    <n v="0"/>
    <n v="0"/>
    <n v="0"/>
    <x v="0"/>
  </r>
  <r>
    <x v="0"/>
    <s v="Wheat Data Interoperability Guidelines"/>
    <m/>
    <m/>
    <s v="RDA"/>
    <s v="1.0.0"/>
    <m/>
    <x v="12"/>
    <x v="0"/>
    <x v="0"/>
    <n v="0"/>
    <n v="0"/>
    <n v="0"/>
    <x v="0"/>
  </r>
  <r>
    <x v="0"/>
    <s v="CX-0007 Minimal Data Provider Service Offering v1.1.1"/>
    <m/>
    <s v="CX-0007"/>
    <s v="CATENA-X"/>
    <s v="1.1.1"/>
    <m/>
    <x v="7"/>
    <x v="0"/>
    <x v="2"/>
    <n v="0"/>
    <n v="0"/>
    <n v="0"/>
    <x v="0"/>
  </r>
  <r>
    <x v="0"/>
    <s v="Semantically Interlinked Online Communities"/>
    <s v="SIOC"/>
    <m/>
    <s v="W3C"/>
    <s v="1.0.0"/>
    <m/>
    <x v="0"/>
    <x v="0"/>
    <x v="0"/>
    <n v="0"/>
    <n v="0"/>
    <n v="1"/>
    <x v="0"/>
  </r>
  <r>
    <x v="0"/>
    <s v="eDelivery SMP - 2.0"/>
    <m/>
    <m/>
    <s v="EC"/>
    <s v="2.0.0"/>
    <m/>
    <x v="7"/>
    <x v="0"/>
    <x v="1"/>
    <n v="0"/>
    <n v="0"/>
    <n v="0"/>
    <x v="0"/>
  </r>
  <r>
    <x v="0"/>
    <s v="Application Performance Index"/>
    <s v="APDEX"/>
    <m/>
    <s v="APDEX Alliance"/>
    <s v="1.1.0"/>
    <m/>
    <x v="1"/>
    <x v="1"/>
    <x v="0"/>
    <n v="0"/>
    <n v="0"/>
    <n v="0"/>
    <x v="0"/>
  </r>
  <r>
    <x v="0"/>
    <s v="Open Virtualization Format"/>
    <s v="OVF"/>
    <m/>
    <s v="DMTF"/>
    <s v="2.1.1"/>
    <m/>
    <x v="1"/>
    <x v="1"/>
    <x v="0"/>
    <n v="0"/>
    <n v="0"/>
    <n v="0"/>
    <x v="0"/>
  </r>
  <r>
    <x v="0"/>
    <s v="Task Execution Service (TES) API"/>
    <s v="TES"/>
    <m/>
    <s v="GA4GH"/>
    <s v="1.0.0"/>
    <m/>
    <x v="1"/>
    <x v="4"/>
    <x v="0"/>
    <n v="0"/>
    <n v="0"/>
    <n v="0"/>
    <x v="0"/>
  </r>
  <r>
    <x v="0"/>
    <s v="Languages, Countries, and Codes (LCC)"/>
    <s v="LCC"/>
    <m/>
    <s v="OMG"/>
    <s v="1.2.0"/>
    <m/>
    <x v="0"/>
    <x v="0"/>
    <x v="0"/>
    <n v="0"/>
    <n v="0"/>
    <n v="2"/>
    <x v="0"/>
  </r>
  <r>
    <x v="0"/>
    <s v="Portable Document Format v 1.7 (PDF 1.7)"/>
    <s v="PDF"/>
    <m/>
    <s v="ISO"/>
    <s v="1.7.0"/>
    <m/>
    <x v="12"/>
    <x v="0"/>
    <x v="0"/>
    <n v="0"/>
    <n v="0"/>
    <n v="0"/>
    <x v="0"/>
  </r>
  <r>
    <x v="0"/>
    <s v="Information technology — Governance of IT for the organization (ISO/IEC 38500:2015)"/>
    <m/>
    <s v="ISO/IEC 38500"/>
    <s v="ISO"/>
    <s v="1.0.0"/>
    <m/>
    <x v="2"/>
    <x v="0"/>
    <x v="0"/>
    <n v="0"/>
    <n v="2"/>
    <n v="0"/>
    <x v="0"/>
  </r>
  <r>
    <x v="0"/>
    <s v="Transformational Government Framework Version 2.0"/>
    <s v="TGF"/>
    <m/>
    <s v="OASIS"/>
    <s v="2.0.0"/>
    <m/>
    <x v="2"/>
    <x v="0"/>
    <x v="0"/>
    <n v="0"/>
    <n v="14"/>
    <n v="0"/>
    <x v="1"/>
  </r>
  <r>
    <x v="0"/>
    <s v="ISO/IEC 7498-1:1994 Information technology — Open Systems Interconnection"/>
    <s v="OSI"/>
    <s v="ISO/IEC 7498-1"/>
    <s v="ISO"/>
    <s v="1.0.0"/>
    <m/>
    <x v="13"/>
    <x v="0"/>
    <x v="3"/>
    <n v="0"/>
    <n v="2"/>
    <n v="0"/>
    <x v="2"/>
  </r>
  <r>
    <x v="0"/>
    <s v="GITB Test Reporting Language (TRL)"/>
    <s v="TRL"/>
    <m/>
    <s v="EC"/>
    <s v="1.17.0"/>
    <m/>
    <x v="0"/>
    <x v="0"/>
    <x v="0"/>
    <n v="0"/>
    <n v="0"/>
    <n v="8"/>
    <x v="0"/>
  </r>
  <r>
    <x v="0"/>
    <s v="Framework for Layer 3 Provider-Provisioned Virtual Private Networks (PPVPNs)"/>
    <s v="PPVPNs"/>
    <m/>
    <s v="IETF"/>
    <s v="1.0.0"/>
    <m/>
    <x v="1"/>
    <x v="1"/>
    <x v="0"/>
    <n v="0"/>
    <n v="0"/>
    <n v="0"/>
    <x v="0"/>
  </r>
  <r>
    <x v="0"/>
    <s v="Performance-based Full Policy Cycle for the Digital Single Market"/>
    <m/>
    <m/>
    <s v="EC"/>
    <s v="1.0.0"/>
    <m/>
    <x v="9"/>
    <x v="0"/>
    <x v="0"/>
    <n v="2"/>
    <n v="0"/>
    <n v="0"/>
    <x v="0"/>
  </r>
  <r>
    <x v="0"/>
    <s v="OpenSource MANO"/>
    <s v="OSM"/>
    <m/>
    <s v="ETSI"/>
    <s v="11.0.0"/>
    <m/>
    <x v="7"/>
    <x v="0"/>
    <x v="1"/>
    <n v="0"/>
    <n v="0"/>
    <n v="0"/>
    <x v="0"/>
  </r>
  <r>
    <x v="0"/>
    <s v="Directive 2009/136/EC - EU Cookie Directive 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
    <m/>
    <s v="Directive 2009/136/EC"/>
    <s v="OP"/>
    <s v="L 337/11"/>
    <m/>
    <x v="9"/>
    <x v="0"/>
    <x v="0"/>
    <n v="1"/>
    <n v="0"/>
    <n v="0"/>
    <x v="0"/>
  </r>
  <r>
    <x v="0"/>
    <s v="IEEE/ISO/IEC 29119-2-2021 International Standard - Software and systems engineering - Software testing -- Part 2: Test processes"/>
    <m/>
    <s v="IEEE/ISO/IEC 29119-2-2021"/>
    <s v="IEEE"/>
    <s v="4.0.0"/>
    <m/>
    <x v="7"/>
    <x v="0"/>
    <x v="5"/>
    <n v="0"/>
    <n v="0"/>
    <n v="0"/>
    <x v="0"/>
  </r>
  <r>
    <x v="0"/>
    <s v="Layer 2 Tunneling Protocol (L2TP)"/>
    <s v="L2TP"/>
    <m/>
    <s v="IETF"/>
    <s v="5.0.0"/>
    <m/>
    <x v="1"/>
    <x v="1"/>
    <x v="0"/>
    <n v="0"/>
    <n v="0"/>
    <n v="0"/>
    <x v="0"/>
  </r>
  <r>
    <x v="0"/>
    <s v="Portable Network Graphics (PNG)"/>
    <s v="PNG"/>
    <m/>
    <s v="ISO"/>
    <s v="1.0.0"/>
    <m/>
    <x v="12"/>
    <x v="0"/>
    <x v="0"/>
    <n v="0"/>
    <n v="0"/>
    <n v="0"/>
    <x v="0"/>
  </r>
  <r>
    <x v="0"/>
    <s v="OpenGIS Catalogue Services Specification 2.0.2 - ISO Metadata Application Profile"/>
    <m/>
    <m/>
    <s v="OGC"/>
    <s v="1.0.2"/>
    <m/>
    <x v="7"/>
    <x v="0"/>
    <x v="1"/>
    <n v="0"/>
    <n v="0"/>
    <n v="0"/>
    <x v="0"/>
  </r>
  <r>
    <x v="0"/>
    <s v="XA+ specification"/>
    <s v="XA+"/>
    <m/>
    <s v="Open Group"/>
    <s v="2.0.0"/>
    <m/>
    <x v="1"/>
    <x v="2"/>
    <x v="0"/>
    <n v="0"/>
    <n v="0"/>
    <n v="0"/>
    <x v="0"/>
  </r>
  <r>
    <x v="0"/>
    <s v="Internet X.509 Public Key Infrastructure Certificate and Certificate Revocation List (CRL) Profile (RFC 5280)"/>
    <m/>
    <s v="RFC 5280"/>
    <s v="IETF"/>
    <s v="1.0.0"/>
    <m/>
    <x v="8"/>
    <x v="1"/>
    <x v="0"/>
    <n v="0"/>
    <n v="0"/>
    <n v="2"/>
    <x v="0"/>
  </r>
  <r>
    <x v="0"/>
    <s v="X.1403 : Security guidelines for using distributed ledger technology for decentralized identity management"/>
    <m/>
    <s v="ITU-T X.1403"/>
    <s v="ITU"/>
    <s v="1.0.0"/>
    <m/>
    <x v="6"/>
    <x v="1"/>
    <x v="3"/>
    <n v="0"/>
    <n v="0"/>
    <n v="0"/>
    <x v="0"/>
  </r>
  <r>
    <x v="0"/>
    <s v="GeoJSON Format (RFC 7946)"/>
    <s v="GeoJSON"/>
    <s v="RFC 7946"/>
    <s v="IETF"/>
    <s v="1.0.0"/>
    <m/>
    <x v="0"/>
    <x v="0"/>
    <x v="0"/>
    <n v="0"/>
    <n v="0"/>
    <n v="2"/>
    <x v="0"/>
  </r>
  <r>
    <x v="0"/>
    <s v="ISO/IEC 11179-1:2023 Information technology Metadata registries (MDR) Part 1: Framework"/>
    <s v="MDR"/>
    <s v="ISO/IEC 11179-1"/>
    <s v="ISO"/>
    <s v="4.0.0"/>
    <m/>
    <x v="0"/>
    <x v="0"/>
    <x v="0"/>
    <n v="0"/>
    <n v="0"/>
    <n v="1"/>
    <x v="0"/>
  </r>
  <r>
    <x v="0"/>
    <s v="EU Vocabularies Authority tables"/>
    <m/>
    <m/>
    <s v="OP"/>
    <s v="1.0.0"/>
    <m/>
    <x v="0"/>
    <x v="0"/>
    <x v="0"/>
    <n v="0"/>
    <n v="0"/>
    <n v="2"/>
    <x v="0"/>
  </r>
  <r>
    <x v="0"/>
    <s v="ITU-T X.1752: Security guidelines for big data infrastructure and platform"/>
    <m/>
    <s v="ITU-T X.1752"/>
    <s v="ITU"/>
    <s v="1.0.0"/>
    <m/>
    <x v="13"/>
    <x v="0"/>
    <x v="1"/>
    <n v="0"/>
    <n v="1"/>
    <n v="0"/>
    <x v="0"/>
  </r>
  <r>
    <x v="0"/>
    <s v="CloudEvents"/>
    <m/>
    <m/>
    <s v="CNCF"/>
    <s v="1.0.2"/>
    <m/>
    <x v="8"/>
    <x v="1"/>
    <x v="0"/>
    <n v="0"/>
    <n v="0"/>
    <n v="1"/>
    <x v="0"/>
  </r>
  <r>
    <x v="0"/>
    <s v="Risk Analysis and Assessment Modeling Language (RAAML)"/>
    <s v="RAAML"/>
    <m/>
    <s v="OMG"/>
    <s v="1.0.0"/>
    <m/>
    <x v="1"/>
    <x v="1"/>
    <x v="0"/>
    <n v="0"/>
    <n v="0"/>
    <n v="0"/>
    <x v="0"/>
  </r>
  <r>
    <x v="0"/>
    <s v="D&amp;S-001 EDC Discovery API"/>
    <m/>
    <m/>
    <s v="CATENA-X"/>
    <s v="2.1.0"/>
    <m/>
    <x v="7"/>
    <x v="0"/>
    <x v="5"/>
    <n v="0"/>
    <n v="0"/>
    <n v="0"/>
    <x v="0"/>
  </r>
  <r>
    <x v="0"/>
    <s v="eDelivery Access Point (AP) Domibus"/>
    <s v="AP"/>
    <s v="eDelivery AP Domibus"/>
    <s v="EC"/>
    <s v="4.2.7"/>
    <m/>
    <x v="1"/>
    <x v="5"/>
    <x v="0"/>
    <n v="0"/>
    <n v="0"/>
    <n v="0"/>
    <x v="1"/>
  </r>
  <r>
    <x v="0"/>
    <s v="ISO/IEC 14662:2010 Information technology — Open-edi reference model"/>
    <s v="Open-edi"/>
    <s v="ISO/IEC 14662:2010"/>
    <s v="ISO"/>
    <s v="3.0.0"/>
    <m/>
    <x v="0"/>
    <x v="0"/>
    <x v="0"/>
    <n v="0"/>
    <n v="0"/>
    <n v="1"/>
    <x v="0"/>
  </r>
  <r>
    <x v="0"/>
    <s v="Web Ontology Language (OWL2)"/>
    <s v="OWL2"/>
    <m/>
    <s v="W3C"/>
    <s v="2.0.0"/>
    <m/>
    <x v="0"/>
    <x v="0"/>
    <x v="0"/>
    <n v="0"/>
    <n v="0"/>
    <n v="3"/>
    <x v="1"/>
  </r>
  <r>
    <x v="0"/>
    <s v="ISO/IEC 19944-1:2020 - Cloud computing and distributed platforms ─ Data flow, data categories and data use — Part 1: Fundamentals"/>
    <m/>
    <s v="ISO/IEC 19944-1:2020"/>
    <s v="ISO"/>
    <s v="1.0.0"/>
    <m/>
    <x v="15"/>
    <x v="0"/>
    <x v="0"/>
    <n v="0"/>
    <n v="2"/>
    <n v="2"/>
    <x v="1"/>
  </r>
  <r>
    <x v="0"/>
    <s v="SmartM2M; Extension to SAREF;  Part 4: Smart Cities Domain (ETSI TS 103 410-4)"/>
    <m/>
    <s v="ETSI TS 103 410-4"/>
    <s v="ETSI"/>
    <s v="2.1.1"/>
    <m/>
    <x v="0"/>
    <x v="0"/>
    <x v="0"/>
    <n v="0"/>
    <n v="0"/>
    <n v="3"/>
    <x v="0"/>
  </r>
  <r>
    <x v="0"/>
    <s v="X.509: Information technology - Open Systems Interconnection - The Directory: Public-key and attribute certificate frameworks"/>
    <m/>
    <s v="Recommendation X.509 (10/19)"/>
    <s v="ITU"/>
    <s v="1.0.0"/>
    <m/>
    <x v="7"/>
    <x v="0"/>
    <x v="1"/>
    <n v="0"/>
    <n v="0"/>
    <n v="0"/>
    <x v="0"/>
  </r>
  <r>
    <x v="0"/>
    <s v="eIDAS Interoperability Architecture"/>
    <m/>
    <m/>
    <s v="EC"/>
    <s v="1.2.0"/>
    <m/>
    <x v="12"/>
    <x v="0"/>
    <x v="0"/>
    <n v="0"/>
    <n v="0"/>
    <n v="0"/>
    <x v="0"/>
  </r>
  <r>
    <x v="0"/>
    <s v="Data Quality Vocabulary (DQV)"/>
    <s v="DQV"/>
    <m/>
    <s v="W3C"/>
    <s v="0.8.0"/>
    <m/>
    <x v="5"/>
    <x v="0"/>
    <x v="1"/>
    <n v="0"/>
    <n v="0"/>
    <n v="10"/>
    <x v="1"/>
  </r>
  <r>
    <x v="0"/>
    <s v="Hypertext Transfer Protocol (HTTP) (RFCs 7230-7237)"/>
    <s v="HTTP"/>
    <s v="RFCs 7230-7237"/>
    <s v="IETF"/>
    <s v="1.1.0"/>
    <m/>
    <x v="7"/>
    <x v="0"/>
    <x v="1"/>
    <n v="0"/>
    <n v="0"/>
    <n v="0"/>
    <x v="2"/>
  </r>
  <r>
    <x v="0"/>
    <s v="Identity of Member Companies (IAM - 001 Identity of Member Companies)"/>
    <m/>
    <m/>
    <s v="CATENA-X"/>
    <s v="2.1.0"/>
    <m/>
    <x v="13"/>
    <x v="0"/>
    <x v="5"/>
    <n v="0"/>
    <n v="1"/>
    <n v="0"/>
    <x v="0"/>
  </r>
  <r>
    <x v="0"/>
    <s v="Linked Data Platform (LDP)"/>
    <s v="LDP"/>
    <m/>
    <s v="W3C"/>
    <s v="1.0.0"/>
    <m/>
    <x v="0"/>
    <x v="0"/>
    <x v="0"/>
    <n v="0"/>
    <n v="0"/>
    <n v="3"/>
    <x v="0"/>
  </r>
  <r>
    <x v="0"/>
    <s v="ETSI TS 103 523-5 CYBER; Middlebox Security Protocol; Part 5: CYBER; Middlebox Security Protocol; Part 5: Enterprise Network Security"/>
    <m/>
    <s v="ETSI TS 103 523-5"/>
    <s v="ETSI"/>
    <s v="1.1.1"/>
    <m/>
    <x v="2"/>
    <x v="0"/>
    <x v="0"/>
    <n v="0"/>
    <n v="2"/>
    <n v="0"/>
    <x v="0"/>
  </r>
  <r>
    <x v="0"/>
    <s v="Preservation Metadata: Implementation Strategies (PREMIS)"/>
    <s v="PREMIS"/>
    <m/>
    <s v="LoC"/>
    <s v="3.0.0"/>
    <m/>
    <x v="5"/>
    <x v="0"/>
    <x v="1"/>
    <n v="0"/>
    <n v="0"/>
    <n v="5"/>
    <x v="0"/>
  </r>
  <r>
    <x v="0"/>
    <s v="Event Stream Extensions for AMQP"/>
    <m/>
    <m/>
    <s v="OASIS"/>
    <s v="1.0.0"/>
    <m/>
    <x v="7"/>
    <x v="0"/>
    <x v="1"/>
    <n v="0"/>
    <n v="0"/>
    <n v="0"/>
    <x v="0"/>
  </r>
  <r>
    <x v="0"/>
    <s v="European Legislation Identifier (ELI)"/>
    <s v="ELI"/>
    <m/>
    <s v="OP"/>
    <s v="1.0.0"/>
    <m/>
    <x v="16"/>
    <x v="0"/>
    <x v="0"/>
    <n v="2"/>
    <n v="0"/>
    <n v="1"/>
    <x v="2"/>
  </r>
  <r>
    <x v="0"/>
    <s v="Y.4472 Open data application programming interfaces (APIs) for IoT data in smart cities and communities"/>
    <m/>
    <s v="Y.4472"/>
    <s v="ITU"/>
    <s v="1.0.0"/>
    <m/>
    <x v="6"/>
    <x v="2"/>
    <x v="5"/>
    <n v="0"/>
    <n v="0"/>
    <n v="0"/>
    <x v="0"/>
  </r>
  <r>
    <x v="0"/>
    <s v="Spatial Data on the Web Best Practices"/>
    <m/>
    <m/>
    <s v="W3C"/>
    <s v="1.0.0"/>
    <m/>
    <x v="7"/>
    <x v="0"/>
    <x v="1"/>
    <n v="0"/>
    <n v="0"/>
    <n v="0"/>
    <x v="0"/>
  </r>
  <r>
    <x v="0"/>
    <s v="Linked Open Data Vocabularies LOD Vocabularies"/>
    <m/>
    <s v="LOD Vocabularies"/>
    <s v="LOV"/>
    <s v="1.0.0"/>
    <m/>
    <x v="0"/>
    <x v="0"/>
    <x v="0"/>
    <n v="0"/>
    <n v="0"/>
    <n v="1"/>
    <x v="0"/>
  </r>
  <r>
    <x v="0"/>
    <s v="Resource Description Framework Schema (RDFS)"/>
    <s v="RDFS"/>
    <m/>
    <s v="W3C"/>
    <s v="1.1.0"/>
    <m/>
    <x v="0"/>
    <x v="0"/>
    <x v="0"/>
    <n v="0"/>
    <n v="0"/>
    <n v="6"/>
    <x v="0"/>
  </r>
  <r>
    <x v="0"/>
    <s v="Web Application Description Language (WADL)"/>
    <s v="WADL"/>
    <m/>
    <s v="W3C"/>
    <s v="1.0.0"/>
    <m/>
    <x v="7"/>
    <x v="0"/>
    <x v="1"/>
    <n v="0"/>
    <n v="0"/>
    <n v="0"/>
    <x v="0"/>
  </r>
  <r>
    <x v="0"/>
    <s v="Core Public Service Vocabulary Application Profile (CPSV-AP) 3.2.0"/>
    <s v="CPSV-AP"/>
    <m/>
    <s v="EC"/>
    <s v="3.2.0"/>
    <m/>
    <x v="10"/>
    <x v="0"/>
    <x v="3"/>
    <n v="0"/>
    <n v="1"/>
    <n v="14"/>
    <x v="0"/>
  </r>
  <r>
    <x v="0"/>
    <s v="Confidentiality Metadata Label Syntax"/>
    <m/>
    <m/>
    <s v="NATO"/>
    <s v="1.0.0"/>
    <m/>
    <x v="0"/>
    <x v="0"/>
    <x v="0"/>
    <n v="0"/>
    <n v="0"/>
    <n v="3"/>
    <x v="0"/>
  </r>
  <r>
    <x v="0"/>
    <s v="CAdES (CMS Advanced Electronic Signature) Baseline Profile"/>
    <s v="CAdES"/>
    <m/>
    <s v="ETSI"/>
    <s v="2.2.1"/>
    <m/>
    <x v="7"/>
    <x v="0"/>
    <x v="6"/>
    <n v="0"/>
    <n v="0"/>
    <n v="0"/>
    <x v="1"/>
  </r>
  <r>
    <x v="0"/>
    <s v="COMMISSION IMPLEMENTING REGULATION (EU) 2015/1501 on the interoperability framework pursuant to Article 12(8) of Regulation (EU) No 910/2014 of the European Parliament and of the Council on electronic identification and trust services for electronic transactions in the internal market"/>
    <m/>
    <s v="Regulation 2015/1501/EU"/>
    <s v="OP"/>
    <s v="L 235/1"/>
    <m/>
    <x v="9"/>
    <x v="0"/>
    <x v="0"/>
    <n v="5"/>
    <n v="0"/>
    <n v="0"/>
    <x v="0"/>
  </r>
  <r>
    <x v="0"/>
    <s v="ODRL Vocabulary &amp; Expression 2.2"/>
    <s v="ODRL"/>
    <m/>
    <s v="W3C"/>
    <s v="2.2.0"/>
    <m/>
    <x v="17"/>
    <x v="0"/>
    <x v="5"/>
    <n v="5"/>
    <n v="0"/>
    <n v="1"/>
    <x v="2"/>
  </r>
  <r>
    <x v="0"/>
    <s v="Semantic Treehouse"/>
    <m/>
    <m/>
    <s v="TNO"/>
    <s v="2.19.1"/>
    <m/>
    <x v="5"/>
    <x v="0"/>
    <x v="3"/>
    <n v="0"/>
    <n v="0"/>
    <n v="1"/>
    <x v="0"/>
  </r>
  <r>
    <x v="0"/>
    <s v="ISO 15489-1:2016 Information and documentation — Records management — Part 1: Concepts and principles"/>
    <m/>
    <s v="ISO 15489-1"/>
    <s v="ISO"/>
    <s v="2.0.0"/>
    <m/>
    <x v="7"/>
    <x v="0"/>
    <x v="1"/>
    <n v="0"/>
    <n v="0"/>
    <n v="0"/>
    <x v="0"/>
  </r>
  <r>
    <x v="0"/>
    <s v="Peppol Transport Infrastructure Service Metadata Publishing (Peppol SMP)"/>
    <s v="SMP"/>
    <m/>
    <s v="PEPPOL"/>
    <s v="1.2.0"/>
    <m/>
    <x v="7"/>
    <x v="0"/>
    <x v="1"/>
    <n v="0"/>
    <n v="0"/>
    <n v="0"/>
    <x v="0"/>
  </r>
  <r>
    <x v="0"/>
    <s v="Peppol Policy for Transport Security"/>
    <m/>
    <m/>
    <s v="PEPPOL"/>
    <s v="1.1.0"/>
    <m/>
    <x v="7"/>
    <x v="0"/>
    <x v="5"/>
    <n v="0"/>
    <n v="0"/>
    <n v="0"/>
    <x v="0"/>
  </r>
  <r>
    <x v="0"/>
    <s v="Digital Single Market - Modernising VAT for cross border e-Commerce - Explanatory Notes on VAT e-commerce rules"/>
    <m/>
    <m/>
    <s v="OP"/>
    <s v="September 2020"/>
    <m/>
    <x v="9"/>
    <x v="0"/>
    <x v="0"/>
    <n v="1"/>
    <n v="0"/>
    <n v="0"/>
    <x v="0"/>
  </r>
  <r>
    <x v="0"/>
    <s v="REGULATION OF THE EUROPEAN PARLIAMENT AND OF THE COUNCIL on European data governance"/>
    <m/>
    <m/>
    <s v="OP"/>
    <s v="1.0.0"/>
    <m/>
    <x v="18"/>
    <x v="0"/>
    <x v="0"/>
    <n v="1"/>
    <n v="3"/>
    <n v="6"/>
    <x v="0"/>
  </r>
  <r>
    <x v="0"/>
    <s v="Universal Description, Discovery, and Integration (UDDI)"/>
    <s v="UDDI"/>
    <m/>
    <s v="OASIS"/>
    <s v="3.0.2"/>
    <m/>
    <x v="7"/>
    <x v="0"/>
    <x v="3"/>
    <n v="0"/>
    <n v="0"/>
    <n v="0"/>
    <x v="1"/>
  </r>
  <r>
    <x v="0"/>
    <s v="ISO/IEC/IEEE 24748-2:2024 Systems and software engineering — Life cycle management Part 2: Guidelines for the application of ISO/IEC/IEEE 15288 (system life cycle processes)"/>
    <m/>
    <s v="ISO/IEC/IEEE 24748"/>
    <s v="ISO"/>
    <s v="2.0.0"/>
    <m/>
    <x v="1"/>
    <x v="2"/>
    <x v="0"/>
    <n v="0"/>
    <n v="0"/>
    <n v="0"/>
    <x v="0"/>
  </r>
  <r>
    <x v="0"/>
    <s v="Electronic Signatures and Infrastructures (ESI); CAdES digital signatures; Part 1: Building blocks and CAdES baseline signatures (ETSI EN 319 122-1)"/>
    <s v="CAdES"/>
    <s v="ETSI EN 319 122-1"/>
    <s v="ETSI"/>
    <s v="1.2.1"/>
    <m/>
    <x v="7"/>
    <x v="0"/>
    <x v="2"/>
    <n v="0"/>
    <n v="0"/>
    <n v="0"/>
    <x v="0"/>
  </r>
  <r>
    <x v="0"/>
    <s v="OpenID for Verifiable Presentations (OID4VP)"/>
    <s v="OID4VP"/>
    <m/>
    <s v="OpenID Foundation"/>
    <s v="2.0.0"/>
    <m/>
    <x v="6"/>
    <x v="1"/>
    <x v="5"/>
    <n v="0"/>
    <n v="0"/>
    <n v="0"/>
    <x v="0"/>
  </r>
  <r>
    <x v="0"/>
    <s v="Syslog Protocol"/>
    <m/>
    <m/>
    <s v="IETF"/>
    <s v="23.0.0"/>
    <m/>
    <x v="1"/>
    <x v="5"/>
    <x v="0"/>
    <n v="0"/>
    <n v="0"/>
    <n v="0"/>
    <x v="1"/>
  </r>
  <r>
    <x v="0"/>
    <s v="SOAP 1.2"/>
    <s v="SOAP"/>
    <m/>
    <s v="W3C"/>
    <s v="1.2.0"/>
    <m/>
    <x v="7"/>
    <x v="0"/>
    <x v="2"/>
    <n v="0"/>
    <n v="0"/>
    <n v="0"/>
    <x v="2"/>
  </r>
  <r>
    <x v="0"/>
    <s v="eDelivery ebCore Party Id"/>
    <m/>
    <m/>
    <s v="EC"/>
    <s v="1.4.0"/>
    <m/>
    <x v="0"/>
    <x v="0"/>
    <x v="0"/>
    <n v="0"/>
    <n v="0"/>
    <n v="1"/>
    <x v="0"/>
  </r>
  <r>
    <x v="0"/>
    <s v="ISO/IEC 18045:2022 Information security, cybersecurity and privacy protection — Evaluation criteria for IT security — Methodology for IT security evaluation"/>
    <m/>
    <s v="ISO/IEC 18045:2022"/>
    <s v="ISO"/>
    <s v="1"/>
    <m/>
    <x v="7"/>
    <x v="0"/>
    <x v="7"/>
    <n v="0"/>
    <n v="0"/>
    <n v="0"/>
    <x v="0"/>
  </r>
  <r>
    <x v="0"/>
    <s v="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m/>
    <s v="Regulation 2015/1502/EU"/>
    <s v="EC"/>
    <s v="L 235/7"/>
    <m/>
    <x v="9"/>
    <x v="0"/>
    <x v="0"/>
    <n v="5"/>
    <n v="0"/>
    <n v="0"/>
    <x v="0"/>
  </r>
  <r>
    <x v="0"/>
    <s v="X.1252 : Baseline identity management terms and definitions"/>
    <m/>
    <s v="ITU-T X.1252"/>
    <s v="ITU"/>
    <s v="1.0.0"/>
    <m/>
    <x v="6"/>
    <x v="1"/>
    <x v="6"/>
    <n v="0"/>
    <n v="0"/>
    <n v="0"/>
    <x v="0"/>
  </r>
  <r>
    <x v="0"/>
    <s v="E-ARK Archival Information Packages (AIP)"/>
    <s v="AIP"/>
    <m/>
    <s v="DILCIS Board"/>
    <s v="2.1.0"/>
    <m/>
    <x v="7"/>
    <x v="0"/>
    <x v="1"/>
    <n v="0"/>
    <n v="0"/>
    <n v="0"/>
    <x v="0"/>
  </r>
  <r>
    <x v="0"/>
    <s v="Core Accessibility API Mappings"/>
    <m/>
    <m/>
    <s v="W3C"/>
    <s v="1.1.0"/>
    <m/>
    <x v="7"/>
    <x v="0"/>
    <x v="5"/>
    <n v="0"/>
    <n v="0"/>
    <n v="0"/>
    <x v="0"/>
  </r>
  <r>
    <x v="0"/>
    <s v="ISO/IEC 19763 Series Information technology — Metamodel framework for interoperability (MFI)"/>
    <s v="MFI"/>
    <s v="ISO/IEC 19763 MFI"/>
    <s v="ISO"/>
    <s v="1.0.0"/>
    <m/>
    <x v="0"/>
    <x v="0"/>
    <x v="0"/>
    <n v="0"/>
    <n v="0"/>
    <n v="2"/>
    <x v="0"/>
  </r>
  <r>
    <x v="0"/>
    <s v="Web Share API"/>
    <m/>
    <m/>
    <s v="W3C"/>
    <s v="0.9.0"/>
    <m/>
    <x v="7"/>
    <x v="0"/>
    <x v="1"/>
    <n v="0"/>
    <n v="0"/>
    <n v="0"/>
    <x v="0"/>
  </r>
  <r>
    <x v="0"/>
    <s v="OpenID4VC High-Assurance Interoperability Profile (HAIP) with SD-JWT VC"/>
    <m/>
    <s v="OpenID4VC HAIP"/>
    <s v="OpenID"/>
    <s v="1.0.0"/>
    <m/>
    <x v="1"/>
    <x v="1"/>
    <x v="0"/>
    <n v="0"/>
    <n v="0"/>
    <n v="0"/>
    <x v="0"/>
  </r>
  <r>
    <x v="0"/>
    <s v="Cyber Security for Consumer Internet of Things Baseline Requirements (EN 303 645 3.1.3)"/>
    <m/>
    <s v="EN 303 645"/>
    <s v="ETSI"/>
    <s v="3.1.3"/>
    <m/>
    <x v="2"/>
    <x v="0"/>
    <x v="0"/>
    <n v="0"/>
    <n v="2"/>
    <n v="0"/>
    <x v="0"/>
  </r>
  <r>
    <x v="0"/>
    <s v="XML Schema Definition Language (XSD) 1.1 Part 1: Structures"/>
    <s v="XSD"/>
    <m/>
    <s v="W3C"/>
    <s v="1.1.0"/>
    <m/>
    <x v="0"/>
    <x v="0"/>
    <x v="0"/>
    <n v="0"/>
    <n v="0"/>
    <n v="3"/>
    <x v="2"/>
  </r>
  <r>
    <x v="0"/>
    <s v="System for Cross-domain Identity Management (SCIM) Protocol (RFC 7644)"/>
    <s v="SCIM"/>
    <s v="RFC 7644"/>
    <s v="IETF"/>
    <s v="22.0.0"/>
    <m/>
    <x v="6"/>
    <x v="2"/>
    <x v="4"/>
    <n v="0"/>
    <n v="0"/>
    <n v="0"/>
    <x v="0"/>
  </r>
  <r>
    <x v="0"/>
    <s v="data.europe.eu (DEU)"/>
    <s v="DEU"/>
    <m/>
    <s v="OP"/>
    <s v="1.0.0"/>
    <m/>
    <x v="8"/>
    <x v="1"/>
    <x v="0"/>
    <n v="0"/>
    <n v="0"/>
    <n v="2"/>
    <x v="0"/>
  </r>
  <r>
    <x v="0"/>
    <s v="Directive 2014/23/EU of the European Parliament and of the Council of 26 February 2014 on the award of concession contracts Text with EEA relevance"/>
    <m/>
    <s v="Directive 2014/23/EU"/>
    <s v="OP"/>
    <s v="L 94/1"/>
    <m/>
    <x v="9"/>
    <x v="0"/>
    <x v="0"/>
    <n v="1"/>
    <n v="0"/>
    <n v="0"/>
    <x v="0"/>
  </r>
  <r>
    <x v="0"/>
    <s v="OData"/>
    <s v="OData"/>
    <m/>
    <s v="OASIS"/>
    <s v="4.1.0"/>
    <m/>
    <x v="7"/>
    <x v="0"/>
    <x v="1"/>
    <n v="0"/>
    <n v="0"/>
    <n v="0"/>
    <x v="1"/>
  </r>
  <r>
    <x v="0"/>
    <s v="Securing Artificial Intelligence (SAI); AI Threat Ontology and definitions (ETSI TS 104 050)"/>
    <m/>
    <s v="ETSI TS 104 050"/>
    <s v="ETSI"/>
    <s v="1.1.1"/>
    <m/>
    <x v="15"/>
    <x v="0"/>
    <x v="0"/>
    <n v="0"/>
    <n v="1"/>
    <n v="3"/>
    <x v="0"/>
  </r>
  <r>
    <x v="0"/>
    <s v="IEEE P3652.1, Guide for Architectural Framework and Application of Federated Machine Learning"/>
    <m/>
    <s v="IEEE P3652.1"/>
    <s v="IEEE"/>
    <s v="1.0.0"/>
    <m/>
    <x v="4"/>
    <x v="1"/>
    <x v="0"/>
    <n v="0"/>
    <n v="1"/>
    <n v="0"/>
    <x v="0"/>
  </r>
  <r>
    <x v="0"/>
    <s v="ETSI TS 133 501 5G; Security architecture and procedures for 5G System (3GPP TS 33.501 version 18.6.0 Release 18)"/>
    <s v="ETSI TS 133 501 5G"/>
    <m/>
    <s v="ETSI"/>
    <s v="18.6.0"/>
    <m/>
    <x v="6"/>
    <x v="1"/>
    <x v="1"/>
    <n v="0"/>
    <n v="0"/>
    <n v="0"/>
    <x v="0"/>
  </r>
  <r>
    <x v="0"/>
    <s v="IDSA Rulebook"/>
    <m/>
    <m/>
    <s v="IDSA"/>
    <s v="2.0.0"/>
    <m/>
    <x v="0"/>
    <x v="0"/>
    <x v="0"/>
    <n v="0"/>
    <n v="0"/>
    <n v="2"/>
    <x v="0"/>
  </r>
  <r>
    <x v="0"/>
    <s v="EDC (SOV-001 Eclipse Data Space Connector)"/>
    <s v="EDC"/>
    <m/>
    <s v="CATENA-X"/>
    <s v="1.0.0"/>
    <m/>
    <x v="7"/>
    <x v="0"/>
    <x v="5"/>
    <n v="0"/>
    <n v="0"/>
    <n v="0"/>
    <x v="0"/>
  </r>
  <r>
    <x v="0"/>
    <s v="Electronic Signatures and Infrastructures (ESI); Registered Electronic Mail (REM) Services; Part 3: Formats (ETSI EN 319 532-3)"/>
    <m/>
    <s v="ETSI EN 319 532-3"/>
    <s v="ETSI"/>
    <s v="1.2.1"/>
    <m/>
    <x v="12"/>
    <x v="0"/>
    <x v="0"/>
    <n v="0"/>
    <n v="0"/>
    <n v="0"/>
    <x v="0"/>
  </r>
  <r>
    <x v="0"/>
    <s v="eProcurement Ontology"/>
    <s v="ePO"/>
    <m/>
    <s v="EC"/>
    <s v="3.0.0"/>
    <m/>
    <x v="0"/>
    <x v="0"/>
    <x v="0"/>
    <n v="0"/>
    <n v="0"/>
    <n v="1"/>
    <x v="0"/>
  </r>
  <r>
    <x v="0"/>
    <s v="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m/>
    <m/>
    <s v="OP"/>
    <s v="L 295/39"/>
    <m/>
    <x v="0"/>
    <x v="0"/>
    <x v="0"/>
    <n v="0"/>
    <n v="0"/>
    <n v="1"/>
    <x v="0"/>
  </r>
  <r>
    <x v="0"/>
    <s v="Workflow Execution Service (WES) API"/>
    <s v="WES API"/>
    <m/>
    <s v="GA4GH"/>
    <s v="1.0.0"/>
    <m/>
    <x v="1"/>
    <x v="5"/>
    <x v="0"/>
    <n v="0"/>
    <n v="0"/>
    <n v="0"/>
    <x v="0"/>
  </r>
  <r>
    <x v="0"/>
    <s v="EPUB"/>
    <s v="EPUB"/>
    <m/>
    <s v="W3C"/>
    <s v="3.2.0"/>
    <m/>
    <x v="16"/>
    <x v="0"/>
    <x v="0"/>
    <n v="1"/>
    <n v="0"/>
    <n v="1"/>
    <x v="0"/>
  </r>
  <r>
    <x v="0"/>
    <s v="Cascading Style Sheets (CSS) v2.1"/>
    <s v="CSS"/>
    <m/>
    <s v="W3C"/>
    <s v="2.1.0"/>
    <m/>
    <x v="12"/>
    <x v="0"/>
    <x v="0"/>
    <n v="0"/>
    <n v="0"/>
    <n v="0"/>
    <x v="0"/>
  </r>
  <r>
    <x v="0"/>
    <s v="ITU-T Y.3605  Big data reference architecture"/>
    <m/>
    <s v="ITU-T Y.3605"/>
    <s v="ITU"/>
    <s v="1.0.0"/>
    <m/>
    <x v="7"/>
    <x v="0"/>
    <x v="1"/>
    <n v="0"/>
    <n v="0"/>
    <n v="0"/>
    <x v="0"/>
  </r>
  <r>
    <x v="0"/>
    <s v="DIRECTIVE (EU) 2015/2366 OF THE EUROPEAN PARLIAMENT AND OF THE COUNCIL of 25 November 2015 on payment services in the internal market, amending Directives 2002/65/EC, 2009/110/EC and 2013/36/EU and Regulation (EU) No 1093/2010, and repealing Directive 2007/64/EC"/>
    <m/>
    <s v="Directive 2015/2366/EU"/>
    <s v="OP"/>
    <s v="L 337/35"/>
    <m/>
    <x v="9"/>
    <x v="0"/>
    <x v="0"/>
    <n v="5"/>
    <n v="0"/>
    <n v="0"/>
    <x v="0"/>
  </r>
  <r>
    <x v="0"/>
    <s v="CSV on the Web"/>
    <s v="CSVW"/>
    <m/>
    <s v="CSV on the Web Working Group"/>
    <s v="1.0.0"/>
    <m/>
    <x v="5"/>
    <x v="0"/>
    <x v="1"/>
    <n v="0"/>
    <n v="0"/>
    <n v="2"/>
    <x v="0"/>
  </r>
  <r>
    <x v="0"/>
    <s v="Key performance indicators for smart sustainable cities to assess the achievement of sustainable development goals"/>
    <m/>
    <s v="ITU-T Y.4903"/>
    <s v="ITU"/>
    <s v="2.0.0"/>
    <m/>
    <x v="2"/>
    <x v="0"/>
    <x v="0"/>
    <n v="0"/>
    <n v="2"/>
    <n v="0"/>
    <x v="0"/>
  </r>
  <r>
    <x v="0"/>
    <s v="OWL-based Web Service Ontology (OWL-S)"/>
    <s v="OWL-S"/>
    <m/>
    <s v="W3C"/>
    <s v="1.0.0"/>
    <m/>
    <x v="0"/>
    <x v="0"/>
    <x v="0"/>
    <n v="0"/>
    <n v="0"/>
    <n v="2"/>
    <x v="0"/>
  </r>
  <r>
    <x v="0"/>
    <s v="G8 Open Data Charter"/>
    <m/>
    <m/>
    <s v="ODC"/>
    <s v="1.0.0"/>
    <m/>
    <x v="2"/>
    <x v="0"/>
    <x v="0"/>
    <n v="0"/>
    <n v="1"/>
    <n v="0"/>
    <x v="0"/>
  </r>
  <r>
    <x v="0"/>
    <s v="ISO/IEC 27000:2018 Information technology — Security techniques — Information security management systems — Overview and vocabulary"/>
    <m/>
    <s v="ISO/IEC 27000:2018"/>
    <s v="ISO"/>
    <s v="5.0.0"/>
    <m/>
    <x v="4"/>
    <x v="1"/>
    <x v="0"/>
    <n v="0"/>
    <n v="2"/>
    <n v="0"/>
    <x v="0"/>
  </r>
  <r>
    <x v="0"/>
    <s v="IDSA Dataspace Protocol"/>
    <m/>
    <m/>
    <s v="IDSA"/>
    <s v="1.0.0"/>
    <m/>
    <x v="7"/>
    <x v="0"/>
    <x v="7"/>
    <n v="0"/>
    <n v="0"/>
    <n v="0"/>
    <x v="1"/>
  </r>
  <r>
    <x v="0"/>
    <s v="Comma-Separated Values (CSV) (RFC 4180)"/>
    <s v="CSV"/>
    <s v="RFC 4180"/>
    <s v="IETF"/>
    <s v="5.0.0"/>
    <m/>
    <x v="0"/>
    <x v="0"/>
    <x v="0"/>
    <n v="0"/>
    <n v="0"/>
    <n v="2"/>
    <x v="2"/>
  </r>
  <r>
    <x v="0"/>
    <s v="File Transfer Protocol (FTP) (RFC 959)"/>
    <s v="FTP"/>
    <s v="RFC 959"/>
    <s v="IETF"/>
    <s v="1.0.0"/>
    <m/>
    <x v="6"/>
    <x v="5"/>
    <x v="1"/>
    <n v="0"/>
    <n v="0"/>
    <n v="0"/>
    <x v="2"/>
  </r>
  <r>
    <x v="0"/>
    <s v="Domain-based Message Authentication, Reporting &amp; Conformance (DMARC)"/>
    <s v="DMARC"/>
    <m/>
    <s v="IETF"/>
    <s v="13.0.0"/>
    <m/>
    <x v="5"/>
    <x v="0"/>
    <x v="1"/>
    <n v="0"/>
    <n v="0"/>
    <n v="3"/>
    <x v="0"/>
  </r>
  <r>
    <x v="0"/>
    <s v="Code List Representation (genericode)"/>
    <m/>
    <s v="genericode"/>
    <s v="OASIS"/>
    <s v="1.0.0"/>
    <m/>
    <x v="0"/>
    <x v="0"/>
    <x v="0"/>
    <n v="0"/>
    <n v="0"/>
    <n v="3"/>
    <x v="1"/>
  </r>
  <r>
    <x v="0"/>
    <s v="Software Independent Archival of Relational Databases (SIARD) format specification"/>
    <s v="SIARD"/>
    <m/>
    <s v="SAF"/>
    <s v="2.2.0"/>
    <m/>
    <x v="7"/>
    <x v="0"/>
    <x v="1"/>
    <n v="0"/>
    <n v="0"/>
    <n v="0"/>
    <x v="0"/>
  </r>
  <r>
    <x v="0"/>
    <s v="Research Data Repository Interoperability Recommendations"/>
    <m/>
    <m/>
    <s v="RDA"/>
    <s v="None"/>
    <m/>
    <x v="12"/>
    <x v="0"/>
    <x v="0"/>
    <n v="0"/>
    <n v="0"/>
    <n v="0"/>
    <x v="0"/>
  </r>
  <r>
    <x v="0"/>
    <s v="ISO/TS 10020:2022 Quality management systems - Organizational change management - Processes"/>
    <m/>
    <s v="ISO/TS 10020:2022"/>
    <s v="ISO"/>
    <s v="1.0.0"/>
    <m/>
    <x v="2"/>
    <x v="0"/>
    <x v="0"/>
    <n v="0"/>
    <n v="1"/>
    <n v="0"/>
    <x v="0"/>
  </r>
  <r>
    <x v="0"/>
    <s v="Accessibility requirements for ICT products and services (EN 301 549)"/>
    <m/>
    <s v="EN 301 549"/>
    <s v="ETSI"/>
    <s v="3.2.1"/>
    <m/>
    <x v="2"/>
    <x v="0"/>
    <x v="0"/>
    <n v="0"/>
    <n v="1"/>
    <n v="0"/>
    <x v="0"/>
  </r>
  <r>
    <x v="0"/>
    <s v="Storage Management Initiative Specification (SMI-S)"/>
    <s v="SMI-S"/>
    <m/>
    <s v="SNIA"/>
    <s v="1.8.0"/>
    <m/>
    <x v="1"/>
    <x v="2"/>
    <x v="0"/>
    <n v="0"/>
    <n v="0"/>
    <n v="0"/>
    <x v="0"/>
  </r>
  <r>
    <x v="0"/>
    <s v="Data Catalog Vocabulary (DCAT) - Version 3"/>
    <s v="DCAT"/>
    <m/>
    <s v="W3C"/>
    <s v="3.0.0"/>
    <m/>
    <x v="5"/>
    <x v="0"/>
    <x v="2"/>
    <n v="0"/>
    <n v="0"/>
    <n v="10"/>
    <x v="0"/>
  </r>
  <r>
    <x v="0"/>
    <s v="Statistical Data and Metadata Exchange (SDMX)"/>
    <s v="SDMX"/>
    <m/>
    <s v="SDMX Initiative"/>
    <s v="3.0.0"/>
    <m/>
    <x v="0"/>
    <x v="0"/>
    <x v="0"/>
    <n v="0"/>
    <n v="0"/>
    <n v="1"/>
    <x v="0"/>
  </r>
  <r>
    <x v="0"/>
    <s v="CEN/CWA 18125 :2024 ‘Trusted Data Transaction'"/>
    <m/>
    <s v="Trusted Data Transaction"/>
    <s v="CEN-CENELEC"/>
    <s v="1.0.0"/>
    <m/>
    <x v="0"/>
    <x v="0"/>
    <x v="0"/>
    <n v="0"/>
    <n v="0"/>
    <n v="4"/>
    <x v="0"/>
  </r>
  <r>
    <x v="0"/>
    <s v="Internet Protocol Security (IPSec)"/>
    <s v="IPSec"/>
    <m/>
    <s v="IETF"/>
    <s v="6.0.0"/>
    <m/>
    <x v="6"/>
    <x v="1"/>
    <x v="1"/>
    <n v="0"/>
    <n v="0"/>
    <n v="0"/>
    <x v="3"/>
  </r>
  <r>
    <x v="0"/>
    <s v="X.509 Internet Public Key Infrastructure Online Certificate Status Protocol - OCSP"/>
    <s v="OCSP"/>
    <s v="RFC 6960"/>
    <s v="IETF"/>
    <s v="8.0.0"/>
    <m/>
    <x v="7"/>
    <x v="0"/>
    <x v="5"/>
    <n v="0"/>
    <n v="0"/>
    <n v="0"/>
    <x v="1"/>
  </r>
  <r>
    <x v="0"/>
    <s v="MyData Data Connection Specification"/>
    <m/>
    <m/>
    <s v="HIIT"/>
    <s v="1.2.1"/>
    <m/>
    <x v="7"/>
    <x v="0"/>
    <x v="3"/>
    <n v="0"/>
    <n v="0"/>
    <n v="0"/>
    <x v="0"/>
  </r>
  <r>
    <x v="0"/>
    <s v="Geography Markup Language (GML)"/>
    <s v="GML"/>
    <m/>
    <s v="OGC"/>
    <s v="3.3.0"/>
    <m/>
    <x v="0"/>
    <x v="0"/>
    <x v="0"/>
    <n v="0"/>
    <n v="0"/>
    <n v="4"/>
    <x v="0"/>
  </r>
  <r>
    <x v="0"/>
    <s v="Security framework for the Internet of things based on the gateway model"/>
    <m/>
    <s v="ITU-T X.1361"/>
    <s v="ITU"/>
    <s v="1.0.0"/>
    <m/>
    <x v="12"/>
    <x v="0"/>
    <x v="0"/>
    <n v="0"/>
    <n v="0"/>
    <n v="0"/>
    <x v="0"/>
  </r>
  <r>
    <x v="0"/>
    <s v="ITU-T X.1604 Security requirements of network as a service (NaaS) in cloud computing"/>
    <m/>
    <s v="ITU-T X.1604"/>
    <s v="ITU"/>
    <s v="1.0.0"/>
    <m/>
    <x v="4"/>
    <x v="1"/>
    <x v="0"/>
    <n v="0"/>
    <n v="1"/>
    <n v="0"/>
    <x v="0"/>
  </r>
  <r>
    <x v="0"/>
    <s v="DNS Queries over HTTPS (DoH) RFC 8484"/>
    <s v="DoH"/>
    <s v="RFC 8484"/>
    <s v="IETF"/>
    <s v="14.0.0"/>
    <m/>
    <x v="6"/>
    <x v="1"/>
    <x v="5"/>
    <n v="0"/>
    <n v="0"/>
    <n v="0"/>
    <x v="1"/>
  </r>
  <r>
    <x v="0"/>
    <s v="Data on the Web Best Practices W3C"/>
    <s v="DWBP"/>
    <m/>
    <s v="W3C"/>
    <s v="1.0.0"/>
    <m/>
    <x v="12"/>
    <x v="0"/>
    <x v="0"/>
    <n v="0"/>
    <n v="0"/>
    <n v="0"/>
    <x v="0"/>
  </r>
  <r>
    <x v="0"/>
    <s v="Electronic Signatures and Trust Infrastructures (ESI); Policy and security requirements for  Trust Service Providers issuing certificates; Part 2: Requirements for trust service providers issuing EU qualified certificates (ETSI EN 319 411-2)"/>
    <m/>
    <s v="ETSI EN 319 411-2"/>
    <s v="ETSI"/>
    <s v="2.6.1"/>
    <m/>
    <x v="7"/>
    <x v="0"/>
    <x v="2"/>
    <n v="0"/>
    <n v="0"/>
    <n v="0"/>
    <x v="0"/>
  </r>
  <r>
    <x v="0"/>
    <s v="Electronic Signatures and Infrastructures (ESI); Trust Service Provider Conformity Assessment; Part 1: Requirements for conformity assessment bodies assessing Trust Service Providers"/>
    <m/>
    <m/>
    <s v="ETSI"/>
    <s v="2.3.1"/>
    <m/>
    <x v="7"/>
    <x v="0"/>
    <x v="5"/>
    <n v="0"/>
    <n v="0"/>
    <n v="0"/>
    <x v="0"/>
  </r>
  <r>
    <x v="0"/>
    <s v="OSLC Tracked Resource Set Version 3.0"/>
    <s v="OSLC TRS"/>
    <m/>
    <s v="OASIS"/>
    <s v="3.0.0"/>
    <m/>
    <x v="6"/>
    <x v="1"/>
    <x v="5"/>
    <n v="0"/>
    <n v="0"/>
    <n v="0"/>
    <x v="0"/>
  </r>
  <r>
    <x v="0"/>
    <s v="European Interoperability Reference Architecture (EIRA) v3.1.0"/>
    <s v="EIRA"/>
    <m/>
    <s v="EC"/>
    <s v="3.1.0"/>
    <m/>
    <x v="13"/>
    <x v="0"/>
    <x v="5"/>
    <n v="0"/>
    <n v="1"/>
    <n v="0"/>
    <x v="0"/>
  </r>
  <r>
    <x v="0"/>
    <s v="iShare Trust Framework"/>
    <m/>
    <m/>
    <s v="iShare"/>
    <s v="2.0.1"/>
    <m/>
    <x v="19"/>
    <x v="1"/>
    <x v="6"/>
    <n v="0"/>
    <n v="1"/>
    <n v="0"/>
    <x v="0"/>
  </r>
  <r>
    <x v="0"/>
    <s v="XML Security Policy Information File (SPIF) format"/>
    <s v="SPIF"/>
    <m/>
    <s v="XMLSPIF.org"/>
    <s v="1.0.0"/>
    <m/>
    <x v="0"/>
    <x v="0"/>
    <x v="0"/>
    <n v="0"/>
    <n v="0"/>
    <n v="2"/>
    <x v="0"/>
  </r>
  <r>
    <x v="0"/>
    <s v="Regulation (EU) 2023/2854 of the European Parliament and of the Council of 13 December 2023 on harmonised rules on fair access to and use of data and amending Regulation (EU) 2017/2394 and Directive (EU) 2020/1828 (Data Act)"/>
    <m/>
    <m/>
    <s v="European Parliament. Council of the European Union."/>
    <s v="1.0.0"/>
    <m/>
    <x v="9"/>
    <x v="0"/>
    <x v="0"/>
    <n v="3"/>
    <n v="0"/>
    <n v="0"/>
    <x v="0"/>
  </r>
  <r>
    <x v="0"/>
    <s v="Filesystem Hierarchy Standard (FHS)"/>
    <s v="FHS"/>
    <m/>
    <s v="Linux Foundation"/>
    <s v="4.0.0"/>
    <m/>
    <x v="6"/>
    <x v="1"/>
    <x v="1"/>
    <n v="0"/>
    <n v="0"/>
    <n v="0"/>
    <x v="0"/>
  </r>
  <r>
    <x v="0"/>
    <s v="vCard Format Specification"/>
    <s v="vCard"/>
    <m/>
    <s v="IETF"/>
    <s v="4.0.0"/>
    <m/>
    <x v="7"/>
    <x v="0"/>
    <x v="1"/>
    <n v="0"/>
    <n v="0"/>
    <n v="0"/>
    <x v="0"/>
  </r>
  <r>
    <x v="0"/>
    <s v="Transmission Control Protocol (TCP) Specification"/>
    <s v="TCP"/>
    <m/>
    <s v="IETF"/>
    <s v="28.0.0"/>
    <m/>
    <x v="7"/>
    <x v="0"/>
    <x v="1"/>
    <n v="0"/>
    <n v="0"/>
    <n v="0"/>
    <x v="0"/>
  </r>
  <r>
    <x v="0"/>
    <s v="AMQP Filter Expressions"/>
    <m/>
    <m/>
    <s v="OASIS"/>
    <s v="1.0.0"/>
    <m/>
    <x v="0"/>
    <x v="0"/>
    <x v="0"/>
    <n v="0"/>
    <n v="0"/>
    <n v="1"/>
    <x v="0"/>
  </r>
  <r>
    <x v="0"/>
    <s v="ETL specification"/>
    <s v="ETL"/>
    <m/>
    <s v="DataSF"/>
    <s v="1.0.0"/>
    <m/>
    <x v="7"/>
    <x v="0"/>
    <x v="1"/>
    <n v="0"/>
    <n v="0"/>
    <n v="0"/>
    <x v="0"/>
  </r>
  <r>
    <x v="0"/>
    <s v="GAIA-X Federated Services Continuous Automated Monitoring Compliance Specification (working draft)"/>
    <s v="GXFS CAM"/>
    <m/>
    <s v="GAIA-X"/>
    <s v="working draft"/>
    <m/>
    <x v="6"/>
    <x v="1"/>
    <x v="1"/>
    <n v="0"/>
    <n v="0"/>
    <n v="0"/>
    <x v="0"/>
  </r>
  <r>
    <x v="0"/>
    <s v="Peppol Continuous Transaction Controls (Peppol CTC) Reference Document"/>
    <m/>
    <m/>
    <s v="PEPPOL"/>
    <s v="1.0.0"/>
    <m/>
    <x v="8"/>
    <x v="2"/>
    <x v="0"/>
    <n v="0"/>
    <n v="0"/>
    <n v="2"/>
    <x v="0"/>
  </r>
  <r>
    <x v="0"/>
    <s v="ISO/IEC 38505-1: Information technology - Governance of IT - Part 1: Application of ISO/IEC 38500 to the governance of data"/>
    <m/>
    <s v="ISO/IEC 38505-1"/>
    <s v="ISO"/>
    <s v="1.0.0"/>
    <m/>
    <x v="2"/>
    <x v="0"/>
    <x v="0"/>
    <n v="0"/>
    <n v="1"/>
    <n v="0"/>
    <x v="0"/>
  </r>
  <r>
    <x v="0"/>
    <s v="IEEE 7002 - Standard for Data Privacy Process"/>
    <m/>
    <s v="IEEE 7002"/>
    <s v="IEEE"/>
    <s v="1.0.0"/>
    <m/>
    <x v="7"/>
    <x v="0"/>
    <x v="1"/>
    <n v="0"/>
    <n v="0"/>
    <n v="0"/>
    <x v="0"/>
  </r>
  <r>
    <x v="0"/>
    <s v="Concise Binary Object Representation (CBOR) Tags for Date (RFC 8943)"/>
    <s v="CBOR"/>
    <s v="RFC 8943"/>
    <s v="IETF"/>
    <s v="1.0.0"/>
    <m/>
    <x v="0"/>
    <x v="0"/>
    <x v="0"/>
    <n v="0"/>
    <n v="0"/>
    <n v="1"/>
    <x v="0"/>
  </r>
  <r>
    <x v="0"/>
    <s v="User Agent Accessibility Guidelines (UAAG)"/>
    <s v="UAAG"/>
    <m/>
    <s v="W3C"/>
    <s v="2.0.0"/>
    <m/>
    <x v="12"/>
    <x v="0"/>
    <x v="0"/>
    <n v="0"/>
    <n v="0"/>
    <n v="0"/>
    <x v="0"/>
  </r>
  <r>
    <x v="0"/>
    <s v="Internet X.509 Public Key Infrastructure Certificate Policy and Certification Practices Framework (RFC 3647)"/>
    <m/>
    <s v="RFC 3647"/>
    <s v="IETF"/>
    <s v="1.0.0"/>
    <m/>
    <x v="0"/>
    <x v="0"/>
    <x v="0"/>
    <n v="0"/>
    <n v="0"/>
    <n v="2"/>
    <x v="0"/>
  </r>
  <r>
    <x v="0"/>
    <s v="Secure Shell Protocol (SSH)"/>
    <s v="SSH"/>
    <m/>
    <s v="IETF"/>
    <s v="1.0.0"/>
    <m/>
    <x v="7"/>
    <x v="0"/>
    <x v="1"/>
    <n v="0"/>
    <n v="0"/>
    <n v="0"/>
    <x v="0"/>
  </r>
  <r>
    <x v="0"/>
    <s v="Apache License version 2"/>
    <m/>
    <m/>
    <s v="Apache Software Foundation"/>
    <s v="2.0.0"/>
    <m/>
    <x v="7"/>
    <x v="0"/>
    <x v="5"/>
    <n v="0"/>
    <n v="0"/>
    <n v="0"/>
    <x v="0"/>
  </r>
  <r>
    <x v="0"/>
    <s v="Kerberos"/>
    <m/>
    <m/>
    <s v="MIT"/>
    <s v="1.20.0"/>
    <m/>
    <x v="7"/>
    <x v="0"/>
    <x v="1"/>
    <n v="0"/>
    <n v="0"/>
    <n v="0"/>
    <x v="0"/>
  </r>
  <r>
    <x v="0"/>
    <s v="IPv6 over BLUETOOTH(R) Low Energy"/>
    <m/>
    <s v="RFC 7668"/>
    <s v="IETF"/>
    <s v="1.0.0"/>
    <m/>
    <x v="6"/>
    <x v="1"/>
    <x v="3"/>
    <n v="0"/>
    <n v="0"/>
    <n v="0"/>
    <x v="0"/>
  </r>
  <r>
    <x v="0"/>
    <s v="DIRECTIVE (EU) 2018/1972 OF THE EUROPEAN PARLIAMENT AND OF THE COUNCIL of 11 December 2018 establishing the European Electronic Communications Code"/>
    <m/>
    <s v="Directive 2018/1972/EU"/>
    <s v="OP"/>
    <s v="L 321/36"/>
    <m/>
    <x v="9"/>
    <x v="0"/>
    <x v="0"/>
    <n v="5"/>
    <n v="0"/>
    <n v="0"/>
    <x v="0"/>
  </r>
  <r>
    <x v="0"/>
    <s v="Regulation (EC) No 45/2001 of the European Parliament and of the Council of 18 December 2000 on the protection of individuals with regard to the processing of personal data by the Community institutions and bodies and on the free movement of such data"/>
    <m/>
    <m/>
    <s v="OP"/>
    <s v="L 008"/>
    <m/>
    <x v="0"/>
    <x v="0"/>
    <x v="0"/>
    <n v="0"/>
    <n v="0"/>
    <n v="6"/>
    <x v="0"/>
  </r>
  <r>
    <x v="0"/>
    <s v="Observing Resources in the Constrained Application Protocol (CoAP) (RFC 7641)"/>
    <m/>
    <m/>
    <s v="IETF"/>
    <s v="1.0.0"/>
    <m/>
    <x v="6"/>
    <x v="2"/>
    <x v="1"/>
    <n v="0"/>
    <n v="0"/>
    <n v="0"/>
    <x v="0"/>
  </r>
  <r>
    <x v="0"/>
    <s v="Software Package Data Exchange (SPDX)"/>
    <s v="SPDX"/>
    <m/>
    <s v="Linux Foundation"/>
    <s v="3.0.0"/>
    <m/>
    <x v="5"/>
    <x v="0"/>
    <x v="1"/>
    <n v="0"/>
    <n v="0"/>
    <n v="1"/>
    <x v="0"/>
  </r>
  <r>
    <x v="0"/>
    <s v="OGC Training Data Markup Language for Artificial Intelligence (TrainingDML-AI) Part 1: Conceptual Model Standard."/>
    <m/>
    <s v="TrainingDML-AI"/>
    <s v="OGC"/>
    <s v="1.0.0"/>
    <m/>
    <x v="6"/>
    <x v="1"/>
    <x v="1"/>
    <n v="0"/>
    <n v="0"/>
    <n v="0"/>
    <x v="1"/>
  </r>
  <r>
    <x v="0"/>
    <s v="Improved Extensible Authentication Protocol Method for 3rd Generation Authentication and Key Agreement (EAP-AKA')"/>
    <m/>
    <s v="RFC 5448"/>
    <s v="IETF"/>
    <s v="1.0.0"/>
    <m/>
    <x v="7"/>
    <x v="0"/>
    <x v="2"/>
    <n v="0"/>
    <n v="0"/>
    <n v="0"/>
    <x v="0"/>
  </r>
  <r>
    <x v="0"/>
    <s v="Open Document Format for Office Applications (OpenDocument)"/>
    <m/>
    <s v="OpenDocument"/>
    <s v="OASIS"/>
    <s v="1.3.0"/>
    <m/>
    <x v="7"/>
    <x v="0"/>
    <x v="1"/>
    <n v="0"/>
    <n v="0"/>
    <n v="0"/>
    <x v="0"/>
  </r>
  <r>
    <x v="0"/>
    <s v="Office Open XML File Formats Part 3: Markup Compatibility and Extensibility"/>
    <m/>
    <s v="ISO/IEC 29500-3:2015"/>
    <s v="ISO"/>
    <s v="4.0.0"/>
    <m/>
    <x v="7"/>
    <x v="0"/>
    <x v="2"/>
    <n v="0"/>
    <n v="0"/>
    <n v="0"/>
    <x v="0"/>
  </r>
  <r>
    <x v="0"/>
    <s v="Ontology Design Patterns (ODP)"/>
    <s v="ODP"/>
    <m/>
    <s v="ODP"/>
    <s v="1.0.0"/>
    <m/>
    <x v="0"/>
    <x v="0"/>
    <x v="0"/>
    <n v="0"/>
    <n v="0"/>
    <n v="2"/>
    <x v="0"/>
  </r>
  <r>
    <x v="0"/>
    <s v="JSON-LD"/>
    <s v="JSON-LD"/>
    <m/>
    <s v="W3C"/>
    <s v="1.1.0"/>
    <m/>
    <x v="0"/>
    <x v="0"/>
    <x v="0"/>
    <n v="0"/>
    <n v="0"/>
    <n v="3"/>
    <x v="0"/>
  </r>
  <r>
    <x v="0"/>
    <s v="Open Trip Model"/>
    <s v="OTM"/>
    <m/>
    <s v="SIMACAN"/>
    <s v="5.0.0"/>
    <m/>
    <x v="7"/>
    <x v="0"/>
    <x v="3"/>
    <n v="0"/>
    <n v="0"/>
    <n v="0"/>
    <x v="0"/>
  </r>
  <r>
    <x v="0"/>
    <s v="Data Distribution Service (DDS)"/>
    <s v="DDS"/>
    <m/>
    <s v="OMG"/>
    <s v="1.4.0"/>
    <m/>
    <x v="6"/>
    <x v="1"/>
    <x v="1"/>
    <n v="0"/>
    <n v="0"/>
    <n v="0"/>
    <x v="0"/>
  </r>
  <r>
    <x v="0"/>
    <s v="Peppol Policy for use of identifiers"/>
    <m/>
    <m/>
    <s v="PEPPOL"/>
    <s v="4.1.0"/>
    <m/>
    <x v="5"/>
    <x v="0"/>
    <x v="1"/>
    <n v="0"/>
    <n v="0"/>
    <n v="1"/>
    <x v="0"/>
  </r>
  <r>
    <x v="0"/>
    <s v="EBSI - Verifiable Credentials Status Framework (EBSI-VC SF)"/>
    <s v="EBSI-VC SF"/>
    <m/>
    <s v="EC"/>
    <s v="3.0.0"/>
    <m/>
    <x v="1"/>
    <x v="1"/>
    <x v="0"/>
    <n v="0"/>
    <n v="0"/>
    <n v="0"/>
    <x v="0"/>
  </r>
  <r>
    <x v="0"/>
    <s v="ISO/IEC 27001 INFORMATION SECURITY MANAGEMENT"/>
    <m/>
    <s v="ISO/IEC 27001:2022"/>
    <s v="ISO"/>
    <s v="2.0.0"/>
    <m/>
    <x v="2"/>
    <x v="0"/>
    <x v="0"/>
    <n v="0"/>
    <n v="2"/>
    <n v="0"/>
    <x v="1"/>
  </r>
  <r>
    <x v="0"/>
    <s v="RDF Mapping Language (RML)"/>
    <s v="RML"/>
    <m/>
    <s v="W3C"/>
    <s v="1.1.0"/>
    <m/>
    <x v="5"/>
    <x v="0"/>
    <x v="1"/>
    <n v="0"/>
    <n v="0"/>
    <n v="6"/>
    <x v="0"/>
  </r>
  <r>
    <x v="0"/>
    <s v="Business Document Naming and Design Rules (BDNDR)"/>
    <s v="BDNDR"/>
    <m/>
    <s v="OASIS"/>
    <s v="1.1.0"/>
    <m/>
    <x v="5"/>
    <x v="0"/>
    <x v="1"/>
    <n v="0"/>
    <n v="0"/>
    <n v="4"/>
    <x v="0"/>
  </r>
  <r>
    <x v="0"/>
    <s v="Basic Digital Government API EU framework"/>
    <m/>
    <m/>
    <s v="EC"/>
    <s v="1.0.0"/>
    <m/>
    <x v="7"/>
    <x v="0"/>
    <x v="1"/>
    <n v="0"/>
    <n v="0"/>
    <n v="0"/>
    <x v="0"/>
  </r>
  <r>
    <x v="0"/>
    <s v="Concise Binary Object Representation (CBOR) (RFC 8949)"/>
    <s v="CBOR"/>
    <s v="RFC 8949"/>
    <s v="IETF"/>
    <s v="1.0.0"/>
    <m/>
    <x v="0"/>
    <x v="0"/>
    <x v="0"/>
    <n v="0"/>
    <n v="0"/>
    <n v="1"/>
    <x v="0"/>
  </r>
  <r>
    <x v="0"/>
    <s v="Electronic Signatures and Infrastructures (ESI); PAdES digital signatures; Part 2: Additional PAdES signatures profiles (ETSI EN 319 142-2)"/>
    <s v="PAdES"/>
    <s v="ETSI EN 319 142-2"/>
    <s v="ETSI"/>
    <s v="1.1.1"/>
    <m/>
    <x v="7"/>
    <x v="0"/>
    <x v="2"/>
    <n v="0"/>
    <n v="0"/>
    <n v="0"/>
    <x v="0"/>
  </r>
  <r>
    <x v="0"/>
    <s v="Asset Administration Shell (AAS) specification - Part 1 Metamodel"/>
    <s v="AAS"/>
    <m/>
    <s v="Platform Industrie 4.0"/>
    <s v="3.0.1"/>
    <m/>
    <x v="0"/>
    <x v="0"/>
    <x v="0"/>
    <n v="0"/>
    <n v="0"/>
    <n v="5"/>
    <x v="1"/>
  </r>
  <r>
    <x v="0"/>
    <s v="ESCO"/>
    <s v="ESCO"/>
    <m/>
    <s v="OP"/>
    <s v="2.1.0"/>
    <m/>
    <x v="0"/>
    <x v="0"/>
    <x v="0"/>
    <n v="0"/>
    <n v="0"/>
    <n v="1"/>
    <x v="0"/>
  </r>
  <r>
    <x v="0"/>
    <s v="SAML 2.0 - Security Assertion Markup Language"/>
    <s v="SAML"/>
    <m/>
    <s v="OASIS"/>
    <s v="2.0.0"/>
    <m/>
    <x v="7"/>
    <x v="0"/>
    <x v="6"/>
    <n v="0"/>
    <n v="0"/>
    <n v="0"/>
    <x v="2"/>
  </r>
  <r>
    <x v="0"/>
    <s v="Sensor Observation Service (SOS)"/>
    <s v="SOS"/>
    <m/>
    <s v="OGC"/>
    <s v="2.0.0"/>
    <m/>
    <x v="7"/>
    <x v="0"/>
    <x v="6"/>
    <n v="0"/>
    <n v="0"/>
    <n v="0"/>
    <x v="0"/>
  </r>
  <r>
    <x v="0"/>
    <s v="Issuing Agency (BPM - 002 Issuing Agency)"/>
    <m/>
    <m/>
    <s v="CATENA-X"/>
    <s v="2.1.0"/>
    <m/>
    <x v="7"/>
    <x v="0"/>
    <x v="1"/>
    <n v="0"/>
    <n v="0"/>
    <n v="0"/>
    <x v="0"/>
  </r>
  <r>
    <x v="0"/>
    <s v="Single Integrated Metadata Structure (SIMS)"/>
    <s v="SIMS"/>
    <m/>
    <s v="EC"/>
    <s v="2.0.0"/>
    <m/>
    <x v="0"/>
    <x v="0"/>
    <x v="0"/>
    <n v="0"/>
    <n v="0"/>
    <n v="1"/>
    <x v="0"/>
  </r>
  <r>
    <x v="0"/>
    <s v="RPKI Architecture"/>
    <m/>
    <m/>
    <s v="IETF"/>
    <s v="13.0.0"/>
    <m/>
    <x v="7"/>
    <x v="0"/>
    <x v="3"/>
    <n v="0"/>
    <n v="0"/>
    <n v="0"/>
    <x v="0"/>
  </r>
  <r>
    <x v="0"/>
    <s v="Capability Maturity Model Integration (CMMI)"/>
    <s v="CMMI"/>
    <m/>
    <s v="ISACA"/>
    <s v="2.0.0"/>
    <m/>
    <x v="7"/>
    <x v="0"/>
    <x v="5"/>
    <n v="0"/>
    <n v="0"/>
    <n v="0"/>
    <x v="0"/>
  </r>
  <r>
    <x v="0"/>
    <s v="EN 16931-1:2017+A1:2019/AC:2020"/>
    <m/>
    <s v="EN 16931-1:2017+A1:2019/AC:2020"/>
    <s v="ETSI"/>
    <s v="1.0.0"/>
    <m/>
    <x v="5"/>
    <x v="0"/>
    <x v="1"/>
    <n v="0"/>
    <n v="0"/>
    <n v="5"/>
    <x v="0"/>
  </r>
  <r>
    <x v="0"/>
    <s v="UTF-16"/>
    <s v="UTF-16"/>
    <m/>
    <s v="IETF"/>
    <s v="4.0.0"/>
    <m/>
    <x v="0"/>
    <x v="0"/>
    <x v="0"/>
    <n v="0"/>
    <n v="0"/>
    <n v="8"/>
    <x v="0"/>
  </r>
  <r>
    <x v="0"/>
    <s v="Regulation (EU) 2018/1724 of the European Parliament and of the Council of 2 October 2018 establishing a single digital gateway to provide access to information, to procedures and to assistance and problem-solving services (Single Digital Gateway)"/>
    <s v="SDG"/>
    <m/>
    <s v="OP"/>
    <s v="1.0.0"/>
    <m/>
    <x v="3"/>
    <x v="0"/>
    <x v="0"/>
    <n v="5"/>
    <n v="4"/>
    <n v="0"/>
    <x v="0"/>
  </r>
  <r>
    <x v="0"/>
    <s v="Network Functions Virtualisation (NFV); Infrastructure Overview (NFVI)"/>
    <s v="NFVI"/>
    <m/>
    <s v="ETSI"/>
    <s v="5.0.0"/>
    <m/>
    <x v="12"/>
    <x v="0"/>
    <x v="0"/>
    <n v="0"/>
    <n v="0"/>
    <n v="0"/>
    <x v="0"/>
  </r>
  <r>
    <x v="0"/>
    <s v="COMMUNICATION FROM THE COMMISSION TO THE EUROPEAN PARLIAMENT, THE COUNCIL, THE EUROPEAN ECONOMIC AND SOCIAL COMMITTEE AND THE COMMITTEE OF THE REGIONS - A Quality Framework for Services of General Interest in Europe"/>
    <m/>
    <m/>
    <s v="OP"/>
    <s v="1.0.0"/>
    <m/>
    <x v="2"/>
    <x v="0"/>
    <x v="0"/>
    <n v="0"/>
    <n v="1"/>
    <n v="0"/>
    <x v="0"/>
  </r>
  <r>
    <x v="0"/>
    <s v="Access Control Paradigm (IAM - 003 IAM &amp; Access Control Paradigm)"/>
    <m/>
    <s v="IAM-003"/>
    <s v="CATENA-X"/>
    <s v="2.1.0"/>
    <m/>
    <x v="7"/>
    <x v="0"/>
    <x v="5"/>
    <n v="0"/>
    <n v="0"/>
    <n v="0"/>
    <x v="0"/>
  </r>
  <r>
    <x v="0"/>
    <s v="Directive 2014/24/EU of the European Parliament and of the Council of 26 February 2014 on public procurement and repealing Directive 2004/18/EC Text with EEA relevance"/>
    <m/>
    <s v="Directive 2014/24/EU"/>
    <s v="OP"/>
    <s v="L 94/65"/>
    <m/>
    <x v="9"/>
    <x v="0"/>
    <x v="0"/>
    <n v="1"/>
    <n v="0"/>
    <n v="0"/>
    <x v="0"/>
  </r>
  <r>
    <x v="0"/>
    <s v="Identifier service requirements for the interoperability of smart city applications"/>
    <m/>
    <s v="ITU-T Y.4805"/>
    <s v="ITU"/>
    <s v="1.0.0"/>
    <m/>
    <x v="12"/>
    <x v="0"/>
    <x v="0"/>
    <n v="0"/>
    <n v="0"/>
    <n v="0"/>
    <x v="0"/>
  </r>
  <r>
    <x v="0"/>
    <s v="OASIS Heimdall Data Format"/>
    <s v="OHDF"/>
    <m/>
    <s v="OASIS"/>
    <s v="1.0.0"/>
    <m/>
    <x v="13"/>
    <x v="0"/>
    <x v="1"/>
    <n v="0"/>
    <n v="1"/>
    <n v="0"/>
    <x v="0"/>
  </r>
  <r>
    <x v="0"/>
    <s v="Domibus v5.1.7"/>
    <m/>
    <m/>
    <s v="EC"/>
    <s v="5.1.7"/>
    <m/>
    <x v="6"/>
    <x v="5"/>
    <x v="1"/>
    <n v="0"/>
    <n v="0"/>
    <n v="0"/>
    <x v="0"/>
  </r>
  <r>
    <x v="0"/>
    <s v="Semantically Interlinked Online Communities (SIOC) Core Ontology Specification"/>
    <s v="SIOC"/>
    <m/>
    <s v="SIOC"/>
    <s v="1.0.0"/>
    <m/>
    <x v="0"/>
    <x v="0"/>
    <x v="0"/>
    <n v="0"/>
    <n v="0"/>
    <n v="2"/>
    <x v="0"/>
  </r>
  <r>
    <x v="0"/>
    <s v="ISO 3166-1:2020 Codes for the representation of names of countries and their subdivisions -- Part 1: Country codes"/>
    <m/>
    <s v="ISO 3166-1"/>
    <s v="ISO"/>
    <s v="None"/>
    <m/>
    <x v="12"/>
    <x v="0"/>
    <x v="0"/>
    <n v="0"/>
    <n v="0"/>
    <n v="0"/>
    <x v="0"/>
  </r>
  <r>
    <x v="0"/>
    <s v="OCF Specification"/>
    <s v="OCF"/>
    <m/>
    <s v="Open Connectivity Foundation"/>
    <s v="2.2.5"/>
    <m/>
    <x v="7"/>
    <x v="0"/>
    <x v="1"/>
    <n v="0"/>
    <n v="0"/>
    <n v="0"/>
    <x v="0"/>
  </r>
  <r>
    <x v="0"/>
    <s v="Proof Key for Code Exchange (PKCE)"/>
    <s v="PKCE"/>
    <m/>
    <s v="IETF"/>
    <s v="1.0.0"/>
    <m/>
    <x v="6"/>
    <x v="1"/>
    <x v="4"/>
    <n v="0"/>
    <n v="0"/>
    <n v="0"/>
    <x v="0"/>
  </r>
  <r>
    <x v="0"/>
    <s v="NATO Core Metadata Specification (NCMS)"/>
    <s v="NCMS"/>
    <m/>
    <s v="NATO"/>
    <s v="1.0.0"/>
    <m/>
    <x v="5"/>
    <x v="0"/>
    <x v="1"/>
    <n v="0"/>
    <n v="0"/>
    <n v="2"/>
    <x v="0"/>
  </r>
  <r>
    <x v="0"/>
    <s v="Stichting Elektronische Transacties Uitzendbranche (SETU specifications)"/>
    <s v="SETU"/>
    <m/>
    <s v="Stichting Elektronische Transacties Uitzendbranche"/>
    <s v="1.0.0"/>
    <m/>
    <x v="7"/>
    <x v="0"/>
    <x v="1"/>
    <n v="0"/>
    <n v="0"/>
    <n v="0"/>
    <x v="0"/>
  </r>
  <r>
    <x v="0"/>
    <s v="RapidIO(TM) interconnect specification"/>
    <m/>
    <m/>
    <s v="RapidIO"/>
    <s v="4.1.0"/>
    <m/>
    <x v="1"/>
    <x v="1"/>
    <x v="0"/>
    <n v="0"/>
    <n v="0"/>
    <n v="0"/>
    <x v="0"/>
  </r>
  <r>
    <x v="0"/>
    <s v="Shapes Constraint Language (SHACL)"/>
    <s v="SHACL"/>
    <m/>
    <s v="W3C"/>
    <s v="1.2.0"/>
    <m/>
    <x v="5"/>
    <x v="0"/>
    <x v="3"/>
    <n v="0"/>
    <n v="0"/>
    <n v="2"/>
    <x v="2"/>
  </r>
  <r>
    <x v="0"/>
    <s v="ISO/IEC 20802-1:2016 Information technology — Open data protocol (OData) v4.0 Part 1: Core"/>
    <s v="ISO/IEC 20802-1:2016"/>
    <m/>
    <s v="ISO"/>
    <s v="1"/>
    <m/>
    <x v="7"/>
    <x v="0"/>
    <x v="2"/>
    <n v="0"/>
    <n v="0"/>
    <n v="0"/>
    <x v="0"/>
  </r>
  <r>
    <x v="0"/>
    <s v="Extended Log File Format"/>
    <m/>
    <m/>
    <s v="W3C"/>
    <s v="Working Draft"/>
    <m/>
    <x v="6"/>
    <x v="1"/>
    <x v="1"/>
    <n v="0"/>
    <n v="0"/>
    <n v="0"/>
    <x v="0"/>
  </r>
  <r>
    <x v="0"/>
    <s v="Real-Time Transport Protocol (RTP) RFC 3550"/>
    <s v="RTP"/>
    <m/>
    <s v="IETF"/>
    <s v="12.0.0"/>
    <m/>
    <x v="1"/>
    <x v="2"/>
    <x v="0"/>
    <n v="0"/>
    <n v="0"/>
    <n v="0"/>
    <x v="0"/>
  </r>
  <r>
    <x v="0"/>
    <s v="IoT Big Data Harmonised Data Model"/>
    <m/>
    <m/>
    <s v="GSMA"/>
    <s v="5.0.0"/>
    <m/>
    <x v="5"/>
    <x v="0"/>
    <x v="3"/>
    <n v="0"/>
    <n v="0"/>
    <n v="2"/>
    <x v="0"/>
  </r>
  <r>
    <x v="0"/>
    <s v="ISO/IEC 19757-3:2016 Information technology -- Document Schema Definition Languages (DSDL) -- Part 3: Rule-based validation -- Schematron"/>
    <s v="DSDL"/>
    <m/>
    <s v="ISO"/>
    <s v="2.0.0"/>
    <m/>
    <x v="7"/>
    <x v="0"/>
    <x v="1"/>
    <n v="0"/>
    <n v="0"/>
    <n v="0"/>
    <x v="0"/>
  </r>
  <r>
    <x v="0"/>
    <s v="Sender Policy Framework (SPF) for Authorizing Use of Domains in Email"/>
    <m/>
    <m/>
    <s v="IETF"/>
    <s v="1.0.0"/>
    <m/>
    <x v="7"/>
    <x v="0"/>
    <x v="1"/>
    <n v="0"/>
    <n v="0"/>
    <n v="0"/>
    <x v="0"/>
  </r>
  <r>
    <x v="0"/>
    <s v="IANA Link Relations (RFC 8288, Web Linking)"/>
    <m/>
    <s v="RFC 8288"/>
    <s v="IETF"/>
    <s v="1.0.0"/>
    <m/>
    <x v="0"/>
    <x v="0"/>
    <x v="0"/>
    <n v="0"/>
    <n v="0"/>
    <n v="4"/>
    <x v="0"/>
  </r>
  <r>
    <x v="0"/>
    <s v="ESPD data model"/>
    <s v="ESPD-EDM"/>
    <m/>
    <s v="OP"/>
    <s v="3.0.1"/>
    <m/>
    <x v="7"/>
    <x v="0"/>
    <x v="1"/>
    <n v="0"/>
    <n v="0"/>
    <n v="0"/>
    <x v="1"/>
  </r>
  <r>
    <x v="0"/>
    <s v="EPCIS 2.0 Standard"/>
    <s v="EPCIS"/>
    <m/>
    <s v="GS1"/>
    <s v="2.0.0"/>
    <m/>
    <x v="7"/>
    <x v="0"/>
    <x v="1"/>
    <n v="0"/>
    <n v="0"/>
    <n v="0"/>
    <x v="0"/>
  </r>
  <r>
    <x v="0"/>
    <s v="IDS Clearing House (IDS-CH)"/>
    <s v="IDS-CH"/>
    <m/>
    <s v="IDSA"/>
    <s v="1.0.0"/>
    <m/>
    <x v="6"/>
    <x v="1"/>
    <x v="4"/>
    <n v="0"/>
    <n v="0"/>
    <n v="0"/>
    <x v="0"/>
  </r>
  <r>
    <x v="0"/>
    <s v="Minimal interoperability mechanisms for smart and sustainable cities and communities"/>
    <m/>
    <s v="ITU-T Y.4505"/>
    <s v="ITU"/>
    <s v="1.0.0"/>
    <m/>
    <x v="12"/>
    <x v="0"/>
    <x v="0"/>
    <n v="0"/>
    <n v="0"/>
    <n v="0"/>
    <x v="0"/>
  </r>
  <r>
    <x v="0"/>
    <s v="Data Exchange Services"/>
    <m/>
    <m/>
    <s v="GAIA-X"/>
    <s v="1.0.0"/>
    <m/>
    <x v="7"/>
    <x v="0"/>
    <x v="2"/>
    <n v="0"/>
    <n v="0"/>
    <n v="0"/>
    <x v="0"/>
  </r>
  <r>
    <x v="0"/>
    <s v="Architectural Principles for a Quantum Internet"/>
    <m/>
    <s v="RFC 9340"/>
    <s v="IETF"/>
    <s v="1.0.0"/>
    <m/>
    <x v="12"/>
    <x v="0"/>
    <x v="0"/>
    <n v="0"/>
    <n v="0"/>
    <n v="0"/>
    <x v="0"/>
  </r>
  <r>
    <x v="0"/>
    <s v="AJAX"/>
    <s v="AJAX"/>
    <m/>
    <s v="jQuery Foundation"/>
    <s v="1.5.0"/>
    <m/>
    <x v="12"/>
    <x v="0"/>
    <x v="0"/>
    <n v="0"/>
    <n v="0"/>
    <n v="0"/>
    <x v="0"/>
  </r>
  <r>
    <x v="0"/>
    <s v="JSON Abstract Data Notation"/>
    <s v="JADN"/>
    <m/>
    <s v="OASIS"/>
    <s v="1.0.0"/>
    <m/>
    <x v="0"/>
    <x v="0"/>
    <x v="0"/>
    <n v="0"/>
    <n v="0"/>
    <n v="2"/>
    <x v="0"/>
  </r>
  <r>
    <x v="0"/>
    <s v="OAIS v3.0.0"/>
    <m/>
    <m/>
    <s v="ISO"/>
    <s v="3.0.0"/>
    <m/>
    <x v="5"/>
    <x v="0"/>
    <x v="2"/>
    <n v="0"/>
    <n v="0"/>
    <n v="1"/>
    <x v="0"/>
  </r>
  <r>
    <x v="0"/>
    <s v="Web Real-Time Communication (WebRTC)"/>
    <s v="WebRTC"/>
    <m/>
    <s v="W3C"/>
    <s v="1.0.0"/>
    <m/>
    <x v="7"/>
    <x v="0"/>
    <x v="1"/>
    <n v="0"/>
    <n v="0"/>
    <n v="0"/>
    <x v="0"/>
  </r>
  <r>
    <x v="0"/>
    <s v="HAProxy"/>
    <m/>
    <m/>
    <s v="haproxy.org"/>
    <s v="2.9.0"/>
    <m/>
    <x v="1"/>
    <x v="1"/>
    <x v="0"/>
    <n v="0"/>
    <n v="0"/>
    <n v="0"/>
    <x v="0"/>
  </r>
  <r>
    <x v="0"/>
    <s v="Commission Decision of 11 December 2006 establishing a list of standards and/or specifications for electronic communications networks, services and associated facilities and services and replacing all previous versions (notified under document number C(2006) 6364)"/>
    <m/>
    <m/>
    <s v="EC"/>
    <s v="1.0.0"/>
    <m/>
    <x v="9"/>
    <x v="0"/>
    <x v="0"/>
    <n v="5"/>
    <n v="0"/>
    <n v="0"/>
    <x v="0"/>
  </r>
  <r>
    <x v="0"/>
    <s v="Schema.org"/>
    <m/>
    <m/>
    <s v="Schema.org"/>
    <s v="14.0.0"/>
    <m/>
    <x v="0"/>
    <x v="0"/>
    <x v="0"/>
    <n v="0"/>
    <n v="0"/>
    <n v="1"/>
    <x v="1"/>
  </r>
  <r>
    <x v="0"/>
    <s v="Secure File Transfer Protocol (SFTP)"/>
    <s v="SFTP"/>
    <m/>
    <s v="IETF"/>
    <s v="Sep 1984"/>
    <m/>
    <x v="7"/>
    <x v="0"/>
    <x v="1"/>
    <n v="0"/>
    <n v="0"/>
    <n v="0"/>
    <x v="0"/>
  </r>
  <r>
    <x v="0"/>
    <s v="Structured Threat Information Expression"/>
    <s v="STIX"/>
    <m/>
    <s v="OASIS"/>
    <s v="2.1.0"/>
    <m/>
    <x v="5"/>
    <x v="0"/>
    <x v="5"/>
    <n v="0"/>
    <n v="0"/>
    <n v="1"/>
    <x v="0"/>
  </r>
  <r>
    <x v="0"/>
    <s v="REGULATION (EU) 2021/1153 OF THE EUROPEAN PARLIAMENT AND OF THE COUNCIL of 7 July 2021 establishing the Connecting Europe Facility and repealing Regulations (EU) No 1316/2013 and (EU) No 283/2014"/>
    <m/>
    <m/>
    <s v="OP"/>
    <s v="L 249/38"/>
    <m/>
    <x v="2"/>
    <x v="0"/>
    <x v="0"/>
    <n v="0"/>
    <n v="1"/>
    <n v="0"/>
    <x v="0"/>
  </r>
  <r>
    <x v="0"/>
    <s v="API Blueprint"/>
    <m/>
    <m/>
    <s v="API Blueprint"/>
    <s v="1.0.0"/>
    <m/>
    <x v="7"/>
    <x v="0"/>
    <x v="5"/>
    <n v="0"/>
    <n v="0"/>
    <n v="0"/>
    <x v="0"/>
  </r>
  <r>
    <x v="0"/>
    <s v="Domain Name System (DNS)"/>
    <s v="DNS"/>
    <m/>
    <s v="IETF"/>
    <s v="14.0.0"/>
    <m/>
    <x v="1"/>
    <x v="5"/>
    <x v="0"/>
    <n v="0"/>
    <n v="0"/>
    <n v="0"/>
    <x v="3"/>
  </r>
  <r>
    <x v="0"/>
    <s v="JSON-RPC"/>
    <m/>
    <m/>
    <s v="JSON SCHEMA"/>
    <s v="2.0.0"/>
    <m/>
    <x v="5"/>
    <x v="0"/>
    <x v="3"/>
    <n v="0"/>
    <n v="0"/>
    <n v="1"/>
    <x v="0"/>
  </r>
  <r>
    <x v="0"/>
    <s v="Dynamic Adaptive Streaming over HTTP (DASH)"/>
    <s v="DASH"/>
    <m/>
    <s v="ISO"/>
    <s v="5.0.0"/>
    <m/>
    <x v="1"/>
    <x v="1"/>
    <x v="0"/>
    <n v="0"/>
    <n v="0"/>
    <n v="0"/>
    <x v="0"/>
  </r>
  <r>
    <x v="0"/>
    <s v="Privacy Management Reference Model and Methodology (PMRM)"/>
    <s v="PMRM"/>
    <m/>
    <s v="OASIS"/>
    <s v="1.0.0"/>
    <m/>
    <x v="0"/>
    <x v="0"/>
    <x v="0"/>
    <n v="0"/>
    <n v="0"/>
    <n v="1"/>
    <x v="0"/>
  </r>
  <r>
    <x v="0"/>
    <s v="Context Information Management (CIM); NGSI-LD Information Model (ETSI GS CIM 006)"/>
    <m/>
    <s v="ETSI GS CIM 006"/>
    <s v="ETSI"/>
    <s v="1.2.1"/>
    <m/>
    <x v="5"/>
    <x v="0"/>
    <x v="5"/>
    <n v="0"/>
    <n v="0"/>
    <n v="1"/>
    <x v="1"/>
  </r>
  <r>
    <x v="0"/>
    <s v="ISO/IEC/IEEE 12207:2017 Systems and software engineering — Software life cycle processes"/>
    <m/>
    <s v="ISO/IEC/IEEE 12207:2017"/>
    <s v="ISO"/>
    <s v="1.0.0"/>
    <m/>
    <x v="1"/>
    <x v="2"/>
    <x v="0"/>
    <n v="0"/>
    <n v="0"/>
    <n v="0"/>
    <x v="0"/>
  </r>
  <r>
    <x v="0"/>
    <s v="SoftEther"/>
    <m/>
    <m/>
    <s v="SoftEther"/>
    <s v="5.1.0"/>
    <m/>
    <x v="1"/>
    <x v="1"/>
    <x v="0"/>
    <n v="0"/>
    <n v="0"/>
    <n v="0"/>
    <x v="0"/>
  </r>
  <r>
    <x v="0"/>
    <s v="GITB Test Description Language (TDL)"/>
    <s v="GITB TDL"/>
    <m/>
    <s v="EC"/>
    <s v="None"/>
    <m/>
    <x v="12"/>
    <x v="0"/>
    <x v="0"/>
    <n v="0"/>
    <n v="0"/>
    <n v="0"/>
    <x v="0"/>
  </r>
  <r>
    <x v="0"/>
    <s v="ISO/IEC 20802-2:2016 Information technology — Open data protocol (OData) v4.0 Part 2: OData JSON Format"/>
    <m/>
    <s v="ISO/IEC 20802-2:2016"/>
    <s v="ISO"/>
    <s v="1"/>
    <m/>
    <x v="6"/>
    <x v="1"/>
    <x v="1"/>
    <n v="0"/>
    <n v="0"/>
    <n v="0"/>
    <x v="0"/>
  </r>
  <r>
    <x v="0"/>
    <s v="Policy Requirements for Time-Stamping Authorities (TSAs) (RFC 3628)"/>
    <m/>
    <s v="RFC 3628"/>
    <s v="IETF"/>
    <s v="1.0.0"/>
    <m/>
    <x v="7"/>
    <x v="0"/>
    <x v="2"/>
    <n v="0"/>
    <n v="0"/>
    <n v="0"/>
    <x v="0"/>
  </r>
  <r>
    <x v="0"/>
    <s v="CLOUD; Test Descriptions for Cloud Interoperability (ETSI TS 103 142)"/>
    <m/>
    <s v="ETSI TS 103 142"/>
    <s v="ETSI"/>
    <s v="1.1.1"/>
    <m/>
    <x v="7"/>
    <x v="0"/>
    <x v="3"/>
    <n v="0"/>
    <n v="0"/>
    <n v="0"/>
    <x v="0"/>
  </r>
  <r>
    <x v="0"/>
    <s v="MyData Authorisation Specification"/>
    <m/>
    <m/>
    <s v="HIIT"/>
    <s v="1.2.1"/>
    <m/>
    <x v="1"/>
    <x v="6"/>
    <x v="0"/>
    <n v="0"/>
    <n v="0"/>
    <n v="0"/>
    <x v="0"/>
  </r>
  <r>
    <x v="0"/>
    <s v="Human Resources (HR) Open Standards"/>
    <m/>
    <m/>
    <s v="HR Open Standards"/>
    <s v="4.2.0"/>
    <m/>
    <x v="0"/>
    <x v="0"/>
    <x v="0"/>
    <n v="0"/>
    <n v="0"/>
    <n v="8"/>
    <x v="0"/>
  </r>
  <r>
    <x v="0"/>
    <s v="Experience Application Programming Interface (xAPI)"/>
    <s v="xAPI"/>
    <m/>
    <s v="ADL"/>
    <s v="2.0.0"/>
    <m/>
    <x v="7"/>
    <x v="0"/>
    <x v="5"/>
    <n v="0"/>
    <n v="0"/>
    <n v="0"/>
    <x v="0"/>
  </r>
  <r>
    <x v="0"/>
    <s v="X.1363 : Technical framework of personally identifiable information handling system in Internet of things environment"/>
    <m/>
    <s v="ITU-T X.1363"/>
    <s v="ITU"/>
    <s v="1.0.0"/>
    <m/>
    <x v="7"/>
    <x v="0"/>
    <x v="8"/>
    <n v="0"/>
    <n v="0"/>
    <n v="0"/>
    <x v="0"/>
  </r>
  <r>
    <x v="0"/>
    <s v="PEPPOL AS2 Profile"/>
    <m/>
    <m/>
    <s v="PEPPOL"/>
    <s v="2.0.0"/>
    <m/>
    <x v="7"/>
    <x v="0"/>
    <x v="1"/>
    <n v="0"/>
    <n v="0"/>
    <n v="0"/>
    <x v="0"/>
  </r>
  <r>
    <x v="0"/>
    <s v="UBL 2.3 JSON Alternative Representation"/>
    <m/>
    <m/>
    <s v="OASIS"/>
    <s v="1.0.0"/>
    <m/>
    <x v="0"/>
    <x v="0"/>
    <x v="0"/>
    <n v="0"/>
    <n v="0"/>
    <n v="2"/>
    <x v="0"/>
  </r>
  <r>
    <x v="0"/>
    <s v="Point-to-Point Tunneling Protocol (PPTP)"/>
    <s v="PPTP"/>
    <m/>
    <s v="IETF"/>
    <s v="10.0.0"/>
    <m/>
    <x v="1"/>
    <x v="1"/>
    <x v="0"/>
    <n v="0"/>
    <n v="0"/>
    <n v="0"/>
    <x v="0"/>
  </r>
  <r>
    <x v="0"/>
    <s v="ETSI TS 119 511 Electronic Signatures and Infrastructures (ESI); Policy and security requirements for trust service providers providing long-term preservation of digital signatures or general data using digital signature techniques"/>
    <m/>
    <s v="ETSI TS 119 511"/>
    <s v="ETSI"/>
    <s v="1.1.1"/>
    <m/>
    <x v="7"/>
    <x v="0"/>
    <x v="5"/>
    <n v="0"/>
    <n v="0"/>
    <n v="0"/>
    <x v="1"/>
  </r>
  <r>
    <x v="0"/>
    <s v="Geo-DCAT-AP"/>
    <s v="Geo-DCAT-AP"/>
    <m/>
    <s v="EC"/>
    <s v="2.0.0"/>
    <m/>
    <x v="0"/>
    <x v="0"/>
    <x v="0"/>
    <n v="0"/>
    <n v="0"/>
    <n v="1"/>
    <x v="0"/>
  </r>
  <r>
    <x v="0"/>
    <s v="ISO/IEC 30141:2018 Internet of Things (IoT) — Reference Architecture"/>
    <m/>
    <s v="ISO/IEC 30141:2018"/>
    <s v="ISO"/>
    <s v="1.0.0"/>
    <m/>
    <x v="0"/>
    <x v="0"/>
    <x v="0"/>
    <n v="0"/>
    <n v="0"/>
    <n v="2"/>
    <x v="0"/>
  </r>
  <r>
    <x v="0"/>
    <s v="Scalable Vector Graphics (SVG) v1.1 (Second Edition)"/>
    <s v="SVG"/>
    <m/>
    <s v="W3C"/>
    <s v="1.1.0"/>
    <m/>
    <x v="12"/>
    <x v="0"/>
    <x v="0"/>
    <n v="0"/>
    <n v="0"/>
    <n v="0"/>
    <x v="0"/>
  </r>
  <r>
    <x v="0"/>
    <s v="The Remote Framebuffer Protocol (RFB)"/>
    <s v="RFB"/>
    <m/>
    <s v="IETF"/>
    <s v="3.0.0"/>
    <m/>
    <x v="1"/>
    <x v="2"/>
    <x v="0"/>
    <n v="0"/>
    <n v="0"/>
    <n v="0"/>
    <x v="0"/>
  </r>
  <r>
    <x v="0"/>
    <s v="Online Access Act (OZG)"/>
    <s v="OZG"/>
    <m/>
    <s v="Government of Germany"/>
    <s v="1.0.0"/>
    <m/>
    <x v="9"/>
    <x v="0"/>
    <x v="0"/>
    <n v="1"/>
    <n v="0"/>
    <n v="0"/>
    <x v="0"/>
  </r>
  <r>
    <x v="0"/>
    <s v="X.1171 : Threats and requirements for protection of personally identifiable information in applications using tag-based identification"/>
    <m/>
    <s v="ITU-T X.1171"/>
    <s v="ITU"/>
    <s v="1.0.0"/>
    <m/>
    <x v="1"/>
    <x v="1"/>
    <x v="0"/>
    <n v="0"/>
    <n v="0"/>
    <n v="0"/>
    <x v="0"/>
  </r>
  <r>
    <x v="0"/>
    <s v="Trusted Automated Exchange of Intelligence Information"/>
    <s v="TAXII"/>
    <m/>
    <s v="OASIS"/>
    <s v="2.1.0"/>
    <m/>
    <x v="7"/>
    <x v="0"/>
    <x v="2"/>
    <n v="0"/>
    <n v="0"/>
    <n v="0"/>
    <x v="0"/>
  </r>
  <r>
    <x v="0"/>
    <s v="NIEM High-Level Version Architecture (HLVA)"/>
    <s v="HLVA"/>
    <m/>
    <s v="NTAC"/>
    <s v="5.0.0"/>
    <m/>
    <x v="7"/>
    <x v="0"/>
    <x v="1"/>
    <n v="0"/>
    <n v="0"/>
    <n v="0"/>
    <x v="0"/>
  </r>
  <r>
    <x v="0"/>
    <s v="Hydra Core Vocabulary"/>
    <m/>
    <m/>
    <s v="W3C"/>
    <s v="1.0.0"/>
    <m/>
    <x v="15"/>
    <x v="0"/>
    <x v="0"/>
    <n v="0"/>
    <n v="1"/>
    <n v="1"/>
    <x v="0"/>
  </r>
  <r>
    <x v="0"/>
    <s v="Extended Knowledge Organization System (XKOS)"/>
    <s v="XKOS"/>
    <m/>
    <s v="DDI Alliance"/>
    <s v="1.0.0"/>
    <m/>
    <x v="0"/>
    <x v="0"/>
    <x v="0"/>
    <n v="0"/>
    <n v="0"/>
    <n v="1"/>
    <x v="0"/>
  </r>
  <r>
    <x v="0"/>
    <s v="L2TP over IPSec using ESP transport mode (L2TP/IPSec)"/>
    <s v="L2TP/IPSec"/>
    <m/>
    <s v="IETF"/>
    <s v="2.0.0"/>
    <m/>
    <x v="1"/>
    <x v="1"/>
    <x v="0"/>
    <n v="0"/>
    <n v="0"/>
    <n v="0"/>
    <x v="0"/>
  </r>
  <r>
    <x v="0"/>
    <s v="HTML+RDFa"/>
    <s v="HTML+RDFa"/>
    <m/>
    <s v="W3C"/>
    <s v="1.1.0"/>
    <m/>
    <x v="0"/>
    <x v="0"/>
    <x v="0"/>
    <n v="0"/>
    <n v="0"/>
    <n v="2"/>
    <x v="0"/>
  </r>
  <r>
    <x v="0"/>
    <s v="X.1250 : Baseline capabilities for enhanced global identity management and interoperability"/>
    <m/>
    <s v="ITU-T X.1250"/>
    <s v="ITU"/>
    <s v="1.0.0"/>
    <m/>
    <x v="7"/>
    <x v="0"/>
    <x v="3"/>
    <n v="0"/>
    <n v="0"/>
    <n v="0"/>
    <x v="0"/>
  </r>
  <r>
    <x v="0"/>
    <s v="Decentralized Identifiers (DIDs) v1.0"/>
    <s v="DIDs"/>
    <m/>
    <s v="W3C"/>
    <s v="1.0.0"/>
    <m/>
    <x v="6"/>
    <x v="1"/>
    <x v="1"/>
    <n v="0"/>
    <n v="0"/>
    <n v="0"/>
    <x v="1"/>
  </r>
  <r>
    <x v="0"/>
    <s v="Socrata Open Data Server (SODA)"/>
    <s v="SODA"/>
    <m/>
    <s v="Socrata"/>
    <s v="1.0.0"/>
    <m/>
    <x v="6"/>
    <x v="1"/>
    <x v="3"/>
    <n v="0"/>
    <n v="0"/>
    <n v="0"/>
    <x v="0"/>
  </r>
  <r>
    <x v="0"/>
    <s v="E-ARK Submission Information Package (SIP)"/>
    <s v="E-ARK SIP"/>
    <m/>
    <s v="DILCIS Board"/>
    <s v="2.1.0"/>
    <m/>
    <x v="7"/>
    <x v="0"/>
    <x v="1"/>
    <n v="0"/>
    <n v="0"/>
    <n v="0"/>
    <x v="0"/>
  </r>
  <r>
    <x v="0"/>
    <s v="Cloud API Service Consistency (CASC) score"/>
    <s v="CASC"/>
    <m/>
    <s v="APImetrics"/>
    <s v="2.0.0"/>
    <m/>
    <x v="7"/>
    <x v="0"/>
    <x v="1"/>
    <n v="0"/>
    <n v="0"/>
    <n v="0"/>
    <x v="0"/>
  </r>
  <r>
    <x v="0"/>
    <s v="Requirements and reference architecture of a Security Gateway for the exchange of industry data and services (DIN SPEC 27070:2020-03)"/>
    <m/>
    <s v="DIN SPEC 27070:2020-03"/>
    <s v="IDSA"/>
    <s v="1.0.0"/>
    <m/>
    <x v="7"/>
    <x v="0"/>
    <x v="2"/>
    <n v="0"/>
    <n v="0"/>
    <n v="0"/>
    <x v="0"/>
  </r>
  <r>
    <x v="0"/>
    <s v="GXFSv2 ICAM"/>
    <m/>
    <m/>
    <s v="GAIA-X"/>
    <s v="24.7.0"/>
    <m/>
    <x v="7"/>
    <x v="0"/>
    <x v="6"/>
    <n v="0"/>
    <n v="0"/>
    <n v="0"/>
    <x v="0"/>
  </r>
  <r>
    <x v="0"/>
    <s v="Federated Catalogue"/>
    <m/>
    <m/>
    <s v="GAIA-X"/>
    <s v="22.10.0"/>
    <m/>
    <x v="5"/>
    <x v="0"/>
    <x v="1"/>
    <n v="0"/>
    <n v="0"/>
    <n v="1"/>
    <x v="0"/>
  </r>
  <r>
    <x v="0"/>
    <s v="Reactive WebSocket"/>
    <m/>
    <m/>
    <s v="Spring"/>
    <s v="1.0.0"/>
    <m/>
    <x v="7"/>
    <x v="0"/>
    <x v="3"/>
    <n v="0"/>
    <n v="0"/>
    <n v="0"/>
    <x v="0"/>
  </r>
  <r>
    <x v="0"/>
    <s v="Yet Another Markup Language (YAML)"/>
    <s v="YAML"/>
    <m/>
    <s v="yaml.org"/>
    <s v="1.2.2"/>
    <m/>
    <x v="1"/>
    <x v="6"/>
    <x v="0"/>
    <n v="0"/>
    <n v="0"/>
    <n v="0"/>
    <x v="1"/>
  </r>
  <r>
    <x v="0"/>
    <s v="Architectures and protocols for remote signature applications"/>
    <m/>
    <m/>
    <s v="CSC"/>
    <s v="1.0.0"/>
    <m/>
    <x v="7"/>
    <x v="0"/>
    <x v="1"/>
    <n v="0"/>
    <n v="0"/>
    <n v="0"/>
    <x v="0"/>
  </r>
  <r>
    <x v="0"/>
    <s v="Data Use Ontology (DUO)"/>
    <s v="DUO"/>
    <m/>
    <s v="GA4GH"/>
    <s v="1.0.0"/>
    <m/>
    <x v="0"/>
    <x v="0"/>
    <x v="0"/>
    <n v="0"/>
    <n v="0"/>
    <n v="3"/>
    <x v="0"/>
  </r>
  <r>
    <x v="0"/>
    <s v="Constrained Application Protocol (CoAP)"/>
    <m/>
    <s v="CoAP"/>
    <s v="IETF"/>
    <s v="Jun 14"/>
    <m/>
    <x v="7"/>
    <x v="0"/>
    <x v="1"/>
    <n v="0"/>
    <n v="0"/>
    <n v="0"/>
    <x v="0"/>
  </r>
  <r>
    <x v="0"/>
    <s v="System for Cross-domain Identity Management: Definitions, Overview, Concepts, and Requirements RFC 7642"/>
    <s v="SCIM"/>
    <s v="RFC 7642"/>
    <s v="IETF"/>
    <s v="8.0.0"/>
    <m/>
    <x v="7"/>
    <x v="0"/>
    <x v="1"/>
    <n v="0"/>
    <n v="0"/>
    <n v="0"/>
    <x v="1"/>
  </r>
  <r>
    <x v="0"/>
    <s v="IT4IT"/>
    <s v="IT4IT"/>
    <m/>
    <s v="Open Group"/>
    <s v="1.0.0"/>
    <m/>
    <x v="0"/>
    <x v="0"/>
    <x v="0"/>
    <n v="0"/>
    <n v="0"/>
    <n v="1"/>
    <x v="0"/>
  </r>
  <r>
    <x v="0"/>
    <s v="2011/833/EU: Commission Decision of 12 December 2011 on the reuse of Commission documents"/>
    <m/>
    <s v="Decision 2011/833/EU"/>
    <s v="EC"/>
    <s v="L 330/39"/>
    <m/>
    <x v="9"/>
    <x v="0"/>
    <x v="0"/>
    <n v="1"/>
    <n v="0"/>
    <n v="0"/>
    <x v="0"/>
  </r>
  <r>
    <x v="0"/>
    <s v="SPARQL 1.1 Graph Store HTTP Protocol"/>
    <m/>
    <m/>
    <s v="W3C"/>
    <s v="1.1.0"/>
    <m/>
    <x v="7"/>
    <x v="0"/>
    <x v="4"/>
    <n v="0"/>
    <n v="0"/>
    <n v="0"/>
    <x v="0"/>
  </r>
  <r>
    <x v="0"/>
    <s v="ETSI TS 103 744 CYBER; Quantum-safe Hybrid Key Exchanges"/>
    <m/>
    <s v="ETSI TS 103 744"/>
    <s v="ETSI"/>
    <s v="1.1.1"/>
    <m/>
    <x v="7"/>
    <x v="0"/>
    <x v="2"/>
    <n v="0"/>
    <n v="0"/>
    <n v="0"/>
    <x v="0"/>
  </r>
  <r>
    <x v="0"/>
    <s v="Core Assessment Vocabulary (CAV)"/>
    <s v="CAV"/>
    <m/>
    <s v="EC"/>
    <s v="1.1.0"/>
    <m/>
    <x v="0"/>
    <x v="0"/>
    <x v="0"/>
    <n v="0"/>
    <n v="0"/>
    <n v="10"/>
    <x v="0"/>
  </r>
  <r>
    <x v="0"/>
    <s v="UN/EDIFACT Syntax 3"/>
    <m/>
    <m/>
    <s v="UNECE"/>
    <s v="3.0.0"/>
    <m/>
    <x v="5"/>
    <x v="0"/>
    <x v="1"/>
    <n v="0"/>
    <n v="0"/>
    <n v="2"/>
    <x v="0"/>
  </r>
  <r>
    <x v="0"/>
    <s v="PSC Charter"/>
    <m/>
    <m/>
    <s v="EC"/>
    <s v="1.0.0"/>
    <m/>
    <x v="9"/>
    <x v="0"/>
    <x v="0"/>
    <n v="1"/>
    <n v="0"/>
    <n v="0"/>
    <x v="0"/>
  </r>
  <r>
    <x v="0"/>
    <s v="EUDI Wallet Architecture &amp; Reference Framework (EUDI RAF)"/>
    <s v="EUDI RAF"/>
    <m/>
    <s v="EC"/>
    <s v="1.0.0"/>
    <m/>
    <x v="7"/>
    <x v="0"/>
    <x v="1"/>
    <n v="0"/>
    <n v="0"/>
    <n v="0"/>
    <x v="0"/>
  </r>
  <r>
    <x v="0"/>
    <s v="ISO/IEC 9797-1:2011 Information technology - Security techniques - Message Authentication Codes (MACs) - Part 1: Mechanisms using a block cipher"/>
    <s v="MACs"/>
    <s v="ISO/IEC 9797-1:2011"/>
    <s v="ISO"/>
    <s v="2.0.0"/>
    <m/>
    <x v="7"/>
    <x v="0"/>
    <x v="5"/>
    <n v="0"/>
    <n v="0"/>
    <n v="0"/>
    <x v="0"/>
  </r>
  <r>
    <x v="0"/>
    <s v="Cipher-based Message Authentication Code (CMAC)"/>
    <s v="CMAC"/>
    <m/>
    <s v="NIST"/>
    <s v="1.0.0"/>
    <m/>
    <x v="7"/>
    <x v="0"/>
    <x v="1"/>
    <n v="0"/>
    <n v="0"/>
    <n v="0"/>
    <x v="0"/>
  </r>
  <r>
    <x v="0"/>
    <s v="HMAC: Keyed-Hashing for Message Authentication"/>
    <m/>
    <m/>
    <s v="IETF"/>
    <s v="1.0.0"/>
    <m/>
    <x v="5"/>
    <x v="0"/>
    <x v="1"/>
    <n v="0"/>
    <n v="0"/>
    <n v="1"/>
    <x v="0"/>
  </r>
  <r>
    <x v="0"/>
    <s v="Council Directive 2006/112/EC of 28 November 2006 on the common system of value added tax"/>
    <m/>
    <s v="Directive 2006/112/EC"/>
    <s v="OP"/>
    <s v="L 347/1"/>
    <m/>
    <x v="9"/>
    <x v="0"/>
    <x v="0"/>
    <n v="1"/>
    <n v="0"/>
    <n v="0"/>
    <x v="0"/>
  </r>
  <r>
    <x v="0"/>
    <s v="Ontology-Based Model of E-Governance"/>
    <m/>
    <m/>
    <s v="OP"/>
    <s v="1.0.0"/>
    <m/>
    <x v="15"/>
    <x v="0"/>
    <x v="0"/>
    <n v="0"/>
    <n v="1"/>
    <n v="1"/>
    <x v="0"/>
  </r>
  <r>
    <x v="0"/>
    <s v="CEN Workshop Agreement (CWA)"/>
    <s v="CWA"/>
    <m/>
    <s v="CEN-CENELEC"/>
    <s v="2.0.0"/>
    <m/>
    <x v="7"/>
    <x v="0"/>
    <x v="1"/>
    <n v="0"/>
    <n v="0"/>
    <n v="0"/>
    <x v="0"/>
  </r>
  <r>
    <x v="0"/>
    <s v="DIRECTIVE (EU) 2019/770 OF THE EUROPEAN PARLIAMENT AND OF THE COUNCIL of 20 May 2019 on certain aspects concerning contracts for the supply of digital content and digital services"/>
    <m/>
    <s v="Directive 2019/770/EU"/>
    <s v="OP"/>
    <s v="L 136/1"/>
    <m/>
    <x v="9"/>
    <x v="0"/>
    <x v="0"/>
    <n v="5"/>
    <n v="0"/>
    <n v="0"/>
    <x v="0"/>
  </r>
  <r>
    <x v="0"/>
    <s v="SmartM2M; Requirements and Guidelines for cross-domain data usability of IoT devices (ETSI TS 103 779)"/>
    <m/>
    <s v="ETSI TS 103 779"/>
    <s v="ETSI"/>
    <s v="1.1.1"/>
    <m/>
    <x v="11"/>
    <x v="1"/>
    <x v="1"/>
    <n v="0"/>
    <n v="0"/>
    <n v="1"/>
    <x v="0"/>
  </r>
  <r>
    <x v="0"/>
    <s v="The OpenContainers Runtime Spec"/>
    <m/>
    <m/>
    <s v="OCI"/>
    <s v="1.2.0"/>
    <m/>
    <x v="1"/>
    <x v="2"/>
    <x v="0"/>
    <n v="0"/>
    <n v="0"/>
    <n v="0"/>
    <x v="0"/>
  </r>
  <r>
    <x v="0"/>
    <s v="ISO/IEC 23736-4:2020 Information technology — Digital publishing — EPUB 3.0.1 — Part 4: Open container format"/>
    <s v="EPUB OCF"/>
    <s v="ISO/IEC 23736-4:2020"/>
    <s v="ISO"/>
    <s v="1.0.0"/>
    <m/>
    <x v="7"/>
    <x v="0"/>
    <x v="1"/>
    <n v="0"/>
    <n v="0"/>
    <n v="0"/>
    <x v="0"/>
  </r>
  <r>
    <x v="0"/>
    <s v="ECMAScript language specification"/>
    <m/>
    <m/>
    <s v="Ecma"/>
    <s v="13.0.0"/>
    <m/>
    <x v="12"/>
    <x v="0"/>
    <x v="0"/>
    <n v="0"/>
    <n v="0"/>
    <n v="0"/>
    <x v="0"/>
  </r>
  <r>
    <x v="0"/>
    <s v="ISO/IEC 30115:2018 Information technology — Redfish scalable platforms management API specification"/>
    <m/>
    <s v="ISO/IEC 30115:2018"/>
    <s v="ISO"/>
    <s v="1.2.0"/>
    <m/>
    <x v="1"/>
    <x v="1"/>
    <x v="0"/>
    <n v="0"/>
    <n v="0"/>
    <n v="0"/>
    <x v="0"/>
  </r>
  <r>
    <x v="0"/>
    <s v="CloudEvents v1.0.2"/>
    <m/>
    <m/>
    <s v="CNCF"/>
    <s v="1.0.2"/>
    <m/>
    <x v="0"/>
    <x v="0"/>
    <x v="0"/>
    <n v="0"/>
    <n v="0"/>
    <n v="3"/>
    <x v="0"/>
  </r>
  <r>
    <x v="0"/>
    <s v="Requirements and recommendations regarding the Digital Certificates used in eDelivery"/>
    <m/>
    <m/>
    <s v="EC"/>
    <s v="1.0.0"/>
    <m/>
    <x v="7"/>
    <x v="0"/>
    <x v="1"/>
    <n v="0"/>
    <n v="0"/>
    <n v="0"/>
    <x v="0"/>
  </r>
  <r>
    <x v="0"/>
    <s v="CYBER; Identity Management and Discovery for IoT (ETSI TS 103 486)"/>
    <m/>
    <s v="ETSI TS 103 486"/>
    <s v="ETSI"/>
    <s v="1.1.1"/>
    <m/>
    <x v="6"/>
    <x v="1"/>
    <x v="2"/>
    <n v="0"/>
    <n v="0"/>
    <n v="0"/>
    <x v="0"/>
  </r>
  <r>
    <x v="0"/>
    <s v="ITU-T Y.4464 Framework of blockchain of things as decentralized service platform"/>
    <m/>
    <s v="ITU-T Y.4464"/>
    <s v="ITU"/>
    <s v="1.0.0"/>
    <m/>
    <x v="7"/>
    <x v="0"/>
    <x v="1"/>
    <n v="0"/>
    <n v="0"/>
    <n v="0"/>
    <x v="0"/>
  </r>
  <r>
    <x v="0"/>
    <s v="EBSI - Verifiable Credentials (EBSI-VC)"/>
    <s v="EBSI-VC"/>
    <m/>
    <s v="EC"/>
    <s v="1.0.0"/>
    <m/>
    <x v="1"/>
    <x v="1"/>
    <x v="0"/>
    <n v="0"/>
    <n v="0"/>
    <n v="0"/>
    <x v="0"/>
  </r>
  <r>
    <x v="0"/>
    <s v="Universal 2nd Factor (U2F)"/>
    <s v="U2F"/>
    <m/>
    <s v="W3C"/>
    <s v="1.2.0"/>
    <m/>
    <x v="7"/>
    <x v="0"/>
    <x v="1"/>
    <n v="0"/>
    <n v="0"/>
    <n v="0"/>
    <x v="0"/>
  </r>
  <r>
    <x v="0"/>
    <s v="Electronic Signatures and Infrastructures (ESI); PAdES digital signatures; Part 1: Building blocks and PAdES baseline signatures (ETSI EN 319 142-1)"/>
    <s v="PAdES"/>
    <m/>
    <s v="ETSI"/>
    <s v="1.1.1"/>
    <m/>
    <x v="7"/>
    <x v="0"/>
    <x v="2"/>
    <n v="0"/>
    <n v="0"/>
    <n v="0"/>
    <x v="0"/>
  </r>
  <r>
    <x v="0"/>
    <s v="Electronic Signatures and Infrastructures (ESI); PAdES digital signatures; Part 1: Building blocks and PAdES baseline signatures (ETSI EN 319 142-1)"/>
    <s v="PAdES"/>
    <m/>
    <s v="ETSI"/>
    <s v="1.2.1"/>
    <m/>
    <x v="7"/>
    <x v="0"/>
    <x v="2"/>
    <n v="0"/>
    <n v="0"/>
    <n v="0"/>
    <x v="1"/>
  </r>
  <r>
    <x v="0"/>
    <s v="ITU-T Y.3653 Functional architecture of big data-driven networking"/>
    <m/>
    <s v="ITU-T Y.3653"/>
    <s v="ITU"/>
    <s v="1.0.0"/>
    <m/>
    <x v="7"/>
    <x v="0"/>
    <x v="1"/>
    <n v="0"/>
    <n v="0"/>
    <n v="0"/>
    <x v="0"/>
  </r>
  <r>
    <x v="0"/>
    <s v="European Interoperability Reference Architecture (EIRA) v6.1.0"/>
    <s v="EIRA"/>
    <m/>
    <s v="EC"/>
    <s v="6.1.0"/>
    <m/>
    <x v="13"/>
    <x v="0"/>
    <x v="5"/>
    <n v="0"/>
    <n v="1"/>
    <n v="0"/>
    <x v="1"/>
  </r>
  <r>
    <x v="0"/>
    <s v="DID resolution"/>
    <m/>
    <m/>
    <s v="W3C"/>
    <s v="1.0.0"/>
    <m/>
    <x v="1"/>
    <x v="1"/>
    <x v="0"/>
    <n v="0"/>
    <n v="0"/>
    <n v="0"/>
    <x v="0"/>
  </r>
  <r>
    <x v="0"/>
    <s v="ISO/IEC/IEEE 24774:2021 Systems and software engineering — Life cycle management — Specification for process description"/>
    <m/>
    <s v="ISO/IEC/IEEE 24774:2021"/>
    <s v="ISO"/>
    <s v="1.0.0"/>
    <m/>
    <x v="1"/>
    <x v="2"/>
    <x v="0"/>
    <n v="0"/>
    <n v="0"/>
    <n v="0"/>
    <x v="0"/>
  </r>
  <r>
    <x v="0"/>
    <s v="Electronic Signatures and Infrastructures (ESI); XAdES digital signatures; Part 2: Extended XAdES signatures (ETSI EN 319 132-2)"/>
    <s v="XAdES"/>
    <m/>
    <s v="ETSI"/>
    <s v="1.1.1"/>
    <m/>
    <x v="7"/>
    <x v="0"/>
    <x v="2"/>
    <n v="0"/>
    <n v="0"/>
    <n v="0"/>
    <x v="0"/>
  </r>
  <r>
    <x v="0"/>
    <s v="Circular public procurement of information and communication technologies"/>
    <m/>
    <s v="ITU-T L.1061"/>
    <s v="ITU"/>
    <s v="1.0.0"/>
    <m/>
    <x v="12"/>
    <x v="0"/>
    <x v="0"/>
    <n v="0"/>
    <n v="0"/>
    <n v="0"/>
    <x v="0"/>
  </r>
  <r>
    <x v="0"/>
    <s v="Open Archives Initiative Protocol for Metadata Harvesting OAI-PMH"/>
    <m/>
    <m/>
    <s v="OAI"/>
    <s v="2.0.0"/>
    <m/>
    <x v="5"/>
    <x v="0"/>
    <x v="2"/>
    <n v="0"/>
    <n v="0"/>
    <n v="2"/>
    <x v="0"/>
  </r>
  <r>
    <x v="0"/>
    <s v="GITB Messaging Service API"/>
    <m/>
    <m/>
    <s v="EC"/>
    <s v="1.4.0"/>
    <m/>
    <x v="7"/>
    <x v="0"/>
    <x v="1"/>
    <n v="0"/>
    <n v="0"/>
    <n v="0"/>
    <x v="0"/>
  </r>
  <r>
    <x v="0"/>
    <s v="Open Cloud Computing Interface (OCCI)"/>
    <s v="OCCI"/>
    <m/>
    <s v="OGF"/>
    <s v="1.2.0"/>
    <m/>
    <x v="7"/>
    <x v="0"/>
    <x v="3"/>
    <n v="0"/>
    <n v="0"/>
    <n v="0"/>
    <x v="0"/>
  </r>
  <r>
    <x v="0"/>
    <s v="RESTful API Modeling Language (RAML)"/>
    <m/>
    <m/>
    <s v="RAML"/>
    <s v="1.0.0"/>
    <m/>
    <x v="7"/>
    <x v="0"/>
    <x v="3"/>
    <n v="0"/>
    <n v="0"/>
    <n v="0"/>
    <x v="0"/>
  </r>
  <r>
    <x v="0"/>
    <s v="ODRL Information Model 2.2"/>
    <m/>
    <m/>
    <s v="W3C"/>
    <s v="2.2.0"/>
    <m/>
    <x v="0"/>
    <x v="0"/>
    <x v="0"/>
    <n v="0"/>
    <n v="0"/>
    <n v="4"/>
    <x v="0"/>
  </r>
  <r>
    <x v="0"/>
    <s v="ISO/IEC 23271:2012 Information technology — Common Language Infrastructure (CLI)"/>
    <s v="CLI"/>
    <m/>
    <s v="ISO"/>
    <s v="3.0.0"/>
    <m/>
    <x v="1"/>
    <x v="1"/>
    <x v="0"/>
    <n v="0"/>
    <n v="0"/>
    <n v="0"/>
    <x v="0"/>
  </r>
  <r>
    <x v="0"/>
    <s v="RapidAPI"/>
    <m/>
    <m/>
    <s v="RapidAPI"/>
    <s v="1.0.0"/>
    <m/>
    <x v="7"/>
    <x v="0"/>
    <x v="1"/>
    <n v="0"/>
    <n v="0"/>
    <n v="0"/>
    <x v="0"/>
  </r>
  <r>
    <x v="0"/>
    <s v="ETSI TS 119 512 Electronic Signatures and Infrastructures (ESI); Protocols for trust service providers providing long-term data preservation services."/>
    <s v="ETSI TS 119 512"/>
    <m/>
    <s v="ETSI"/>
    <s v="1.2.1"/>
    <m/>
    <x v="7"/>
    <x v="0"/>
    <x v="5"/>
    <n v="0"/>
    <n v="0"/>
    <n v="0"/>
    <x v="0"/>
  </r>
  <r>
    <x v="0"/>
    <s v="Peppol Business Message Envelope (SBDH)"/>
    <s v="SBDH"/>
    <m/>
    <s v="PEPPOL"/>
    <s v="1.2.1"/>
    <m/>
    <x v="7"/>
    <x v="0"/>
    <x v="1"/>
    <n v="0"/>
    <n v="0"/>
    <n v="0"/>
    <x v="0"/>
  </r>
  <r>
    <x v="0"/>
    <s v="ETSI ES 203 199 Environmental Engineering (EE); Methodology for environmental Life Cycle Assessment (LCA) of Information and Communication Technology (ICT) goods, networks and services"/>
    <s v="ETSI ES 203 199"/>
    <m/>
    <s v="ETSI"/>
    <s v="1.4.0"/>
    <m/>
    <x v="2"/>
    <x v="0"/>
    <x v="0"/>
    <n v="0"/>
    <n v="1"/>
    <n v="0"/>
    <x v="0"/>
  </r>
  <r>
    <x v="0"/>
    <s v="COMMISSION DECISION (EU, Euratom) 2017/46 of 10 January 2017 on the security of communication and information systems in the European Commission"/>
    <m/>
    <m/>
    <s v="EC"/>
    <s v="1.0.0"/>
    <m/>
    <x v="9"/>
    <x v="0"/>
    <x v="0"/>
    <n v="1"/>
    <n v="0"/>
    <n v="0"/>
    <x v="0"/>
  </r>
  <r>
    <x v="0"/>
    <s v="European Security Certification Framework (EU-SEC)"/>
    <s v="EU-SEC"/>
    <m/>
    <s v="ECCC"/>
    <s v="1.0.0"/>
    <m/>
    <x v="2"/>
    <x v="0"/>
    <x v="0"/>
    <n v="0"/>
    <n v="2"/>
    <n v="0"/>
    <x v="0"/>
  </r>
  <r>
    <x v="0"/>
    <s v="Cyber Security for Consumer Internet of Things Baseline Requirements (EN 303 645)"/>
    <m/>
    <s v="ETSI EN 303 645"/>
    <s v="ETSI"/>
    <s v="2.1.1"/>
    <m/>
    <x v="12"/>
    <x v="0"/>
    <x v="0"/>
    <n v="0"/>
    <n v="0"/>
    <n v="0"/>
    <x v="0"/>
  </r>
  <r>
    <x v="0"/>
    <s v="Verifiable Credentials"/>
    <s v="VC"/>
    <m/>
    <s v="W3C"/>
    <s v="2.0.0"/>
    <m/>
    <x v="6"/>
    <x v="1"/>
    <x v="3"/>
    <n v="0"/>
    <n v="0"/>
    <n v="0"/>
    <x v="1"/>
  </r>
  <r>
    <x v="0"/>
    <s v="Details of the AAS Part 1 - Metamodel and Package File formats (AAS Metamodel)"/>
    <m/>
    <m/>
    <s v="Platform Industrie 4.0"/>
    <s v="3.0.0"/>
    <m/>
    <x v="0"/>
    <x v="0"/>
    <x v="0"/>
    <n v="0"/>
    <n v="0"/>
    <n v="4"/>
    <x v="0"/>
  </r>
  <r>
    <x v="0"/>
    <s v="Metadata Registries Interoperability and Bindings (MDR-IB) (ISO/IEC 20944-1:2013)"/>
    <s v="MDR-IB"/>
    <s v="ISO/IEC 20944-1:2013"/>
    <s v="ISO"/>
    <s v="1.0.0"/>
    <m/>
    <x v="0"/>
    <x v="0"/>
    <x v="0"/>
    <n v="0"/>
    <n v="0"/>
    <n v="2"/>
    <x v="0"/>
  </r>
  <r>
    <x v="0"/>
    <s v="Account Management API REST Specification (Account API)"/>
    <m/>
    <m/>
    <s v="TM Forum"/>
    <s v="4.0.0"/>
    <m/>
    <x v="7"/>
    <x v="0"/>
    <x v="5"/>
    <n v="0"/>
    <n v="0"/>
    <n v="0"/>
    <x v="0"/>
  </r>
  <r>
    <x v="0"/>
    <s v="GXFS Authentication/Authorization"/>
    <m/>
    <m/>
    <s v="GAIA-X"/>
    <s v="1.0.0"/>
    <m/>
    <x v="7"/>
    <x v="0"/>
    <x v="2"/>
    <n v="0"/>
    <n v="0"/>
    <n v="0"/>
    <x v="0"/>
  </r>
  <r>
    <x v="0"/>
    <s v="ISO/IEC 29500-2:2021 Document description and processing languages — Office Open XML file formats — Part 2: Open packaging conventions"/>
    <m/>
    <m/>
    <s v="ISO"/>
    <s v="4.0.0"/>
    <m/>
    <x v="7"/>
    <x v="0"/>
    <x v="1"/>
    <n v="0"/>
    <n v="0"/>
    <n v="0"/>
    <x v="0"/>
  </r>
  <r>
    <x v="0"/>
    <s v="Additional HTTP Status Codes (RFC 6585)"/>
    <m/>
    <m/>
    <s v="IETF"/>
    <s v="1.0.0"/>
    <m/>
    <x v="0"/>
    <x v="0"/>
    <x v="0"/>
    <n v="0"/>
    <n v="0"/>
    <n v="2"/>
    <x v="0"/>
  </r>
  <r>
    <x v="0"/>
    <s v="eDelivery SMP 1.10"/>
    <s v="SMP"/>
    <m/>
    <s v="EC"/>
    <s v="1.10.0"/>
    <m/>
    <x v="12"/>
    <x v="0"/>
    <x v="0"/>
    <n v="0"/>
    <n v="0"/>
    <n v="0"/>
    <x v="0"/>
  </r>
  <r>
    <x v="0"/>
    <s v="X.1275 : Guidelines on protection of personally identifiable information in the application of RFID technology"/>
    <m/>
    <s v="ITU-T X.1275"/>
    <s v="ITU"/>
    <s v="1.0.0"/>
    <m/>
    <x v="7"/>
    <x v="0"/>
    <x v="2"/>
    <n v="0"/>
    <n v="0"/>
    <n v="0"/>
    <x v="0"/>
  </r>
  <r>
    <x v="0"/>
    <s v="Requirements and capability framework for IoT-based automotive emergency response system"/>
    <m/>
    <s v="ITU-T Y.4119"/>
    <s v="ITU"/>
    <s v="1.0.0"/>
    <m/>
    <x v="6"/>
    <x v="6"/>
    <x v="2"/>
    <n v="0"/>
    <n v="0"/>
    <n v="0"/>
    <x v="0"/>
  </r>
  <r>
    <x v="0"/>
    <s v="ETSI TS 119 612 - Electronic Signatures and Infrastructures (ESI); Trusted Lists"/>
    <m/>
    <s v="ETSI TS 119 612"/>
    <s v="ETSI"/>
    <s v="2.2.1"/>
    <m/>
    <x v="7"/>
    <x v="0"/>
    <x v="3"/>
    <n v="0"/>
    <n v="0"/>
    <n v="0"/>
    <x v="1"/>
  </r>
  <r>
    <x v="0"/>
    <s v="Concise Data Definition Language (CDDL): A Notational Convention to Express Concise Binary Object Representation (CBOR) and JSON Data Structures (RFC 8610)"/>
    <s v="CDDL"/>
    <m/>
    <s v="IETF"/>
    <s v="1.0.0"/>
    <m/>
    <x v="0"/>
    <x v="0"/>
    <x v="0"/>
    <n v="0"/>
    <n v="0"/>
    <n v="2"/>
    <x v="0"/>
  </r>
  <r>
    <x v="0"/>
    <s v="Coordinated Metadata Catalogue Model (CMD)"/>
    <s v="CMD"/>
    <m/>
    <s v="EC"/>
    <s v="2.0.0"/>
    <m/>
    <x v="0"/>
    <x v="0"/>
    <x v="0"/>
    <n v="0"/>
    <n v="0"/>
    <n v="4"/>
    <x v="0"/>
  </r>
  <r>
    <x v="0"/>
    <s v="Common Data Model"/>
    <s v="CDM"/>
    <m/>
    <s v="OP"/>
    <s v="4.7.7"/>
    <m/>
    <x v="0"/>
    <x v="0"/>
    <x v="0"/>
    <n v="0"/>
    <n v="0"/>
    <n v="1"/>
    <x v="0"/>
  </r>
  <r>
    <x v="0"/>
    <s v="XML Advanced Electronic Signatures (XAdES) - ISO 14533-2:2012"/>
    <s v="XAdES"/>
    <s v="ISO 14533-2:2012"/>
    <s v="ISO"/>
    <s v="2.0.0"/>
    <m/>
    <x v="12"/>
    <x v="0"/>
    <x v="0"/>
    <n v="0"/>
    <n v="0"/>
    <n v="0"/>
    <x v="0"/>
  </r>
  <r>
    <x v="0"/>
    <s v="X.1770 : Technical guidelines for secure multi-party computation"/>
    <m/>
    <s v="ITU-T X.1770"/>
    <s v="ITU"/>
    <s v="1.0.0"/>
    <m/>
    <x v="7"/>
    <x v="0"/>
    <x v="3"/>
    <n v="0"/>
    <n v="0"/>
    <n v="0"/>
    <x v="0"/>
  </r>
  <r>
    <x v="0"/>
    <s v="Q.3914 : Set of parameters of cloud computing for monitoring"/>
    <m/>
    <s v="ITU-T Q.3914"/>
    <s v="ITU"/>
    <s v="1.0.0"/>
    <m/>
    <x v="6"/>
    <x v="1"/>
    <x v="1"/>
    <n v="0"/>
    <n v="0"/>
    <n v="0"/>
    <x v="0"/>
  </r>
  <r>
    <x v="0"/>
    <s v="ONB - 004 CX Registration API"/>
    <m/>
    <s v="ONB-004"/>
    <s v="CATENA-X"/>
    <s v="2.1.0"/>
    <m/>
    <x v="7"/>
    <x v="0"/>
    <x v="5"/>
    <n v="0"/>
    <n v="0"/>
    <n v="0"/>
    <x v="0"/>
  </r>
  <r>
    <x v="0"/>
    <s v="IMMC Core Metadata"/>
    <m/>
    <m/>
    <s v="OP"/>
    <s v="3.0.0"/>
    <m/>
    <x v="0"/>
    <x v="0"/>
    <x v="0"/>
    <n v="0"/>
    <n v="0"/>
    <n v="4"/>
    <x v="0"/>
  </r>
  <r>
    <x v="0"/>
    <s v="Requirements and capability framework of digital twin for intelligent transport system"/>
    <m/>
    <s v="ITU-T Y.4225"/>
    <s v="ITU"/>
    <s v="1.0.0"/>
    <m/>
    <x v="12"/>
    <x v="0"/>
    <x v="0"/>
    <n v="0"/>
    <n v="0"/>
    <n v="0"/>
    <x v="0"/>
  </r>
  <r>
    <x v="0"/>
    <s v="Reference Model for an Open Archival Information System (OAIS)"/>
    <s v="OAIS"/>
    <m/>
    <s v="CCSDS"/>
    <s v="2.0.0"/>
    <m/>
    <x v="0"/>
    <x v="0"/>
    <x v="0"/>
    <n v="0"/>
    <n v="0"/>
    <n v="2"/>
    <x v="1"/>
  </r>
  <r>
    <x v="0"/>
    <s v="REST API Standard (RAPIS)"/>
    <s v="RAPIS"/>
    <m/>
    <s v="RAPIS Working Group"/>
    <s v="1.0.0"/>
    <m/>
    <x v="6"/>
    <x v="1"/>
    <x v="5"/>
    <n v="0"/>
    <n v="0"/>
    <n v="0"/>
    <x v="0"/>
  </r>
  <r>
    <x v="0"/>
    <s v="DCAT-AP v2.0.0"/>
    <s v="DCAT-AP"/>
    <m/>
    <s v="EC"/>
    <s v="2.0.0"/>
    <m/>
    <x v="5"/>
    <x v="0"/>
    <x v="2"/>
    <n v="0"/>
    <n v="0"/>
    <n v="8"/>
    <x v="2"/>
  </r>
  <r>
    <x v="0"/>
    <s v="The Digital Europa Thesaurus (DET)"/>
    <s v="DET"/>
    <m/>
    <s v="OP"/>
    <s v="2.0.0"/>
    <m/>
    <x v="0"/>
    <x v="0"/>
    <x v="0"/>
    <n v="0"/>
    <n v="0"/>
    <n v="1"/>
    <x v="0"/>
  </r>
  <r>
    <x v="0"/>
    <s v="IEEE 7001-2021 - IEEE Standard for Transparency of Autonomous Systems"/>
    <m/>
    <s v="IEEE 7001-2021"/>
    <s v="IEEE"/>
    <s v="1.0.0"/>
    <m/>
    <x v="7"/>
    <x v="0"/>
    <x v="1"/>
    <n v="0"/>
    <n v="0"/>
    <n v="0"/>
    <x v="0"/>
  </r>
  <r>
    <x v="0"/>
    <s v="HTTP over SSL/TLS (HTTPS) (RFC 2818)"/>
    <s v="HTTPS"/>
    <s v="RFC 2818"/>
    <s v="IETF"/>
    <s v="3.0.0"/>
    <m/>
    <x v="7"/>
    <x v="0"/>
    <x v="1"/>
    <n v="0"/>
    <n v="0"/>
    <n v="0"/>
    <x v="2"/>
  </r>
  <r>
    <x v="0"/>
    <s v="GeoJSON"/>
    <s v="GeoJSON"/>
    <m/>
    <s v="IETF"/>
    <s v="5.0.0"/>
    <m/>
    <x v="5"/>
    <x v="0"/>
    <x v="5"/>
    <n v="0"/>
    <n v="0"/>
    <n v="1"/>
    <x v="0"/>
  </r>
  <r>
    <x v="0"/>
    <s v="Electronic Signatures and Infrastructures (ESI); Time-stamping protocol and time-stamp token profiles"/>
    <m/>
    <s v="ETSI EN 319 422"/>
    <s v="ETSI"/>
    <s v="1.1.1"/>
    <m/>
    <x v="12"/>
    <x v="0"/>
    <x v="0"/>
    <n v="0"/>
    <n v="0"/>
    <n v="0"/>
    <x v="0"/>
  </r>
  <r>
    <x v="0"/>
    <s v="Office Open XML File Formats Part 4: Transitional Migration Features"/>
    <m/>
    <s v="ISO/IEC 29500-4:2016"/>
    <s v="ISO"/>
    <s v="4.0.0"/>
    <m/>
    <x v="7"/>
    <x v="0"/>
    <x v="4"/>
    <n v="0"/>
    <n v="0"/>
    <n v="0"/>
    <x v="0"/>
  </r>
  <r>
    <x v="0"/>
    <s v="Y.4208 : Internet of things requirements for support of edge computing"/>
    <m/>
    <s v="ITU-T Y.4208"/>
    <s v="ITU"/>
    <s v="1.0.0"/>
    <m/>
    <x v="1"/>
    <x v="2"/>
    <x v="0"/>
    <n v="0"/>
    <n v="0"/>
    <n v="0"/>
    <x v="0"/>
  </r>
  <r>
    <x v="0"/>
    <s v="W3C PROV-N: The Provenance Notation"/>
    <s v="PROV-N"/>
    <m/>
    <s v="W3C"/>
    <s v="1.0.0"/>
    <m/>
    <x v="0"/>
    <x v="0"/>
    <x v="0"/>
    <n v="0"/>
    <n v="0"/>
    <n v="5"/>
    <x v="0"/>
  </r>
  <r>
    <x v="0"/>
    <s v="SmartM2M; Smart Applications;  Reference Ontology and oneM2M Mapping (ETSI TS 103 264)"/>
    <m/>
    <s v="ETSI TS 103 264"/>
    <s v="ETSI"/>
    <s v="4.1.1"/>
    <m/>
    <x v="0"/>
    <x v="0"/>
    <x v="0"/>
    <n v="0"/>
    <n v="0"/>
    <n v="5"/>
    <x v="0"/>
  </r>
  <r>
    <x v="0"/>
    <s v="Indian Urban Data Exchange (IUDX)"/>
    <s v="IUDX"/>
    <m/>
    <s v="Government of India"/>
    <s v="1.0.0"/>
    <m/>
    <x v="13"/>
    <x v="0"/>
    <x v="7"/>
    <n v="0"/>
    <n v="2"/>
    <n v="0"/>
    <x v="0"/>
  </r>
  <r>
    <x v="0"/>
    <s v="WebFinger protocol"/>
    <m/>
    <m/>
    <s v="IETF"/>
    <s v="1.0.0"/>
    <m/>
    <x v="7"/>
    <x v="0"/>
    <x v="5"/>
    <n v="0"/>
    <n v="0"/>
    <n v="0"/>
    <x v="0"/>
  </r>
  <r>
    <x v="0"/>
    <s v="CMS Advanced Electronic Signatures (CAdES) - ISO 14533-1:2014"/>
    <s v="CAdES"/>
    <s v="ISO 14533-1:2014"/>
    <s v="ISO"/>
    <s v="None"/>
    <m/>
    <x v="12"/>
    <x v="0"/>
    <x v="0"/>
    <n v="0"/>
    <n v="0"/>
    <n v="0"/>
    <x v="0"/>
  </r>
  <r>
    <x v="0"/>
    <s v="JSON-stat Dataset Format"/>
    <m/>
    <s v="JSON-stat"/>
    <s v="json-stat"/>
    <s v="2.0.0"/>
    <m/>
    <x v="0"/>
    <x v="0"/>
    <x v="0"/>
    <n v="0"/>
    <n v="0"/>
    <n v="2"/>
    <x v="0"/>
  </r>
  <r>
    <x v="0"/>
    <s v="Apache Avro"/>
    <m/>
    <m/>
    <s v="Apache Software Foundation"/>
    <s v="1.12.0"/>
    <m/>
    <x v="7"/>
    <x v="0"/>
    <x v="3"/>
    <n v="0"/>
    <n v="0"/>
    <n v="0"/>
    <x v="0"/>
  </r>
  <r>
    <x v="0"/>
    <s v="REGULATION (EU) 2019/1157 OF THE EUROPEAN PARLIAMENT AND OF THE COUNCIL of 20 June 2019 on strengthening the security of identity cards of Union citizens and of residence documents issued to Union citizens and their family members exercising their right of free movement"/>
    <m/>
    <s v="Regulation 2019/1157/EU"/>
    <s v="OP"/>
    <s v="L 188/67"/>
    <m/>
    <x v="9"/>
    <x v="0"/>
    <x v="0"/>
    <n v="5"/>
    <n v="0"/>
    <n v="0"/>
    <x v="0"/>
  </r>
  <r>
    <x v="0"/>
    <s v="BIS eDelivery guide for pre-award"/>
    <m/>
    <m/>
    <s v="PEPPOL"/>
    <s v="1.2.0"/>
    <m/>
    <x v="12"/>
    <x v="0"/>
    <x v="0"/>
    <n v="0"/>
    <n v="0"/>
    <n v="0"/>
    <x v="0"/>
  </r>
  <r>
    <x v="0"/>
    <s v="OpenStack"/>
    <m/>
    <m/>
    <s v="OpenStack"/>
    <s v="25.0.0"/>
    <m/>
    <x v="1"/>
    <x v="1"/>
    <x v="0"/>
    <n v="0"/>
    <n v="0"/>
    <n v="0"/>
    <x v="0"/>
  </r>
  <r>
    <x v="0"/>
    <s v="WDS Publishing Data Services"/>
    <m/>
    <m/>
    <s v="RDA"/>
    <s v="None"/>
    <m/>
    <x v="12"/>
    <x v="0"/>
    <x v="0"/>
    <n v="0"/>
    <n v="0"/>
    <n v="0"/>
    <x v="0"/>
  </r>
  <r>
    <x v="0"/>
    <s v="European Interoperability Reference Architecture (EIRA) v5.0.0"/>
    <s v="EIRA"/>
    <m/>
    <s v="EC"/>
    <s v="5.0.0"/>
    <m/>
    <x v="13"/>
    <x v="0"/>
    <x v="5"/>
    <n v="0"/>
    <n v="1"/>
    <n v="0"/>
    <x v="0"/>
  </r>
  <r>
    <x v="0"/>
    <s v="MIME"/>
    <s v="MIME"/>
    <m/>
    <s v="IETF"/>
    <s v="6.0.0"/>
    <m/>
    <x v="7"/>
    <x v="0"/>
    <x v="1"/>
    <n v="0"/>
    <n v="0"/>
    <n v="0"/>
    <x v="2"/>
  </r>
  <r>
    <x v="0"/>
    <s v="GS1 EANCOM Syntax 4 standard"/>
    <m/>
    <m/>
    <s v="GS1"/>
    <s v="4.0.0"/>
    <m/>
    <x v="0"/>
    <x v="0"/>
    <x v="0"/>
    <n v="0"/>
    <n v="0"/>
    <n v="2"/>
    <x v="0"/>
  </r>
  <r>
    <x v="0"/>
    <s v="Advanced Message Queuing Protocol (AMQP)"/>
    <s v="AMQP"/>
    <m/>
    <s v="OASIS"/>
    <s v="1.0.0"/>
    <m/>
    <x v="6"/>
    <x v="1"/>
    <x v="1"/>
    <n v="0"/>
    <n v="0"/>
    <n v="0"/>
    <x v="1"/>
  </r>
  <r>
    <x v="0"/>
    <s v="RosettaNet Implementation Framework (RNIF)"/>
    <s v="RNIF"/>
    <m/>
    <s v="GS1"/>
    <s v="2.0.0"/>
    <m/>
    <x v="5"/>
    <x v="0"/>
    <x v="5"/>
    <n v="0"/>
    <n v="0"/>
    <n v="1"/>
    <x v="0"/>
  </r>
  <r>
    <x v="0"/>
    <s v="Linked Data Event Streams"/>
    <s v="LDES"/>
    <m/>
    <s v="EC"/>
    <s v="1.0.0"/>
    <m/>
    <x v="11"/>
    <x v="2"/>
    <x v="2"/>
    <n v="0"/>
    <n v="0"/>
    <n v="1"/>
    <x v="1"/>
  </r>
  <r>
    <x v="0"/>
    <s v="Gaia-X Policy Rules and Labelling Document"/>
    <m/>
    <m/>
    <s v="GAIA-X"/>
    <s v="22.11.0"/>
    <m/>
    <x v="13"/>
    <x v="0"/>
    <x v="5"/>
    <n v="0"/>
    <n v="1"/>
    <n v="0"/>
    <x v="0"/>
  </r>
  <r>
    <x v="0"/>
    <s v="Linked Data Event Streams (LDES)"/>
    <s v="LDES"/>
    <m/>
    <s v="EC"/>
    <s v="2.0.0"/>
    <m/>
    <x v="11"/>
    <x v="2"/>
    <x v="2"/>
    <n v="0"/>
    <n v="0"/>
    <n v="1"/>
    <x v="0"/>
  </r>
  <r>
    <x v="0"/>
    <s v="Data Collections API"/>
    <m/>
    <m/>
    <s v="RDA"/>
    <s v="None"/>
    <m/>
    <x v="12"/>
    <x v="0"/>
    <x v="0"/>
    <n v="0"/>
    <n v="0"/>
    <n v="0"/>
    <x v="0"/>
  </r>
  <r>
    <x v="0"/>
    <s v="CEN/TC 428 - ICT Professionalism and Digital Competences - European Competency Framework (The European Union's European e-Competence Framework (e-CF)"/>
    <s v="e-CF"/>
    <s v="CEN/TC 428"/>
    <s v="CEN-CENELEC"/>
    <s v="4.0.0"/>
    <m/>
    <x v="2"/>
    <x v="0"/>
    <x v="0"/>
    <n v="0"/>
    <n v="1"/>
    <n v="0"/>
    <x v="1"/>
  </r>
  <r>
    <x v="0"/>
    <s v="iShare Authorization Registry"/>
    <m/>
    <m/>
    <s v="iShare"/>
    <s v="2.0.1"/>
    <m/>
    <x v="7"/>
    <x v="0"/>
    <x v="6"/>
    <n v="0"/>
    <n v="0"/>
    <n v="0"/>
    <x v="0"/>
  </r>
  <r>
    <x v="0"/>
    <s v="OpenTelemetry (OTel)"/>
    <s v="OTel"/>
    <m/>
    <s v="CNCF"/>
    <s v="1.1.0"/>
    <m/>
    <x v="6"/>
    <x v="2"/>
    <x v="2"/>
    <n v="0"/>
    <n v="0"/>
    <n v="0"/>
    <x v="1"/>
  </r>
  <r>
    <x v="0"/>
    <s v="Functional architecture of network-based driving assistance for autonomous vehicles"/>
    <m/>
    <s v="ITU-T Y.4471"/>
    <s v="ITU"/>
    <s v="1.0.0"/>
    <m/>
    <x v="6"/>
    <x v="6"/>
    <x v="2"/>
    <n v="0"/>
    <n v="0"/>
    <n v="0"/>
    <x v="0"/>
  </r>
  <r>
    <x v="0"/>
    <s v="GAIA-X Federated Services Data Exchange Logging Service (GXFS DELS) working draft"/>
    <s v="GXFS DELS"/>
    <m/>
    <s v="GAIA-X"/>
    <s v="Working draft"/>
    <m/>
    <x v="6"/>
    <x v="1"/>
    <x v="3"/>
    <n v="0"/>
    <n v="0"/>
    <n v="0"/>
    <x v="0"/>
  </r>
  <r>
    <x v="0"/>
    <s v="E-ARK Common Specification for Information Packages (CSIP)"/>
    <s v="E-ARK CSIP"/>
    <m/>
    <s v="DILCIS Board"/>
    <s v="2.1.0"/>
    <m/>
    <x v="7"/>
    <x v="0"/>
    <x v="1"/>
    <n v="0"/>
    <n v="0"/>
    <n v="0"/>
    <x v="1"/>
  </r>
  <r>
    <x v="0"/>
    <s v="Electronic Signatures and Infrastructures (ESI); Protocols for remote digital signature creation (ETSI TS 119 432)"/>
    <m/>
    <s v="ETSI TS 119 432"/>
    <s v="ETSI"/>
    <s v="1.1.1"/>
    <m/>
    <x v="7"/>
    <x v="0"/>
    <x v="7"/>
    <n v="0"/>
    <n v="0"/>
    <n v="0"/>
    <x v="1"/>
  </r>
  <r>
    <x v="0"/>
    <s v="RTP Profile for Audio and Video Conferences with Minimal Control"/>
    <m/>
    <s v="RFC 3551"/>
    <s v="IETF"/>
    <s v="1.0.0"/>
    <m/>
    <x v="12"/>
    <x v="0"/>
    <x v="0"/>
    <n v="0"/>
    <n v="0"/>
    <n v="0"/>
    <x v="0"/>
  </r>
  <r>
    <x v="0"/>
    <s v="OpenID for Verifiable Credential Issuance (OID4VCI)"/>
    <s v="OID4VCI"/>
    <m/>
    <s v="OpenID Foundation"/>
    <s v="1.0.0"/>
    <m/>
    <x v="6"/>
    <x v="1"/>
    <x v="5"/>
    <n v="0"/>
    <n v="0"/>
    <n v="0"/>
    <x v="0"/>
  </r>
  <r>
    <x v="0"/>
    <s v="Electronic Signatures and Infrastructures (ESI); XAdES digital signatures; Part 1: Building blocks and XAdES baseline signatures (ETSI EN 319 132-1)"/>
    <s v="XAdES"/>
    <s v="ETSI EN 319 132-1"/>
    <s v="ETSI"/>
    <s v="1.2.1"/>
    <m/>
    <x v="7"/>
    <x v="0"/>
    <x v="2"/>
    <n v="0"/>
    <n v="0"/>
    <n v="0"/>
    <x v="0"/>
  </r>
  <r>
    <x v="0"/>
    <s v="Electronic Signatures and Infrastructures (ESI); XAdES digital signatures; Part 1: Building blocks and XAdES baseline signatures (ETSI EN 319 132-1)"/>
    <s v="XAdES"/>
    <s v="ETSI EN 319 132-1"/>
    <s v="ETSI"/>
    <s v="1.3.1"/>
    <m/>
    <x v="7"/>
    <x v="0"/>
    <x v="2"/>
    <n v="0"/>
    <n v="0"/>
    <n v="0"/>
    <x v="1"/>
  </r>
  <r>
    <x v="0"/>
    <s v="CEF eDelivery PKI Service"/>
    <m/>
    <m/>
    <s v="EC"/>
    <s v="2.3.0"/>
    <m/>
    <x v="7"/>
    <x v="0"/>
    <x v="5"/>
    <n v="0"/>
    <n v="0"/>
    <n v="0"/>
    <x v="0"/>
  </r>
  <r>
    <x v="0"/>
    <s v="Proposal for regulation on establishing a Single Digital GateWay Proposal for a REGULATION OF THE EUROPEAN PARLIAMENT AND OF THE COUNCIL on establishing a single digital gateway to provide information, procedures, assistance and problem solving services and amending Regulation (EU) No 1024/2012 COM/2017/0256 final - 2017/086 (COD)"/>
    <m/>
    <s v="Regulation 2017/0086/COD"/>
    <s v="OP"/>
    <s v="COM(2017) 256"/>
    <m/>
    <x v="9"/>
    <x v="0"/>
    <x v="0"/>
    <n v="1"/>
    <n v="0"/>
    <n v="0"/>
    <x v="0"/>
  </r>
  <r>
    <x v="0"/>
    <s v="XBRL-GL"/>
    <s v="XBRL-GL"/>
    <m/>
    <s v="XBRL International"/>
    <s v="2017"/>
    <m/>
    <x v="5"/>
    <x v="0"/>
    <x v="5"/>
    <n v="0"/>
    <n v="0"/>
    <n v="1"/>
    <x v="1"/>
  </r>
  <r>
    <x v="0"/>
    <s v="Cyber Security (CYBER); Cyber Security for Consumer Internet of Things: Conformance Assessment of Baseline Requirements (ETSI TS 103 701)"/>
    <m/>
    <s v="ETSI TS 103 701"/>
    <s v="ETSI"/>
    <s v="2.1.1"/>
    <m/>
    <x v="13"/>
    <x v="0"/>
    <x v="1"/>
    <n v="0"/>
    <n v="2"/>
    <n v="0"/>
    <x v="0"/>
  </r>
  <r>
    <x v="0"/>
    <s v="DomainKeys Identified Mail (DKIM)"/>
    <s v="DKIM"/>
    <m/>
    <s v="IETF"/>
    <s v="5.0.0"/>
    <m/>
    <x v="7"/>
    <x v="0"/>
    <x v="1"/>
    <n v="0"/>
    <n v="0"/>
    <n v="0"/>
    <x v="0"/>
  </r>
  <r>
    <x v="0"/>
    <s v="Collection+JSON"/>
    <m/>
    <m/>
    <s v="amundsen.com"/>
    <s v="1.0.0"/>
    <m/>
    <x v="7"/>
    <x v="0"/>
    <x v="2"/>
    <n v="0"/>
    <n v="0"/>
    <n v="0"/>
    <x v="0"/>
  </r>
  <r>
    <x v="0"/>
    <s v="Information Technology Cloud computing Service level agreement (SLA) framework (ISO/IEC 19086-1:2016)"/>
    <m/>
    <s v="ISO/IEC 19086-1:2016"/>
    <s v="ISO"/>
    <s v="1.0.0"/>
    <m/>
    <x v="6"/>
    <x v="1"/>
    <x v="5"/>
    <n v="0"/>
    <n v="0"/>
    <n v="0"/>
    <x v="0"/>
  </r>
  <r>
    <x v="0"/>
    <s v="SHA-3"/>
    <s v="SHA-3"/>
    <m/>
    <s v="NIST"/>
    <s v="3.0.0"/>
    <m/>
    <x v="5"/>
    <x v="0"/>
    <x v="5"/>
    <n v="0"/>
    <n v="0"/>
    <n v="1"/>
    <x v="0"/>
  </r>
  <r>
    <x v="0"/>
    <s v="TR.NCDP - Session-layer network coding protocol for multicast data transmission"/>
    <m/>
    <m/>
    <s v="ITU"/>
    <s v="nan"/>
    <m/>
    <x v="7"/>
    <x v="0"/>
    <x v="2"/>
    <n v="0"/>
    <n v="0"/>
    <n v="0"/>
    <x v="0"/>
  </r>
  <r>
    <x v="0"/>
    <s v="Data Catalog Vocabulary (DCAT) - Version 2"/>
    <s v="DCAT"/>
    <m/>
    <s v="W3C"/>
    <s v="2.0.0"/>
    <m/>
    <x v="5"/>
    <x v="0"/>
    <x v="2"/>
    <n v="0"/>
    <n v="0"/>
    <n v="8"/>
    <x v="2"/>
  </r>
  <r>
    <x v="0"/>
    <s v="Microcks"/>
    <m/>
    <m/>
    <s v="Microcks"/>
    <s v="1.0.0"/>
    <m/>
    <x v="7"/>
    <x v="0"/>
    <x v="1"/>
    <n v="0"/>
    <n v="0"/>
    <n v="0"/>
    <x v="0"/>
  </r>
  <r>
    <x v="0"/>
    <s v="Universally Unique Identifiers RFC 9562"/>
    <s v="UUIDs"/>
    <s v="RFC 9562"/>
    <s v="IETF"/>
    <s v="1.0.0"/>
    <m/>
    <x v="0"/>
    <x v="0"/>
    <x v="0"/>
    <n v="0"/>
    <n v="0"/>
    <n v="1"/>
    <x v="0"/>
  </r>
  <r>
    <x v="0"/>
    <s v="Date and Time on the Internet: Timestamps (RFC 3339)"/>
    <m/>
    <s v="RFC 3339"/>
    <s v="IETF"/>
    <s v="1.0.0"/>
    <m/>
    <x v="7"/>
    <x v="0"/>
    <x v="2"/>
    <n v="0"/>
    <n v="0"/>
    <n v="0"/>
    <x v="0"/>
  </r>
  <r>
    <x v="0"/>
    <s v="ITU-T X.1751: Security guidelines on big data lifecycle management for telecom operators"/>
    <m/>
    <s v="ITU-T X.1751"/>
    <s v="ITU"/>
    <s v="1.0.0"/>
    <m/>
    <x v="5"/>
    <x v="0"/>
    <x v="1"/>
    <n v="0"/>
    <n v="0"/>
    <n v="2"/>
    <x v="0"/>
  </r>
  <r>
    <x v="0"/>
    <s v="IETF Time Stamp Protocol RFC 3161"/>
    <s v="TSP"/>
    <s v="RFC 3161"/>
    <s v="IETF"/>
    <s v="15.0.0"/>
    <m/>
    <x v="7"/>
    <x v="0"/>
    <x v="1"/>
    <n v="0"/>
    <n v="0"/>
    <n v="0"/>
    <x v="2"/>
  </r>
  <r>
    <x v="0"/>
    <s v="OpenPM2"/>
    <s v="OpenPM2"/>
    <m/>
    <s v="OP"/>
    <s v="1.0.0"/>
    <m/>
    <x v="12"/>
    <x v="0"/>
    <x v="0"/>
    <n v="0"/>
    <n v="0"/>
    <n v="0"/>
    <x v="0"/>
  </r>
  <r>
    <x v="0"/>
    <s v="PROV Ontology"/>
    <s v="PROV-O"/>
    <m/>
    <s v="W3C"/>
    <s v="1.0.0"/>
    <m/>
    <x v="0"/>
    <x v="0"/>
    <x v="0"/>
    <n v="0"/>
    <n v="0"/>
    <n v="1"/>
    <x v="0"/>
  </r>
  <r>
    <x v="0"/>
    <s v="AsyncAPI"/>
    <m/>
    <m/>
    <s v="Linux Foundation"/>
    <s v="3.0.0"/>
    <m/>
    <x v="7"/>
    <x v="0"/>
    <x v="3"/>
    <n v="0"/>
    <n v="0"/>
    <n v="0"/>
    <x v="0"/>
  </r>
  <r>
    <x v="0"/>
    <s v="Transport Layer Security (TLS)"/>
    <s v="TLS"/>
    <m/>
    <s v="IETF"/>
    <s v="1.2.0"/>
    <m/>
    <x v="12"/>
    <x v="0"/>
    <x v="0"/>
    <n v="0"/>
    <n v="0"/>
    <n v="0"/>
    <x v="0"/>
  </r>
  <r>
    <x v="0"/>
    <s v="publiccode.yml"/>
    <m/>
    <m/>
    <s v="Developers Italia"/>
    <s v="0.4.0"/>
    <m/>
    <x v="0"/>
    <x v="0"/>
    <x v="0"/>
    <n v="0"/>
    <n v="0"/>
    <n v="6"/>
    <x v="1"/>
  </r>
  <r>
    <x v="0"/>
    <s v="Peppol Transport Infrastructure Service Metadata Locator (Peppol SML)"/>
    <s v="SML"/>
    <m/>
    <s v="PEPPOL"/>
    <s v="1.2.0"/>
    <m/>
    <x v="6"/>
    <x v="1"/>
    <x v="1"/>
    <n v="0"/>
    <n v="0"/>
    <n v="0"/>
    <x v="0"/>
  </r>
  <r>
    <x v="0"/>
    <s v="Virtual I/O Device (VIRTIO) Version 1.1"/>
    <s v="VIRTIO"/>
    <m/>
    <s v="OASIS"/>
    <s v="1.1.0"/>
    <m/>
    <x v="1"/>
    <x v="1"/>
    <x v="0"/>
    <n v="0"/>
    <n v="0"/>
    <n v="0"/>
    <x v="0"/>
  </r>
  <r>
    <x v="0"/>
    <s v="DCAT-AP"/>
    <m/>
    <m/>
    <s v="EC"/>
    <s v="3.0.0"/>
    <m/>
    <x v="5"/>
    <x v="0"/>
    <x v="2"/>
    <n v="0"/>
    <n v="0"/>
    <n v="11"/>
    <x v="0"/>
  </r>
  <r>
    <x v="0"/>
    <s v="BregDCAT-AP"/>
    <s v="BregDCAT-AP"/>
    <m/>
    <s v="EC"/>
    <s v="2.1.0"/>
    <m/>
    <x v="0"/>
    <x v="0"/>
    <x v="0"/>
    <n v="0"/>
    <n v="0"/>
    <n v="2"/>
    <x v="0"/>
  </r>
  <r>
    <x v="0"/>
    <s v="Y3600 Big data - Cloud computing based requirements and capabilities"/>
    <m/>
    <s v="ITU-T Y.3600"/>
    <s v="ITU"/>
    <s v="1.0.0"/>
    <m/>
    <x v="1"/>
    <x v="1"/>
    <x v="0"/>
    <n v="0"/>
    <n v="0"/>
    <n v="0"/>
    <x v="0"/>
  </r>
  <r>
    <x v="0"/>
    <s v="Swedish API License"/>
    <m/>
    <m/>
    <s v="API UX"/>
    <s v="1.0.0"/>
    <m/>
    <x v="13"/>
    <x v="0"/>
    <x v="5"/>
    <n v="0"/>
    <n v="1"/>
    <n v="0"/>
    <x v="0"/>
  </r>
  <r>
    <x v="0"/>
    <s v="OpenSearch"/>
    <m/>
    <m/>
    <s v="Amazon"/>
    <s v="2.15.0"/>
    <m/>
    <x v="7"/>
    <x v="0"/>
    <x v="2"/>
    <n v="0"/>
    <n v="0"/>
    <n v="0"/>
    <x v="0"/>
  </r>
  <r>
    <x v="0"/>
    <s v="Cross Industry Invoice (CII)"/>
    <s v="CII"/>
    <m/>
    <s v="UNECE"/>
    <s v="2.0.0"/>
    <m/>
    <x v="0"/>
    <x v="0"/>
    <x v="0"/>
    <n v="0"/>
    <n v="0"/>
    <n v="9"/>
    <x v="0"/>
  </r>
  <r>
    <x v="0"/>
    <s v="eIDAS Cryptographic Requirements for the Interoperability Framework"/>
    <m/>
    <m/>
    <s v="EC"/>
    <s v="1.2.0"/>
    <m/>
    <x v="7"/>
    <x v="0"/>
    <x v="1"/>
    <n v="0"/>
    <n v="0"/>
    <n v="0"/>
    <x v="0"/>
  </r>
  <r>
    <x v="0"/>
    <s v="Electronic Signatures and Infrastructures (ESI);Testing Conformance and Interoperability of Trusted Lists; Part 1: Specifications for testing conformance of XML representation of Trusted Lists"/>
    <m/>
    <m/>
    <s v="ETSI"/>
    <s v="1.1.1"/>
    <m/>
    <x v="12"/>
    <x v="0"/>
    <x v="0"/>
    <n v="0"/>
    <n v="0"/>
    <n v="0"/>
    <x v="0"/>
  </r>
  <r>
    <x v="0"/>
    <s v="UN/CEFACT CCTS v3.0.0"/>
    <s v="CCTS"/>
    <m/>
    <s v="UNECE"/>
    <s v="3.0.0"/>
    <m/>
    <x v="0"/>
    <x v="0"/>
    <x v="0"/>
    <n v="0"/>
    <n v="0"/>
    <n v="3"/>
    <x v="0"/>
  </r>
  <r>
    <x v="0"/>
    <s v="EU Vocabularies"/>
    <m/>
    <m/>
    <s v="OP"/>
    <s v="1.0.0"/>
    <m/>
    <x v="0"/>
    <x v="0"/>
    <x v="0"/>
    <n v="0"/>
    <n v="0"/>
    <n v="2"/>
    <x v="0"/>
  </r>
  <r>
    <x v="0"/>
    <s v="ISO/IEC 21838-2:2021 Information technology — Top-level ontologies (TLO) — Part 2: Basic Formal Ontology (BFO)"/>
    <s v="BFO"/>
    <s v="ISO/IEC 21838-2:2021"/>
    <s v="ISO"/>
    <s v="1.0.0"/>
    <m/>
    <x v="12"/>
    <x v="0"/>
    <x v="0"/>
    <n v="0"/>
    <n v="0"/>
    <n v="0"/>
    <x v="0"/>
  </r>
  <r>
    <x v="0"/>
    <s v="CSAF Common Vulnerability Reporting Framework (CVRF) Version 1.2"/>
    <s v="CVRF"/>
    <m/>
    <s v="OASIS"/>
    <s v="1.2.0"/>
    <m/>
    <x v="13"/>
    <x v="0"/>
    <x v="1"/>
    <n v="0"/>
    <n v="1"/>
    <n v="0"/>
    <x v="0"/>
  </r>
  <r>
    <x v="0"/>
    <s v="Tag image file format for image technology (TIFF/IT)"/>
    <s v="TIFF/IT"/>
    <s v="ISO 12639:2004"/>
    <s v="ISO"/>
    <s v="1.0.0"/>
    <m/>
    <x v="12"/>
    <x v="0"/>
    <x v="0"/>
    <n v="0"/>
    <n v="0"/>
    <n v="0"/>
    <x v="0"/>
  </r>
  <r>
    <x v="0"/>
    <s v="Internet Protocol version 6 (IPv6) (RFC 2460)"/>
    <s v="IPv6"/>
    <s v="RFC 2460"/>
    <s v="IETF"/>
    <s v="6.0.0"/>
    <m/>
    <x v="7"/>
    <x v="0"/>
    <x v="1"/>
    <n v="0"/>
    <n v="0"/>
    <n v="0"/>
    <x v="2"/>
  </r>
  <r>
    <x v="0"/>
    <s v="Peppol eDelivery Network Specifications"/>
    <m/>
    <m/>
    <s v="PEPPOL"/>
    <s v="1.0.0"/>
    <m/>
    <x v="1"/>
    <x v="2"/>
    <x v="0"/>
    <n v="0"/>
    <n v="0"/>
    <n v="0"/>
    <x v="0"/>
  </r>
  <r>
    <x v="0"/>
    <s v="ETSI TS 103 532 CYBER; Attribute Based Encryption for Attribute Based Access Control"/>
    <m/>
    <s v="ETSI TS 103 532"/>
    <s v="ETSI"/>
    <s v="1.1.1"/>
    <m/>
    <x v="7"/>
    <x v="0"/>
    <x v="1"/>
    <n v="0"/>
    <n v="0"/>
    <n v="0"/>
    <x v="0"/>
  </r>
  <r>
    <x v="0"/>
    <s v="Standard Business Document Header (SBDH)"/>
    <s v="SBDH"/>
    <m/>
    <s v="GS1"/>
    <s v="1.3.0"/>
    <m/>
    <x v="7"/>
    <x v="0"/>
    <x v="1"/>
    <n v="0"/>
    <n v="0"/>
    <n v="0"/>
    <x v="0"/>
  </r>
  <r>
    <x v="0"/>
    <s v="X.1212 : Design considerations for improved end-user perception of trustworthiness indicators"/>
    <m/>
    <s v="ITU-T X.1212"/>
    <s v="ITU"/>
    <s v="1.0.0"/>
    <m/>
    <x v="7"/>
    <x v="0"/>
    <x v="1"/>
    <n v="0"/>
    <n v="0"/>
    <n v="0"/>
    <x v="0"/>
  </r>
  <r>
    <x v="0"/>
    <s v="ETSI TR 103 619 CYBER; Migration strategies and recommendations to Quantum Safe schemes"/>
    <s v="FQSCS"/>
    <s v="ETSI TR 103 619"/>
    <s v="ETSI"/>
    <s v="1.1.1"/>
    <m/>
    <x v="7"/>
    <x v="0"/>
    <x v="1"/>
    <n v="0"/>
    <n v="0"/>
    <n v="0"/>
    <x v="0"/>
  </r>
  <r>
    <x v="0"/>
    <s v="YANG Data Model for L3VPN Service Delivery RFC 8299"/>
    <m/>
    <s v="RFC 8299"/>
    <s v="IETF"/>
    <s v="11.0.0"/>
    <m/>
    <x v="1"/>
    <x v="1"/>
    <x v="0"/>
    <n v="0"/>
    <n v="0"/>
    <n v="0"/>
    <x v="0"/>
  </r>
  <r>
    <x v="0"/>
    <s v="Data Format Description Language (DFDL)"/>
    <s v="DFDL"/>
    <m/>
    <s v="OGF"/>
    <s v="1.0.0"/>
    <m/>
    <x v="0"/>
    <x v="0"/>
    <x v="0"/>
    <n v="0"/>
    <n v="0"/>
    <n v="4"/>
    <x v="0"/>
  </r>
  <r>
    <x v="0"/>
    <s v="MyData Account Specification"/>
    <m/>
    <m/>
    <s v="HIIT"/>
    <s v="1.2.1"/>
    <m/>
    <x v="7"/>
    <x v="0"/>
    <x v="3"/>
    <n v="0"/>
    <n v="0"/>
    <n v="0"/>
    <x v="0"/>
  </r>
  <r>
    <x v="0"/>
    <s v="Keyhole Markup Language (KML)"/>
    <s v="KML"/>
    <m/>
    <s v="OGC"/>
    <s v="2.2.0"/>
    <m/>
    <x v="0"/>
    <x v="0"/>
    <x v="0"/>
    <n v="0"/>
    <n v="0"/>
    <n v="1"/>
    <x v="0"/>
  </r>
  <r>
    <x v="0"/>
    <s v="XML Query Language (XQuery)"/>
    <m/>
    <m/>
    <s v="W3C"/>
    <s v="3.0.0"/>
    <m/>
    <x v="7"/>
    <x v="0"/>
    <x v="1"/>
    <n v="0"/>
    <n v="0"/>
    <n v="0"/>
    <x v="0"/>
  </r>
  <r>
    <x v="0"/>
    <s v="Payment Card Industry Data Security Standard"/>
    <m/>
    <m/>
    <s v="PCI DSS"/>
    <s v="4.0.0"/>
    <m/>
    <x v="7"/>
    <x v="0"/>
    <x v="1"/>
    <n v="0"/>
    <n v="0"/>
    <n v="0"/>
    <x v="0"/>
  </r>
  <r>
    <x v="0"/>
    <s v="HAL-FORMS"/>
    <m/>
    <m/>
    <s v="Dwolla"/>
    <s v="0.0.2"/>
    <m/>
    <x v="7"/>
    <x v="0"/>
    <x v="3"/>
    <n v="0"/>
    <n v="0"/>
    <n v="0"/>
    <x v="0"/>
  </r>
  <r>
    <x v="0"/>
    <s v="Data Space Support Centre Blueprint (DSSC Blueprint)"/>
    <m/>
    <s v="DSSC Blueprint"/>
    <s v="DSSC"/>
    <s v="2.0.0"/>
    <m/>
    <x v="13"/>
    <x v="0"/>
    <x v="5"/>
    <n v="0"/>
    <n v="9"/>
    <n v="0"/>
    <x v="0"/>
  </r>
  <r>
    <x v="0"/>
    <s v="COBIT"/>
    <s v="COBIT"/>
    <m/>
    <s v="ISACA"/>
    <s v="2.0.0"/>
    <m/>
    <x v="7"/>
    <x v="0"/>
    <x v="5"/>
    <n v="0"/>
    <n v="0"/>
    <n v="0"/>
    <x v="0"/>
  </r>
  <r>
    <x v="0"/>
    <s v="Directive 2000/31/EC of the European Parliament and of the Council of 8 June 2000 on certain legal aspects of information society services, in particular electronic commerce, in the Internal Market ('Directive on electronic commerce')"/>
    <m/>
    <s v="Directive 2000/31/EC"/>
    <s v="OP"/>
    <s v="L 178"/>
    <m/>
    <x v="9"/>
    <x v="0"/>
    <x v="0"/>
    <n v="5"/>
    <n v="0"/>
    <n v="0"/>
    <x v="0"/>
  </r>
  <r>
    <x v="0"/>
    <s v="COMMUNICATION FROM THE COMMISSION TO THE EUROPEAN PARLIAMENT, THE COUNCIL, THE EUROPEAN ECONOMIC AND SOCIAL COMMITTEE AND THE COMMITTEE OF THE REGIONS - Shaping Europe's digital future"/>
    <m/>
    <m/>
    <s v="OP"/>
    <s v="COM(2020) 67 final"/>
    <m/>
    <x v="9"/>
    <x v="0"/>
    <x v="0"/>
    <n v="1"/>
    <n v="0"/>
    <n v="0"/>
    <x v="0"/>
  </r>
  <r>
    <x v="0"/>
    <s v="Problem Details for HTTP APIs (RFC 7807)"/>
    <m/>
    <s v="RFC 7807"/>
    <s v="IETF"/>
    <s v="1.0.0"/>
    <m/>
    <x v="0"/>
    <x v="0"/>
    <x v="0"/>
    <n v="0"/>
    <n v="0"/>
    <n v="2"/>
    <x v="0"/>
  </r>
  <r>
    <x v="0"/>
    <s v="Electronic Signatures and Infrastructures (ESI); Policy and security requirements for trust service components providing identity proofing of trust service subjects"/>
    <m/>
    <s v="ETSI TS 119 461"/>
    <s v="ETSI"/>
    <s v="1.1.1"/>
    <m/>
    <x v="14"/>
    <x v="0"/>
    <x v="6"/>
    <n v="3"/>
    <n v="1"/>
    <n v="0"/>
    <x v="0"/>
  </r>
  <r>
    <x v="0"/>
    <s v="Core Network and Interoperability Testing (INT); Methodologies for Testing &amp; Validation of  Network Application based services over 5G networks (ETSI TR 104 074)"/>
    <m/>
    <s v="ETSI TR 104 074"/>
    <s v="ETSI"/>
    <s v="1.1.1"/>
    <m/>
    <x v="6"/>
    <x v="1"/>
    <x v="2"/>
    <n v="0"/>
    <n v="0"/>
    <n v="0"/>
    <x v="0"/>
  </r>
  <r>
    <x v="0"/>
    <s v="Electronic Signature Formats for long term electronic signatures (RFC 3126)"/>
    <m/>
    <s v="RFC 3126"/>
    <s v="IETF"/>
    <s v="1.0.0"/>
    <m/>
    <x v="7"/>
    <x v="0"/>
    <x v="2"/>
    <n v="0"/>
    <n v="0"/>
    <n v="0"/>
    <x v="0"/>
  </r>
  <r>
    <x v="0"/>
    <s v="JSON Web Token (JWT)"/>
    <s v="JWT"/>
    <m/>
    <s v="IETF"/>
    <s v="32.0.0"/>
    <m/>
    <x v="7"/>
    <x v="0"/>
    <x v="1"/>
    <n v="0"/>
    <n v="0"/>
    <n v="0"/>
    <x v="0"/>
  </r>
  <r>
    <x v="0"/>
    <s v="Indexed Database API (IndexedDB)"/>
    <m/>
    <s v="IndexedDB"/>
    <s v="W3C"/>
    <s v="3.0.0"/>
    <m/>
    <x v="6"/>
    <x v="5"/>
    <x v="1"/>
    <n v="0"/>
    <n v="0"/>
    <n v="0"/>
    <x v="1"/>
  </r>
  <r>
    <x v="0"/>
    <s v="Resource Description Framework (RDF)"/>
    <s v="RDF"/>
    <m/>
    <s v="W3C"/>
    <s v="1.1.0"/>
    <m/>
    <x v="5"/>
    <x v="0"/>
    <x v="5"/>
    <n v="0"/>
    <n v="0"/>
    <n v="3"/>
    <x v="2"/>
  </r>
  <r>
    <x v="0"/>
    <s v="The OpenContainers Distribution Spec"/>
    <m/>
    <m/>
    <s v="OCI"/>
    <s v="1.0.0"/>
    <m/>
    <x v="1"/>
    <x v="2"/>
    <x v="0"/>
    <n v="0"/>
    <n v="0"/>
    <n v="0"/>
    <x v="0"/>
  </r>
  <r>
    <x v="0"/>
    <s v="COMMUNICATION FROM THE COMMISSION TO THE EUROPEAN PARLIAMENT, THE COUNCIL, THE EUROPEAN ECONOMIC AND SOCIAL COMMITTEE AND THE COMMITTEE OF THE REGIONS Towards interoperability for European public services"/>
    <m/>
    <m/>
    <s v="OP"/>
    <s v="1.0.0"/>
    <m/>
    <x v="18"/>
    <x v="0"/>
    <x v="0"/>
    <n v="1"/>
    <n v="2"/>
    <n v="6"/>
    <x v="0"/>
  </r>
  <r>
    <x v="0"/>
    <s v="Core Location Vocabulary"/>
    <s v="CLV"/>
    <m/>
    <s v="EC"/>
    <s v="1.0.0"/>
    <m/>
    <x v="0"/>
    <x v="0"/>
    <x v="0"/>
    <n v="0"/>
    <n v="0"/>
    <n v="7"/>
    <x v="2"/>
  </r>
  <r>
    <x v="0"/>
    <s v="5G; Security architecture and procedures for 5G System (3GPP TS 33.501 version 18.9.0 Release 18) (ETSI TS 133 501)"/>
    <m/>
    <s v="ETSI TS 133 501"/>
    <s v="ETSI"/>
    <s v="18.9.0"/>
    <m/>
    <x v="5"/>
    <x v="0"/>
    <x v="1"/>
    <n v="0"/>
    <n v="0"/>
    <n v="1"/>
    <x v="0"/>
  </r>
  <r>
    <x v="0"/>
    <s v="Core Criterion and Core Evidence Vocabulary v1.0.0"/>
    <s v="CCCEV"/>
    <m/>
    <s v="EC"/>
    <s v="1.0.0"/>
    <m/>
    <x v="0"/>
    <x v="0"/>
    <x v="0"/>
    <n v="0"/>
    <n v="0"/>
    <n v="7"/>
    <x v="2"/>
  </r>
  <r>
    <x v="0"/>
    <s v="Multi-access Edge Computing (MEC)"/>
    <s v="MEC"/>
    <m/>
    <s v="ETSI"/>
    <s v="3.1.1"/>
    <m/>
    <x v="1"/>
    <x v="1"/>
    <x v="0"/>
    <n v="0"/>
    <n v="0"/>
    <n v="0"/>
    <x v="0"/>
  </r>
  <r>
    <x v="0"/>
    <s v="Common Object Request Broker Architecture (CORBA)"/>
    <s v="CORBA"/>
    <m/>
    <s v="OMG"/>
    <s v="3.4.0"/>
    <m/>
    <x v="1"/>
    <x v="1"/>
    <x v="0"/>
    <n v="0"/>
    <n v="0"/>
    <n v="0"/>
    <x v="0"/>
  </r>
  <r>
    <x v="0"/>
    <s v="Standardized Usage Statistics Harvesting Initiative (SUSHI) Protocol"/>
    <s v="SUSHI"/>
    <m/>
    <s v="NISO"/>
    <s v="1.7.0"/>
    <m/>
    <x v="7"/>
    <x v="0"/>
    <x v="2"/>
    <n v="0"/>
    <n v="0"/>
    <n v="0"/>
    <x v="0"/>
  </r>
  <r>
    <x v="0"/>
    <s v="X.1451 : Risk identification to optimize authentication"/>
    <m/>
    <s v="ITU-T X.1451"/>
    <s v="ITU"/>
    <s v="1.0.0"/>
    <m/>
    <x v="7"/>
    <x v="0"/>
    <x v="6"/>
    <n v="0"/>
    <n v="0"/>
    <n v="0"/>
    <x v="0"/>
  </r>
  <r>
    <x v="0"/>
    <s v="oneM2M Base Ontology"/>
    <m/>
    <m/>
    <s v="oneM2M"/>
    <s v="3.7.3"/>
    <m/>
    <x v="5"/>
    <x v="0"/>
    <x v="1"/>
    <n v="0"/>
    <n v="0"/>
    <n v="1"/>
    <x v="0"/>
  </r>
  <r>
    <x v="0"/>
    <s v="European Union Public License (EUPL)"/>
    <s v="EUPL"/>
    <m/>
    <s v="EC"/>
    <s v="1.2.0"/>
    <m/>
    <x v="7"/>
    <x v="0"/>
    <x v="5"/>
    <n v="0"/>
    <n v="0"/>
    <n v="0"/>
    <x v="0"/>
  </r>
  <r>
    <x v="0"/>
    <s v="Building Blocks for HTTP APIs (httpapi)"/>
    <s v="httpapi"/>
    <m/>
    <s v="IETF"/>
    <s v="6.0.0"/>
    <m/>
    <x v="7"/>
    <x v="0"/>
    <x v="3"/>
    <n v="0"/>
    <n v="0"/>
    <n v="0"/>
    <x v="0"/>
  </r>
  <r>
    <x v="0"/>
    <s v="COMMISSION DELEGATED REGULATION (EU) 2018/389 of 27 November 2017 supplementing Directive (EU) 2015/2366 of the European Parliament and of the Council with regard to regulatory technical standards for strong customer authentication and common and secure open standards of communication"/>
    <m/>
    <s v="Regulation 2018/389/EU"/>
    <s v="EC"/>
    <s v="L 69/23"/>
    <m/>
    <x v="9"/>
    <x v="0"/>
    <x v="0"/>
    <n v="5"/>
    <n v="0"/>
    <n v="0"/>
    <x v="0"/>
  </r>
  <r>
    <x v="0"/>
    <s v="Vocabulary of Interlinked Datasets (VoID)"/>
    <m/>
    <s v="VoID"/>
    <s v="W3C"/>
    <s v="1.0.0"/>
    <m/>
    <x v="0"/>
    <x v="0"/>
    <x v="0"/>
    <n v="0"/>
    <n v="0"/>
    <n v="8"/>
    <x v="0"/>
  </r>
  <r>
    <x v="0"/>
    <s v="The Ogg Encapsulation Format"/>
    <s v="Ogg"/>
    <m/>
    <s v="IEEE"/>
    <s v="2.0.0"/>
    <m/>
    <x v="12"/>
    <x v="0"/>
    <x v="0"/>
    <n v="0"/>
    <n v="0"/>
    <n v="0"/>
    <x v="0"/>
  </r>
  <r>
    <x v="0"/>
    <s v="Internet X.509 Public Key Infrastructure Certificate Management Protocol (CMP)"/>
    <s v="CMP"/>
    <m/>
    <s v="IETF"/>
    <s v="9.0.0"/>
    <m/>
    <x v="1"/>
    <x v="1"/>
    <x v="0"/>
    <n v="0"/>
    <n v="0"/>
    <n v="0"/>
    <x v="0"/>
  </r>
  <r>
    <x v="0"/>
    <s v="Q.4040 : The framework and overview of cloud computing interoperability testing"/>
    <m/>
    <s v="ITU-T Q.4040"/>
    <s v="ITU"/>
    <s v="1.0.0"/>
    <m/>
    <x v="7"/>
    <x v="0"/>
    <x v="3"/>
    <n v="0"/>
    <n v="0"/>
    <n v="0"/>
    <x v="0"/>
  </r>
  <r>
    <x v="0"/>
    <s v="R2RML (RDB to RDF Mapping Language)"/>
    <s v="R2RML"/>
    <m/>
    <s v="W3C"/>
    <s v="1.0.0"/>
    <m/>
    <x v="5"/>
    <x v="0"/>
    <x v="1"/>
    <n v="0"/>
    <n v="0"/>
    <n v="5"/>
    <x v="0"/>
  </r>
  <r>
    <x v="0"/>
    <s v="ISO/IEC 17789:2014 Information technology — Cloud computing — Reference architecture"/>
    <s v="CCRA"/>
    <s v="ISO/IEC 17789:2014"/>
    <s v="ISO"/>
    <s v="1.0.0"/>
    <m/>
    <x v="0"/>
    <x v="0"/>
    <x v="0"/>
    <n v="0"/>
    <n v="0"/>
    <n v="2"/>
    <x v="0"/>
  </r>
  <r>
    <x v="0"/>
    <s v="Context Information Management (CIM); NGSI-LD Information Model (ETSI GS CIM 018)"/>
    <m/>
    <s v="ETSI GS CIM 018"/>
    <s v="ETSI"/>
    <s v="1.7.1"/>
    <m/>
    <x v="0"/>
    <x v="0"/>
    <x v="0"/>
    <n v="0"/>
    <n v="0"/>
    <n v="1"/>
    <x v="0"/>
  </r>
  <r>
    <x v="0"/>
    <s v="RDFa Core"/>
    <m/>
    <m/>
    <s v="W3C"/>
    <s v="1.1.0"/>
    <m/>
    <x v="5"/>
    <x v="0"/>
    <x v="1"/>
    <n v="0"/>
    <n v="0"/>
    <n v="1"/>
    <x v="0"/>
  </r>
  <r>
    <x v="0"/>
    <s v="Data Privacy Vocabulary (DPV) 2.1.0"/>
    <s v="DPV"/>
    <m/>
    <s v="W3C"/>
    <s v="2.1.0"/>
    <m/>
    <x v="15"/>
    <x v="0"/>
    <x v="0"/>
    <n v="0"/>
    <n v="2"/>
    <n v="7"/>
    <x v="0"/>
  </r>
  <r>
    <x v="0"/>
    <s v="Sustainable Development Goals (SDG)"/>
    <s v="SDG"/>
    <m/>
    <s v="OP"/>
    <s v="1.0.0"/>
    <m/>
    <x v="0"/>
    <x v="0"/>
    <x v="0"/>
    <n v="0"/>
    <n v="0"/>
    <n v="1"/>
    <x v="0"/>
  </r>
  <r>
    <x v="0"/>
    <s v="Framework of smart greenhouse service"/>
    <m/>
    <s v="Y.4466"/>
    <s v="ITU"/>
    <s v="1.0.0"/>
    <m/>
    <x v="6"/>
    <x v="2"/>
    <x v="2"/>
    <n v="0"/>
    <n v="0"/>
    <n v="0"/>
    <x v="0"/>
  </r>
  <r>
    <x v="0"/>
    <s v="e-SENS REM profile"/>
    <m/>
    <m/>
    <s v="EC"/>
    <s v="2.2.1"/>
    <m/>
    <x v="7"/>
    <x v="0"/>
    <x v="5"/>
    <n v="0"/>
    <n v="0"/>
    <n v="0"/>
    <x v="0"/>
  </r>
  <r>
    <x v="0"/>
    <s v="EuroSciVoc"/>
    <m/>
    <m/>
    <s v="OP"/>
    <s v="1.3.0"/>
    <m/>
    <x v="0"/>
    <x v="0"/>
    <x v="0"/>
    <n v="0"/>
    <n v="0"/>
    <n v="1"/>
    <x v="0"/>
  </r>
  <r>
    <x v="0"/>
    <s v="Identity Credential and Access Management (ICAM)"/>
    <s v="ICAM"/>
    <m/>
    <s v="GAIA-X"/>
    <s v="1.0.0"/>
    <m/>
    <x v="7"/>
    <x v="0"/>
    <x v="3"/>
    <n v="0"/>
    <n v="0"/>
    <n v="0"/>
    <x v="0"/>
  </r>
  <r>
    <x v="0"/>
    <s v="ITU-T Y.4473 SensorThings API – Sensing"/>
    <m/>
    <s v="ITU-T Y.4473"/>
    <s v="ITU"/>
    <s v="1.0.0"/>
    <m/>
    <x v="1"/>
    <x v="1"/>
    <x v="0"/>
    <n v="0"/>
    <n v="0"/>
    <n v="0"/>
    <x v="0"/>
  </r>
  <r>
    <x v="0"/>
    <s v="Core Standards and Specifications Vocabulary (CSSV)"/>
    <s v="CSSV"/>
    <m/>
    <s v="EC"/>
    <s v="1.2.0"/>
    <m/>
    <x v="0"/>
    <x v="0"/>
    <x v="0"/>
    <n v="0"/>
    <n v="0"/>
    <n v="10"/>
    <x v="0"/>
  </r>
  <r>
    <x v="0"/>
    <s v="DNS-based Authentication of Named Entities (DANE)"/>
    <s v="DANE"/>
    <m/>
    <s v="IETF"/>
    <s v="23.0.0"/>
    <m/>
    <x v="6"/>
    <x v="1"/>
    <x v="1"/>
    <n v="0"/>
    <n v="0"/>
    <n v="0"/>
    <x v="0"/>
  </r>
  <r>
    <x v="0"/>
    <s v="Collaboration Protocol Profile and Agreement (CPPA)"/>
    <s v="CPPA"/>
    <m/>
    <s v="OASIS"/>
    <s v="3.0.0"/>
    <m/>
    <x v="5"/>
    <x v="0"/>
    <x v="1"/>
    <n v="0"/>
    <n v="0"/>
    <n v="1"/>
    <x v="0"/>
  </r>
  <r>
    <x v="0"/>
    <s v="WebSocket Protocol"/>
    <m/>
    <m/>
    <s v="IETF"/>
    <s v="1.0.0"/>
    <m/>
    <x v="7"/>
    <x v="0"/>
    <x v="3"/>
    <n v="0"/>
    <n v="0"/>
    <n v="0"/>
    <x v="0"/>
  </r>
  <r>
    <x v="0"/>
    <s v="OAuth 2.0"/>
    <s v="OAuth"/>
    <m/>
    <s v="IETF"/>
    <s v="2.0.0"/>
    <m/>
    <x v="6"/>
    <x v="1"/>
    <x v="1"/>
    <n v="0"/>
    <n v="0"/>
    <n v="0"/>
    <x v="0"/>
  </r>
  <r>
    <x v="0"/>
    <s v="COM 2005 596 Framework strategy for multilingualism"/>
    <m/>
    <s v="52005DC0596"/>
    <s v="OP"/>
    <s v="COM(2005) 596 final"/>
    <m/>
    <x v="9"/>
    <x v="0"/>
    <x v="0"/>
    <n v="1"/>
    <n v="0"/>
    <n v="0"/>
    <x v="0"/>
  </r>
  <r>
    <x v="0"/>
    <s v="Generic Federated OOP Architecture"/>
    <m/>
    <m/>
    <s v="EC"/>
    <s v="3.0.0"/>
    <m/>
    <x v="12"/>
    <x v="0"/>
    <x v="0"/>
    <n v="0"/>
    <n v="0"/>
    <n v="0"/>
    <x v="0"/>
  </r>
  <r>
    <x v="0"/>
    <s v="GAIA-X Compliance"/>
    <m/>
    <m/>
    <s v="GAIA-X"/>
    <s v="25.3.0"/>
    <m/>
    <x v="19"/>
    <x v="1"/>
    <x v="6"/>
    <n v="0"/>
    <n v="1"/>
    <n v="0"/>
    <x v="0"/>
  </r>
  <r>
    <x v="0"/>
    <s v="Universal Business Language"/>
    <s v="UBL"/>
    <m/>
    <s v="OASIS"/>
    <s v="2.3.0"/>
    <m/>
    <x v="0"/>
    <x v="0"/>
    <x v="0"/>
    <n v="0"/>
    <n v="0"/>
    <n v="4"/>
    <x v="1"/>
  </r>
  <r>
    <x v="0"/>
    <s v="Universal Business Language (UBL)"/>
    <s v="UBL"/>
    <m/>
    <s v="OASIS"/>
    <s v="2.4.0"/>
    <m/>
    <x v="0"/>
    <x v="0"/>
    <x v="0"/>
    <n v="0"/>
    <n v="0"/>
    <n v="4"/>
    <x v="0"/>
  </r>
  <r>
    <x v="0"/>
    <s v="Open Standards for Linked Organisations (OSLO)"/>
    <s v="OSLO"/>
    <m/>
    <s v="vlaanderen.be"/>
    <s v="2.0.0"/>
    <m/>
    <x v="0"/>
    <x v="0"/>
    <x v="0"/>
    <n v="0"/>
    <n v="0"/>
    <n v="2"/>
    <x v="0"/>
  </r>
  <r>
    <x v="0"/>
    <s v="The Friend Of A Friend (FOAF) ontology"/>
    <s v="FOAF"/>
    <m/>
    <s v="FOAF project"/>
    <s v="1.0.0"/>
    <m/>
    <x v="0"/>
    <x v="0"/>
    <x v="0"/>
    <n v="0"/>
    <n v="0"/>
    <n v="1"/>
    <x v="0"/>
  </r>
  <r>
    <x v="0"/>
    <s v="CEF Building Blocks"/>
    <m/>
    <m/>
    <s v="EC"/>
    <s v="1.0.0"/>
    <m/>
    <x v="7"/>
    <x v="0"/>
    <x v="5"/>
    <n v="0"/>
    <n v="0"/>
    <n v="0"/>
    <x v="0"/>
  </r>
  <r>
    <x v="0"/>
    <s v="LegalRuleML"/>
    <m/>
    <m/>
    <s v="OASIS"/>
    <s v="1.0.0"/>
    <m/>
    <x v="9"/>
    <x v="0"/>
    <x v="0"/>
    <n v="5"/>
    <n v="0"/>
    <n v="0"/>
    <x v="1"/>
  </r>
  <r>
    <x v="0"/>
    <s v="Semantic Definition Format (SDF) for Data and Interactions of Things"/>
    <s v="SDF"/>
    <m/>
    <s v="IETF"/>
    <s v="1.0.0"/>
    <m/>
    <x v="0"/>
    <x v="0"/>
    <x v="0"/>
    <n v="0"/>
    <n v="0"/>
    <n v="3"/>
    <x v="0"/>
  </r>
  <r>
    <x v="0"/>
    <s v="Profiles Vocabulary (PROF)"/>
    <s v="PROF"/>
    <m/>
    <s v="W3C"/>
    <s v="1.0.0"/>
    <m/>
    <x v="0"/>
    <x v="0"/>
    <x v="0"/>
    <n v="0"/>
    <n v="0"/>
    <n v="3"/>
    <x v="0"/>
  </r>
  <r>
    <x v="0"/>
    <s v="Lightweight Directory Access Protocol (LDAP) (RFC 4511)"/>
    <s v="LDAP"/>
    <m/>
    <s v="IETF"/>
    <s v="3.0.0"/>
    <m/>
    <x v="6"/>
    <x v="1"/>
    <x v="2"/>
    <n v="0"/>
    <n v="0"/>
    <n v="0"/>
    <x v="3"/>
  </r>
  <r>
    <x v="0"/>
    <s v="ITIL v3"/>
    <s v="ITIL"/>
    <m/>
    <s v="Axelos"/>
    <s v="3.0.0"/>
    <m/>
    <x v="7"/>
    <x v="0"/>
    <x v="5"/>
    <n v="0"/>
    <n v="0"/>
    <n v="0"/>
    <x v="0"/>
  </r>
  <r>
    <x v="0"/>
    <s v="ISO/IEC 20933:2019 Information technology — Distributed application platforms and services (DAPS) — Framework for distributed real-time access systems"/>
    <s v="DAPS"/>
    <s v="ISO/IEC 20933"/>
    <s v="ISO"/>
    <s v="2.0.0"/>
    <m/>
    <x v="6"/>
    <x v="1"/>
    <x v="1"/>
    <n v="0"/>
    <n v="0"/>
    <n v="0"/>
    <x v="0"/>
  </r>
  <r>
    <x v="0"/>
    <s v="IEEE P2145, Standard for Framework and Definitions for Blockchain Governance"/>
    <m/>
    <s v="IEEE P2145"/>
    <s v="IEEE"/>
    <s v="1.0.0"/>
    <m/>
    <x v="1"/>
    <x v="1"/>
    <x v="0"/>
    <n v="0"/>
    <n v="0"/>
    <n v="0"/>
    <x v="0"/>
  </r>
  <r>
    <x v="0"/>
    <s v="GITB Processing Service API"/>
    <m/>
    <m/>
    <s v="EC"/>
    <s v="1.4.0"/>
    <m/>
    <x v="7"/>
    <x v="0"/>
    <x v="1"/>
    <n v="0"/>
    <n v="0"/>
    <n v="0"/>
    <x v="0"/>
  </r>
  <r>
    <x v="0"/>
    <s v="IDS Global Dynamic Attribute Provisioning Service (IDS-G DAPS)"/>
    <s v="IDS-G DAPS"/>
    <m/>
    <s v="IDSA"/>
    <s v="1.0.0"/>
    <m/>
    <x v="6"/>
    <x v="2"/>
    <x v="1"/>
    <n v="0"/>
    <n v="0"/>
    <n v="0"/>
    <x v="1"/>
  </r>
  <r>
    <x v="0"/>
    <s v="HTTP Cookies"/>
    <m/>
    <m/>
    <s v="IETF"/>
    <s v="1.0.0"/>
    <m/>
    <x v="12"/>
    <x v="0"/>
    <x v="0"/>
    <n v="0"/>
    <n v="0"/>
    <n v="0"/>
    <x v="1"/>
  </r>
  <r>
    <x v="0"/>
    <s v="Internet X.509 Public Key Infrastructure Data Validation and Certification Server Protocols (DVCS)"/>
    <s v="DVCS"/>
    <m/>
    <s v="IETF"/>
    <s v="7.0.0"/>
    <m/>
    <x v="7"/>
    <x v="0"/>
    <x v="5"/>
    <n v="0"/>
    <n v="0"/>
    <n v="0"/>
    <x v="0"/>
  </r>
  <r>
    <x v="0"/>
    <s v="Web Annotation Data Model"/>
    <m/>
    <m/>
    <s v="W3C"/>
    <s v="1.0.0"/>
    <m/>
    <x v="5"/>
    <x v="0"/>
    <x v="1"/>
    <n v="0"/>
    <n v="0"/>
    <n v="3"/>
    <x v="0"/>
  </r>
  <r>
    <x v="0"/>
    <s v="Gaia-X Trust Framework"/>
    <m/>
    <m/>
    <s v="GAIA-X"/>
    <s v="22.10.0"/>
    <m/>
    <x v="13"/>
    <x v="0"/>
    <x v="5"/>
    <n v="0"/>
    <n v="1"/>
    <n v="0"/>
    <x v="0"/>
  </r>
  <r>
    <x v="0"/>
    <s v="Open Policy Agent (OPA)"/>
    <s v="OPA"/>
    <m/>
    <s v="CNCF"/>
    <s v="0.66.0"/>
    <m/>
    <x v="10"/>
    <x v="0"/>
    <x v="1"/>
    <n v="0"/>
    <n v="1"/>
    <n v="2"/>
    <x v="0"/>
  </r>
  <r>
    <x v="0"/>
    <s v="Identity of Employees and Technical Users (IAM - 002 Identity of Employees and Technical Users)"/>
    <m/>
    <s v="IAM - 002"/>
    <s v="CATENA-X"/>
    <s v="2.1.0"/>
    <m/>
    <x v="6"/>
    <x v="1"/>
    <x v="2"/>
    <n v="0"/>
    <n v="0"/>
    <n v="0"/>
    <x v="0"/>
  </r>
  <r>
    <x v="0"/>
    <s v="Information technology — Artificial intelligence — Artificial intelligence concepts and terminology (ISO/IEC 22989:2022)"/>
    <m/>
    <s v="ISO/IEC 22989:2022"/>
    <s v="ISO"/>
    <s v="1.0.0"/>
    <m/>
    <x v="7"/>
    <x v="0"/>
    <x v="1"/>
    <n v="0"/>
    <n v="0"/>
    <n v="0"/>
    <x v="0"/>
  </r>
  <r>
    <x v="0"/>
    <s v="Microsoft ODBC 4.0 Specification"/>
    <s v="OBDC"/>
    <m/>
    <s v="Microsoft"/>
    <s v="4.0.0"/>
    <m/>
    <x v="1"/>
    <x v="1"/>
    <x v="0"/>
    <n v="0"/>
    <n v="0"/>
    <n v="0"/>
    <x v="0"/>
  </r>
  <r>
    <x v="0"/>
    <s v="GITB Validation Service API"/>
    <m/>
    <m/>
    <s v="EC"/>
    <s v="1.17.0"/>
    <m/>
    <x v="7"/>
    <x v="0"/>
    <x v="1"/>
    <n v="0"/>
    <n v="0"/>
    <n v="0"/>
    <x v="0"/>
  </r>
  <r>
    <x v="0"/>
    <s v="UN/EDIFACT Syntax 4"/>
    <m/>
    <m/>
    <s v="UNECE"/>
    <s v="4.0.0"/>
    <m/>
    <x v="5"/>
    <x v="0"/>
    <x v="1"/>
    <n v="0"/>
    <n v="0"/>
    <n v="2"/>
    <x v="0"/>
  </r>
  <r>
    <x v="0"/>
    <s v="TCP, UDP, ICMP, MAC, Ethernet LAN (802.3), virtual LAN (VPN), IPv4 and IPV6"/>
    <m/>
    <m/>
    <s v="IETF"/>
    <s v="1.0.0"/>
    <m/>
    <x v="1"/>
    <x v="1"/>
    <x v="0"/>
    <n v="0"/>
    <n v="0"/>
    <n v="0"/>
    <x v="0"/>
  </r>
  <r>
    <x v="0"/>
    <s v="Darwin Information Typing Architecture (DITA)"/>
    <s v="DITA"/>
    <m/>
    <s v="OASIS"/>
    <s v="1.3.0"/>
    <m/>
    <x v="0"/>
    <x v="0"/>
    <x v="0"/>
    <n v="0"/>
    <n v="0"/>
    <n v="5"/>
    <x v="0"/>
  </r>
  <r>
    <x v="0"/>
    <s v="eIDAS2"/>
    <m/>
    <m/>
    <s v="EC"/>
    <s v="2.0.0"/>
    <m/>
    <x v="7"/>
    <x v="0"/>
    <x v="3"/>
    <n v="0"/>
    <n v="0"/>
    <n v="0"/>
    <x v="0"/>
  </r>
  <r>
    <x v="0"/>
    <s v="Xforms 2.0"/>
    <s v="Xforms"/>
    <m/>
    <s v="W3C"/>
    <s v="2.0.0"/>
    <m/>
    <x v="12"/>
    <x v="0"/>
    <x v="0"/>
    <n v="0"/>
    <n v="0"/>
    <n v="0"/>
    <x v="0"/>
  </r>
  <r>
    <x v="0"/>
    <s v="GS1 EANCOM Syntax 3 standard"/>
    <m/>
    <m/>
    <s v="GS1"/>
    <s v="3.0.0"/>
    <m/>
    <x v="0"/>
    <x v="0"/>
    <x v="0"/>
    <n v="0"/>
    <n v="0"/>
    <n v="2"/>
    <x v="0"/>
  </r>
  <r>
    <x v="0"/>
    <s v="Solid"/>
    <m/>
    <m/>
    <s v="Solid"/>
    <s v="0.9.0"/>
    <m/>
    <x v="7"/>
    <x v="0"/>
    <x v="5"/>
    <n v="0"/>
    <n v="0"/>
    <n v="0"/>
    <x v="0"/>
  </r>
  <r>
    <x v="0"/>
    <s v="XAdES (XML Advanced Electronic Signatures) Baseline Profile"/>
    <s v="XAdES"/>
    <m/>
    <s v="ETSI"/>
    <s v="2.2.1"/>
    <m/>
    <x v="7"/>
    <x v="0"/>
    <x v="6"/>
    <n v="0"/>
    <n v="0"/>
    <n v="0"/>
    <x v="1"/>
  </r>
  <r>
    <x v="0"/>
    <s v="XML Schema Definition Language (XSD) 1.1 Part 2: Datatypes"/>
    <s v="XSD"/>
    <m/>
    <s v="W3C"/>
    <s v="1.1.0"/>
    <m/>
    <x v="0"/>
    <x v="0"/>
    <x v="0"/>
    <n v="0"/>
    <n v="0"/>
    <n v="3"/>
    <x v="2"/>
  </r>
  <r>
    <x v="0"/>
    <s v="Shape Expressions (ShEx) 2.1 Primer"/>
    <s v="ShEx"/>
    <m/>
    <s v="W3C"/>
    <s v="2.1.0"/>
    <m/>
    <x v="5"/>
    <x v="0"/>
    <x v="2"/>
    <n v="0"/>
    <n v="0"/>
    <n v="1"/>
    <x v="1"/>
  </r>
  <r>
    <x v="0"/>
    <s v="MyData Service Registry Specification"/>
    <m/>
    <m/>
    <s v="HIIT"/>
    <s v="1.2.0"/>
    <m/>
    <x v="7"/>
    <x v="0"/>
    <x v="3"/>
    <n v="0"/>
    <n v="0"/>
    <n v="0"/>
    <x v="0"/>
  </r>
  <r>
    <x v="0"/>
    <s v="Message Queuing Telemetry Transport (MQTT)"/>
    <s v="MQTT"/>
    <m/>
    <s v="OASIS"/>
    <s v="5.0.0"/>
    <m/>
    <x v="1"/>
    <x v="1"/>
    <x v="0"/>
    <n v="0"/>
    <n v="0"/>
    <n v="0"/>
    <x v="0"/>
  </r>
  <r>
    <x v="0"/>
    <s v="HyperText Markup Language v5 (HTML5)"/>
    <s v="HTML5"/>
    <m/>
    <s v="W3C"/>
    <s v="5.0.0"/>
    <m/>
    <x v="0"/>
    <x v="0"/>
    <x v="0"/>
    <n v="0"/>
    <n v="0"/>
    <n v="1"/>
    <x v="1"/>
  </r>
  <r>
    <x v="0"/>
    <s v="Generic Statistical Business Process Model (GSBPM)"/>
    <s v="GSBPM"/>
    <m/>
    <s v="UNECE"/>
    <s v="5.1.0"/>
    <m/>
    <x v="0"/>
    <x v="0"/>
    <x v="0"/>
    <n v="0"/>
    <n v="0"/>
    <n v="2"/>
    <x v="0"/>
  </r>
  <r>
    <x v="0"/>
    <s v="Hypermedia as the Engine of Application State (HATEOAS)"/>
    <s v="HATEOAS"/>
    <m/>
    <s v="University of California"/>
    <s v="2.2.2"/>
    <m/>
    <x v="7"/>
    <x v="0"/>
    <x v="1"/>
    <n v="0"/>
    <n v="0"/>
    <n v="0"/>
    <x v="0"/>
  </r>
  <r>
    <x v="0"/>
    <s v="Participant Information Service (parIS)"/>
    <s v="parIS"/>
    <m/>
    <s v="IDSA"/>
    <s v="1.0.0"/>
    <m/>
    <x v="7"/>
    <x v="0"/>
    <x v="3"/>
    <n v="0"/>
    <n v="0"/>
    <n v="0"/>
    <x v="0"/>
  </r>
  <r>
    <x v="0"/>
    <s v="GAIA-X Architecture Document"/>
    <m/>
    <m/>
    <s v="GAIA-X"/>
    <s v="23.10.0"/>
    <m/>
    <x v="13"/>
    <x v="0"/>
    <x v="5"/>
    <n v="0"/>
    <n v="1"/>
    <n v="0"/>
    <x v="0"/>
  </r>
  <r>
    <x v="0"/>
    <s v="NetCDF (Network Common Data Form)"/>
    <s v="NetCDF"/>
    <s v="Network Common Data Form"/>
    <s v="UCAR"/>
    <s v="5.6.0"/>
    <m/>
    <x v="0"/>
    <x v="0"/>
    <x v="0"/>
    <n v="0"/>
    <n v="0"/>
    <n v="1"/>
    <x v="0"/>
  </r>
  <r>
    <x v="0"/>
    <s v="OASIS ebXML RegRep Version 4.0"/>
    <m/>
    <m/>
    <s v="OASIS"/>
    <s v="4.0.0"/>
    <m/>
    <x v="7"/>
    <x v="0"/>
    <x v="5"/>
    <n v="0"/>
    <n v="0"/>
    <n v="0"/>
    <x v="2"/>
  </r>
  <r>
    <x v="0"/>
    <s v="Hierarchical Data Format"/>
    <s v="HDF"/>
    <m/>
    <s v="The HDF Group"/>
    <s v="1.14.5"/>
    <m/>
    <x v="5"/>
    <x v="0"/>
    <x v="4"/>
    <n v="0"/>
    <n v="0"/>
    <n v="1"/>
    <x v="0"/>
  </r>
  <r>
    <x v="0"/>
    <s v="Postman collections"/>
    <m/>
    <m/>
    <s v="Postman"/>
    <s v="1.0.0"/>
    <m/>
    <x v="7"/>
    <x v="0"/>
    <x v="1"/>
    <n v="0"/>
    <n v="0"/>
    <n v="0"/>
    <x v="0"/>
  </r>
  <r>
    <x v="0"/>
    <s v="Attribute-based Access Control (ABAC) v2.0.0"/>
    <s v="ABAC"/>
    <m/>
    <s v="NIST"/>
    <s v="2.0.0"/>
    <m/>
    <x v="7"/>
    <x v="0"/>
    <x v="7"/>
    <n v="0"/>
    <n v="0"/>
    <n v="0"/>
    <x v="0"/>
  </r>
  <r>
    <x v="0"/>
    <s v="SAMM (Software Assurance Maturity Model)"/>
    <s v="SAMM"/>
    <m/>
    <s v="OWASP SAMM"/>
    <s v="2.0.0"/>
    <m/>
    <x v="13"/>
    <x v="0"/>
    <x v="5"/>
    <n v="0"/>
    <n v="2"/>
    <n v="0"/>
    <x v="1"/>
  </r>
  <r>
    <x v="0"/>
    <s v="Meta-Share ontology (MS-OWL)"/>
    <s v="MS-OWL"/>
    <m/>
    <s v="W3C"/>
    <s v="2.0.0"/>
    <m/>
    <x v="5"/>
    <x v="0"/>
    <x v="1"/>
    <n v="0"/>
    <n v="0"/>
    <n v="1"/>
    <x v="0"/>
  </r>
  <r>
    <x v="0"/>
    <s v="Distributed Relational Database Architecture (DRDA)"/>
    <s v="DRDA"/>
    <m/>
    <s v="Open Group"/>
    <s v="5.0.0"/>
    <m/>
    <x v="1"/>
    <x v="1"/>
    <x v="0"/>
    <n v="0"/>
    <n v="0"/>
    <n v="0"/>
    <x v="0"/>
  </r>
  <r>
    <x v="0"/>
    <s v="GAIA-X Compliance Registry"/>
    <m/>
    <m/>
    <s v="GAIA-X"/>
    <s v="2.8.1"/>
    <m/>
    <x v="5"/>
    <x v="0"/>
    <x v="2"/>
    <n v="0"/>
    <n v="0"/>
    <n v="1"/>
    <x v="0"/>
  </r>
  <r>
    <x v="0"/>
    <s v="ITU-T Y.4461: Framework of open data in smart cities"/>
    <m/>
    <s v="ITU-T Y.4461"/>
    <s v="ITU"/>
    <s v="1.0.0"/>
    <m/>
    <x v="5"/>
    <x v="0"/>
    <x v="5"/>
    <n v="0"/>
    <n v="0"/>
    <n v="2"/>
    <x v="0"/>
  </r>
  <r>
    <x v="0"/>
    <s v="ETSI TS 103 458 CYBER; Application of Attribute Based Encryption (ABE) for PII and personal data protection on IoT devices, WLAN, cloud and mobile services - High level requirements"/>
    <m/>
    <s v="ETSI TS 103 458"/>
    <s v="ETSI"/>
    <s v="1.1.1"/>
    <m/>
    <x v="19"/>
    <x v="1"/>
    <x v="1"/>
    <n v="0"/>
    <n v="2"/>
    <n v="0"/>
    <x v="0"/>
  </r>
  <r>
    <x v="0"/>
    <s v="eGovernment Core Vocabularies Handbook"/>
    <m/>
    <m/>
    <s v="EC"/>
    <s v="1.0.0"/>
    <m/>
    <x v="0"/>
    <x v="0"/>
    <x v="0"/>
    <n v="0"/>
    <n v="0"/>
    <n v="2"/>
    <x v="0"/>
  </r>
  <r>
    <x v="0"/>
    <s v="ISO/IEC/IEEE 15289:2019 Systems and software engineering — Content of life-cycle information items"/>
    <m/>
    <s v="ISO/IEC/IEEE 15289:2019"/>
    <s v="ISO"/>
    <s v="4.0.0"/>
    <m/>
    <x v="7"/>
    <x v="0"/>
    <x v="5"/>
    <n v="0"/>
    <n v="0"/>
    <n v="0"/>
    <x v="0"/>
  </r>
  <r>
    <x v="0"/>
    <s v="Global eBusiness Interoperability Testbed (GITB)"/>
    <s v="GITB"/>
    <m/>
    <s v="EC"/>
    <s v="1.17.0"/>
    <m/>
    <x v="7"/>
    <x v="0"/>
    <x v="1"/>
    <n v="0"/>
    <n v="0"/>
    <n v="0"/>
    <x v="0"/>
  </r>
  <r>
    <x v="0"/>
    <s v="Treaty on the Functioning of the European Union"/>
    <s v="TFEU"/>
    <m/>
    <s v="OP"/>
    <s v="1.0.0"/>
    <m/>
    <x v="9"/>
    <x v="0"/>
    <x v="0"/>
    <n v="1"/>
    <n v="0"/>
    <n v="0"/>
    <x v="0"/>
  </r>
  <r>
    <x v="0"/>
    <s v="Q.5001 : Signalling requirements and architecture of intelligent edge computing"/>
    <m/>
    <s v="ITU-T Q.5001"/>
    <s v="ITU"/>
    <s v="1.0.0"/>
    <m/>
    <x v="1"/>
    <x v="2"/>
    <x v="0"/>
    <n v="0"/>
    <n v="0"/>
    <n v="0"/>
    <x v="0"/>
  </r>
  <r>
    <x v="0"/>
    <s v="Metadata Encoding and Transmission Standard (METS)"/>
    <s v="METS"/>
    <m/>
    <s v="LoC"/>
    <s v="1.12.1"/>
    <m/>
    <x v="5"/>
    <x v="0"/>
    <x v="1"/>
    <n v="0"/>
    <n v="0"/>
    <n v="5"/>
    <x v="0"/>
  </r>
  <r>
    <x v="0"/>
    <s v="ITU-T X.1147: Security requirements and framework for big data analytics in mobile internet services"/>
    <m/>
    <s v="ITU-T X.1147"/>
    <s v="ITU"/>
    <s v="1.0.0"/>
    <m/>
    <x v="15"/>
    <x v="0"/>
    <x v="0"/>
    <n v="0"/>
    <n v="1"/>
    <n v="1"/>
    <x v="0"/>
  </r>
  <r>
    <x v="0"/>
    <s v="Modular Requirements for Records Systems (MoReq2010)"/>
    <m/>
    <s v="MoReq2010"/>
    <s v="DLM Forum"/>
    <s v="1.1.0"/>
    <m/>
    <x v="7"/>
    <x v="0"/>
    <x v="1"/>
    <n v="0"/>
    <n v="0"/>
    <n v="0"/>
    <x v="0"/>
  </r>
  <r>
    <x v="0"/>
    <s v="exFAT file system specification"/>
    <m/>
    <m/>
    <s v="Microsoft"/>
    <s v="10.6.4"/>
    <m/>
    <x v="7"/>
    <x v="0"/>
    <x v="1"/>
    <n v="0"/>
    <n v="0"/>
    <n v="0"/>
    <x v="0"/>
  </r>
  <r>
    <x v="0"/>
    <s v="HTTP Strict Transport Security (HSTS)"/>
    <s v="HSTS"/>
    <m/>
    <s v="IETF"/>
    <s v="14.0.0"/>
    <m/>
    <x v="5"/>
    <x v="0"/>
    <x v="1"/>
    <n v="0"/>
    <n v="0"/>
    <n v="3"/>
    <x v="0"/>
  </r>
  <r>
    <x v="0"/>
    <s v="ISO 17100:2015 - Translation services -- Requirements for translation services ISO"/>
    <m/>
    <s v="ISO 17100:2015"/>
    <s v="ISO"/>
    <s v="1.0.0"/>
    <m/>
    <x v="7"/>
    <x v="0"/>
    <x v="1"/>
    <n v="0"/>
    <n v="0"/>
    <n v="0"/>
    <x v="0"/>
  </r>
  <r>
    <x v="0"/>
    <s v="HAL - Hypertext Application Language"/>
    <s v="HAL"/>
    <m/>
    <s v="Stateless"/>
    <s v="1.0.0"/>
    <m/>
    <x v="0"/>
    <x v="0"/>
    <x v="0"/>
    <n v="0"/>
    <n v="0"/>
    <n v="3"/>
    <x v="0"/>
  </r>
  <r>
    <x v="0"/>
    <s v="ISO/IEC 24760-1:2019 IT Security and Privacy — A framework for identity management Part 1: Terminology and concepts"/>
    <m/>
    <s v="ISO/IEC 24760-1:2019"/>
    <s v="ISO"/>
    <s v="2.0.0"/>
    <m/>
    <x v="6"/>
    <x v="1"/>
    <x v="5"/>
    <n v="0"/>
    <n v="0"/>
    <n v="0"/>
    <x v="0"/>
  </r>
  <r>
    <x v="0"/>
    <s v="MyData White paper"/>
    <m/>
    <m/>
    <s v="HIIT"/>
    <s v="1.2.1"/>
    <m/>
    <x v="7"/>
    <x v="0"/>
    <x v="1"/>
    <n v="0"/>
    <n v="0"/>
    <n v="0"/>
    <x v="0"/>
  </r>
  <r>
    <x v="0"/>
    <s v="DPV-GDPR: GDPR Extension for DPV"/>
    <s v="DPV-GDPR"/>
    <m/>
    <s v="W3C"/>
    <s v="2.0.0"/>
    <m/>
    <x v="2"/>
    <x v="0"/>
    <x v="0"/>
    <n v="0"/>
    <n v="1"/>
    <n v="0"/>
    <x v="0"/>
  </r>
  <r>
    <x v="0"/>
    <s v="Global digital sustainable product passport opportunities to achieve a circular economy"/>
    <m/>
    <s v="ITU-T L.1070"/>
    <s v="ITU"/>
    <s v="1.0.0"/>
    <m/>
    <x v="12"/>
    <x v="0"/>
    <x v="0"/>
    <n v="0"/>
    <n v="0"/>
    <n v="0"/>
    <x v="0"/>
  </r>
  <r>
    <x v="0"/>
    <s v="Guideline 2014/C 240/01 on recommended standard licences, datasets and charging for the reuse of documents."/>
    <m/>
    <m/>
    <s v="EC"/>
    <s v="1.0.0"/>
    <m/>
    <x v="9"/>
    <x v="0"/>
    <x v="0"/>
    <n v="1"/>
    <n v="0"/>
    <n v="0"/>
    <x v="0"/>
  </r>
  <r>
    <x v="0"/>
    <s v="Indexed Database API"/>
    <m/>
    <m/>
    <s v="W3C"/>
    <s v="3.0.0"/>
    <m/>
    <x v="12"/>
    <x v="0"/>
    <x v="0"/>
    <n v="0"/>
    <n v="0"/>
    <n v="0"/>
    <x v="0"/>
  </r>
  <r>
    <x v="0"/>
    <s v="App Store"/>
    <m/>
    <m/>
    <s v="IDSA"/>
    <s v="1.0.0"/>
    <m/>
    <x v="7"/>
    <x v="0"/>
    <x v="2"/>
    <n v="0"/>
    <n v="0"/>
    <n v="0"/>
    <x v="0"/>
  </r>
  <r>
    <x v="0"/>
    <s v="OSLC Configuration Management Version 1.0"/>
    <m/>
    <m/>
    <s v="OASIS"/>
    <s v="1.0.0"/>
    <m/>
    <x v="2"/>
    <x v="0"/>
    <x v="0"/>
    <n v="0"/>
    <n v="1"/>
    <n v="0"/>
    <x v="0"/>
  </r>
  <r>
    <x v="0"/>
    <s v="IDS Reference Architecture Model (IDS-RAM)"/>
    <s v="IDS-RAM"/>
    <m/>
    <s v="IDSA"/>
    <s v="4.0.0"/>
    <m/>
    <x v="7"/>
    <x v="0"/>
    <x v="5"/>
    <n v="0"/>
    <n v="0"/>
    <n v="0"/>
    <x v="0"/>
  </r>
  <r>
    <x v="0"/>
    <s v="ISO/IEC TR 22678 --Cloud Computing --Guidance for Policy Development"/>
    <m/>
    <s v="ISO/IEC TR 22678"/>
    <s v="ISO"/>
    <s v="1.0.0"/>
    <m/>
    <x v="13"/>
    <x v="0"/>
    <x v="5"/>
    <n v="0"/>
    <n v="1"/>
    <n v="0"/>
    <x v="0"/>
  </r>
  <r>
    <x v="0"/>
    <s v="The MIT License"/>
    <m/>
    <m/>
    <s v="MIT"/>
    <s v="1.0.0"/>
    <m/>
    <x v="7"/>
    <x v="0"/>
    <x v="5"/>
    <n v="0"/>
    <n v="0"/>
    <n v="0"/>
    <x v="0"/>
  </r>
  <r>
    <x v="0"/>
    <s v="ISO/IEC 38505-3: Information technology - Governance of Data - Part3: Guidelines for Data Classification"/>
    <m/>
    <s v="ISO/IEC 38505-3"/>
    <s v="ISO"/>
    <s v="1.0.0"/>
    <m/>
    <x v="2"/>
    <x v="0"/>
    <x v="0"/>
    <n v="0"/>
    <n v="1"/>
    <n v="0"/>
    <x v="0"/>
  </r>
  <r>
    <x v="0"/>
    <s v="Y.4122 : Requirements and capability framework of the edge-computing-enabled gateway in the Internet of things"/>
    <m/>
    <s v="ITU-T Y.4122"/>
    <s v="ITU"/>
    <s v="1.0.0"/>
    <m/>
    <x v="1"/>
    <x v="2"/>
    <x v="0"/>
    <n v="0"/>
    <n v="0"/>
    <n v="0"/>
    <x v="0"/>
  </r>
  <r>
    <x v="0"/>
    <s v="Digital Signature Service"/>
    <s v="DSS"/>
    <m/>
    <s v="EC"/>
    <s v="6.1.0"/>
    <m/>
    <x v="7"/>
    <x v="0"/>
    <x v="1"/>
    <n v="0"/>
    <n v="0"/>
    <n v="0"/>
    <x v="0"/>
  </r>
  <r>
    <x v="0"/>
    <s v="X.500: Information technology - Open Systems Interconnection - The Directory: Overview of concepts, models and services"/>
    <m/>
    <m/>
    <s v="ITU"/>
    <s v="1.0.0"/>
    <m/>
    <x v="6"/>
    <x v="1"/>
    <x v="1"/>
    <n v="0"/>
    <n v="0"/>
    <n v="0"/>
    <x v="1"/>
  </r>
  <r>
    <x v="0"/>
    <s v="AGREEMENT ON TECHNICAL CO-OPERATION BETWEEN ISO AND CEN (Vienna Agreement)"/>
    <m/>
    <s v="Vienna Agreement"/>
    <s v="CEN-CENELEC"/>
    <s v="1.0.0"/>
    <m/>
    <x v="7"/>
    <x v="0"/>
    <x v="1"/>
    <n v="0"/>
    <n v="0"/>
    <n v="0"/>
    <x v="0"/>
  </r>
  <r>
    <x v="0"/>
    <s v="ISO/IEC/IEEE 24748-1:2024 Systems and software engineering — Life cycle management Part 1: Guidelines for life cycle management"/>
    <m/>
    <s v="ISO/IEC/IEEE 24748-1:2024"/>
    <s v="ISO"/>
    <s v="2.0.0"/>
    <m/>
    <x v="1"/>
    <x v="2"/>
    <x v="0"/>
    <n v="0"/>
    <n v="0"/>
    <n v="0"/>
    <x v="0"/>
  </r>
  <r>
    <x v="0"/>
    <s v="REGULATION (EU) No 910/2014 (EP&amp;EC) on electronic identification and trust services for electronic transactions in the internal market and repealing Directive 1999/93/EC (eIDAS)"/>
    <s v="eIDAS"/>
    <m/>
    <s v="OP"/>
    <s v="L 257/73"/>
    <m/>
    <x v="3"/>
    <x v="0"/>
    <x v="0"/>
    <n v="5"/>
    <n v="3"/>
    <n v="0"/>
    <x v="0"/>
  </r>
  <r>
    <x v="0"/>
    <s v="JSON transformation language JSLT"/>
    <m/>
    <m/>
    <s v="Schibsted"/>
    <s v="0.1.14"/>
    <m/>
    <x v="5"/>
    <x v="0"/>
    <x v="1"/>
    <n v="0"/>
    <n v="0"/>
    <n v="1"/>
    <x v="0"/>
  </r>
  <r>
    <x v="0"/>
    <s v="Service Metadata Publisher (DomiSMP)"/>
    <s v="DomiSMP"/>
    <m/>
    <s v="EC"/>
    <s v="5.0.1"/>
    <m/>
    <x v="7"/>
    <x v="0"/>
    <x v="6"/>
    <n v="0"/>
    <n v="0"/>
    <n v="0"/>
    <x v="0"/>
  </r>
  <r>
    <x v="0"/>
    <s v="Open Data Product Specification"/>
    <s v="ODPS"/>
    <m/>
    <s v="ODP"/>
    <s v="3.1.0"/>
    <m/>
    <x v="0"/>
    <x v="0"/>
    <x v="0"/>
    <n v="0"/>
    <n v="0"/>
    <n v="3"/>
    <x v="0"/>
  </r>
  <r>
    <x v="0"/>
    <s v="Real-Time Streaming Protocol (RTSP)"/>
    <s v="RTSP"/>
    <m/>
    <s v="IETF"/>
    <s v="2.0.0"/>
    <m/>
    <x v="1"/>
    <x v="1"/>
    <x v="0"/>
    <n v="0"/>
    <n v="0"/>
    <n v="0"/>
    <x v="0"/>
  </r>
  <r>
    <x v="0"/>
    <s v="OpenMinTeD Shared Infrastructure for Text and Data Mining (OMTD-SHARE)"/>
    <s v="OMTD-SHARE"/>
    <m/>
    <s v="W3C"/>
    <s v="3.0.2"/>
    <m/>
    <x v="5"/>
    <x v="0"/>
    <x v="1"/>
    <n v="0"/>
    <n v="0"/>
    <n v="1"/>
    <x v="0"/>
  </r>
  <r>
    <x v="0"/>
    <s v="DPV-PD: Extended Personal Data categories for DPV"/>
    <s v="DPV-PD"/>
    <m/>
    <s v="W3C"/>
    <s v="2.0.0"/>
    <m/>
    <x v="2"/>
    <x v="0"/>
    <x v="0"/>
    <n v="0"/>
    <n v="1"/>
    <n v="0"/>
    <x v="0"/>
  </r>
  <r>
    <x v="0"/>
    <s v="Directive 2002/58/EC concerning the processing of personal data and the protection of privacy in the electronic communications sector (ePrivacy directive)"/>
    <m/>
    <s v="Directive 2002/58/EC"/>
    <s v="OP"/>
    <s v="L 201"/>
    <m/>
    <x v="9"/>
    <x v="0"/>
    <x v="0"/>
    <n v="1"/>
    <n v="0"/>
    <n v="0"/>
    <x v="0"/>
  </r>
  <r>
    <x v="0"/>
    <s v="Framework for Base Registry Access and Interconnection (BRAIF)"/>
    <s v="BRAIF"/>
    <m/>
    <s v="EC"/>
    <s v="2.1.0"/>
    <m/>
    <x v="15"/>
    <x v="0"/>
    <x v="0"/>
    <n v="0"/>
    <n v="2"/>
    <n v="1"/>
    <x v="0"/>
  </r>
  <r>
    <x v="0"/>
    <s v="Key words for use in RFCs to Indicate Requirement Levels (RFC 2119)"/>
    <m/>
    <s v="RFC 2119"/>
    <s v="IETF"/>
    <s v="1.0.0"/>
    <m/>
    <x v="0"/>
    <x v="0"/>
    <x v="0"/>
    <n v="0"/>
    <n v="0"/>
    <n v="1"/>
    <x v="0"/>
  </r>
  <r>
    <x v="0"/>
    <s v="OASIS Topology and Orchestration Specification for Cloud Applications (TOSCA)"/>
    <s v="TOSCA"/>
    <m/>
    <s v="OASIS"/>
    <s v="1.3.0"/>
    <m/>
    <x v="12"/>
    <x v="0"/>
    <x v="0"/>
    <n v="0"/>
    <n v="0"/>
    <n v="0"/>
    <x v="0"/>
  </r>
  <r>
    <x v="0"/>
    <s v="Self-Issued Open ID Provider (SIOPv2)"/>
    <s v="SIOPv2"/>
    <m/>
    <s v="OpenID Foundation"/>
    <s v="2.0.0"/>
    <m/>
    <x v="7"/>
    <x v="0"/>
    <x v="1"/>
    <n v="0"/>
    <n v="0"/>
    <n v="0"/>
    <x v="0"/>
  </r>
  <r>
    <x v="0"/>
    <s v="Secutiry Controls - Linking eIDAS (Q)ERDS &amp; CEF eDelivery"/>
    <m/>
    <m/>
    <s v="EC"/>
    <s v="2.2.1"/>
    <m/>
    <x v="7"/>
    <x v="0"/>
    <x v="5"/>
    <n v="0"/>
    <n v="0"/>
    <n v="0"/>
    <x v="0"/>
  </r>
  <r>
    <x v="0"/>
    <s v="Group Communication for the Constrained Application Protocol (CoAP)"/>
    <m/>
    <s v="RFC 7390"/>
    <s v="IETF"/>
    <s v="1.0.0"/>
    <m/>
    <x v="6"/>
    <x v="1"/>
    <x v="3"/>
    <n v="0"/>
    <n v="0"/>
    <n v="0"/>
    <x v="0"/>
  </r>
  <r>
    <x v="0"/>
    <s v="BPN (BPM - 001 Business Partner Number)"/>
    <m/>
    <s v="BPM-001"/>
    <s v="CATENA-X"/>
    <s v="2.1.0"/>
    <m/>
    <x v="0"/>
    <x v="0"/>
    <x v="0"/>
    <n v="0"/>
    <n v="0"/>
    <n v="3"/>
    <x v="0"/>
  </r>
  <r>
    <x v="0"/>
    <s v="Accessibility requirements for smart public transport services"/>
    <m/>
    <s v="ITU-T Y.4211"/>
    <s v="ITU"/>
    <s v="1.0.0"/>
    <m/>
    <x v="12"/>
    <x v="0"/>
    <x v="0"/>
    <n v="0"/>
    <n v="0"/>
    <n v="0"/>
    <x v="0"/>
  </r>
  <r>
    <x v="0"/>
    <s v="GS1 XML Electronic Data Interchange"/>
    <m/>
    <s v="GS1 XML EDI"/>
    <s v="GS1"/>
    <s v="1.0.0"/>
    <m/>
    <x v="5"/>
    <x v="0"/>
    <x v="1"/>
    <n v="0"/>
    <n v="0"/>
    <n v="2"/>
    <x v="0"/>
  </r>
  <r>
    <x v="0"/>
    <s v="SmartM2M; Digital Twins Communication Requirements (ETSI TS 103 845)"/>
    <m/>
    <s v="ETSI TS 103 845"/>
    <s v="ETSI"/>
    <s v="1.1.1"/>
    <m/>
    <x v="4"/>
    <x v="1"/>
    <x v="0"/>
    <n v="0"/>
    <n v="2"/>
    <n v="0"/>
    <x v="0"/>
  </r>
  <r>
    <x v="0"/>
    <s v="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
    <m/>
    <s v="Directive 2016/680/EU"/>
    <s v="OP"/>
    <s v="L 119/89"/>
    <m/>
    <x v="9"/>
    <x v="0"/>
    <x v="0"/>
    <n v="1"/>
    <n v="0"/>
    <n v="0"/>
    <x v="0"/>
  </r>
  <r>
    <x v="0"/>
    <s v="Cyber Security; Security Threats and related Requirements  for Consumer Sensor Hubs (ETSI TS 103 864)"/>
    <m/>
    <s v="ETSI TS 103 864"/>
    <s v="ETSI"/>
    <s v="1.1.1"/>
    <m/>
    <x v="15"/>
    <x v="0"/>
    <x v="0"/>
    <n v="0"/>
    <n v="1"/>
    <n v="2"/>
    <x v="0"/>
  </r>
  <r>
    <x v="0"/>
    <s v="ebXML Messaging Protocol Binding for RegRep Version 1.0"/>
    <m/>
    <m/>
    <s v="OASIS"/>
    <s v="1.0.0"/>
    <m/>
    <x v="7"/>
    <x v="0"/>
    <x v="3"/>
    <n v="0"/>
    <n v="0"/>
    <n v="0"/>
    <x v="0"/>
  </r>
  <r>
    <x v="0"/>
    <s v="ESS handbook for quality and metadata reports (EHQMR)"/>
    <s v="EHQMR"/>
    <m/>
    <s v="EC"/>
    <s v="2.0.0"/>
    <m/>
    <x v="7"/>
    <x v="0"/>
    <x v="1"/>
    <n v="0"/>
    <n v="0"/>
    <n v="0"/>
    <x v="0"/>
  </r>
  <r>
    <x v="0"/>
    <s v="StartTLS"/>
    <s v="StartTLS"/>
    <m/>
    <s v="IETF"/>
    <s v="1.0.0"/>
    <m/>
    <x v="7"/>
    <x v="0"/>
    <x v="1"/>
    <n v="0"/>
    <n v="0"/>
    <n v="0"/>
    <x v="0"/>
  </r>
  <r>
    <x v="0"/>
    <s v="Data Management: SQL Call Level Interface (CLI)"/>
    <s v="CLI"/>
    <m/>
    <s v="Open Group"/>
    <s v="1.0.0"/>
    <m/>
    <x v="5"/>
    <x v="0"/>
    <x v="1"/>
    <n v="0"/>
    <n v="0"/>
    <n v="1"/>
    <x v="0"/>
  </r>
  <r>
    <x v="0"/>
    <s v="Information technology — Big data — Overview and vocabulary (ISO/IEC 20546:2019)"/>
    <m/>
    <s v="ISO/IEC 20546:2019"/>
    <s v="ISO"/>
    <s v="1.0.0"/>
    <m/>
    <x v="5"/>
    <x v="0"/>
    <x v="3"/>
    <n v="0"/>
    <n v="0"/>
    <n v="2"/>
    <x v="0"/>
  </r>
  <r>
    <x v="0"/>
    <s v="WAI-ARIA"/>
    <s v="WAI-ARIA"/>
    <m/>
    <s v="W3C"/>
    <s v="1.1.0"/>
    <m/>
    <x v="7"/>
    <x v="0"/>
    <x v="1"/>
    <n v="0"/>
    <n v="0"/>
    <n v="0"/>
    <x v="2"/>
  </r>
  <r>
    <x v="0"/>
    <s v="ISO/IEC 15408-1:2022 Information security, cybersecurity and privacy protection — Evaluation criteria for IT security Part 1: Introduction and general model"/>
    <m/>
    <s v="ISO/IEC 15408-1:2022"/>
    <s v="ISO"/>
    <s v="1"/>
    <m/>
    <x v="6"/>
    <x v="1"/>
    <x v="1"/>
    <n v="0"/>
    <n v="0"/>
    <n v="0"/>
    <x v="0"/>
  </r>
  <r>
    <x v="0"/>
    <s v="Business Process Simulator (BPSim)"/>
    <s v="BPSim"/>
    <m/>
    <s v="WfMC"/>
    <s v="2.0.0"/>
    <m/>
    <x v="1"/>
    <x v="2"/>
    <x v="0"/>
    <n v="0"/>
    <n v="0"/>
    <n v="0"/>
    <x v="0"/>
  </r>
  <r>
    <x v="0"/>
    <s v="Mobile Application Security Verification Standard (MASVS)"/>
    <s v="MASVS"/>
    <m/>
    <s v="OWASP"/>
    <s v="1.0.0"/>
    <m/>
    <x v="0"/>
    <x v="0"/>
    <x v="0"/>
    <n v="0"/>
    <n v="0"/>
    <n v="2"/>
    <x v="0"/>
  </r>
  <r>
    <x v="0"/>
    <s v="ISO/IEC TR 15944-6:2015 Information technology — Business operational view — Part 6: Technical introduction to e-Business modelling"/>
    <m/>
    <s v="ISO/IEC TR 15944-6:2015"/>
    <s v="OASIS"/>
    <s v="2.0.0"/>
    <m/>
    <x v="0"/>
    <x v="0"/>
    <x v="0"/>
    <n v="0"/>
    <n v="0"/>
    <n v="2"/>
    <x v="0"/>
  </r>
  <r>
    <x v="0"/>
    <s v="ISO/IEC 20000-1:2018 Information technology — Service management — Part 1: Service management system requirements"/>
    <m/>
    <s v="ISO/IEC 20000-1:2018"/>
    <s v="ISO"/>
    <s v="3.0.0"/>
    <m/>
    <x v="7"/>
    <x v="0"/>
    <x v="5"/>
    <n v="0"/>
    <n v="0"/>
    <n v="0"/>
    <x v="0"/>
  </r>
  <r>
    <x v="0"/>
    <s v="Hypertext Markup Language (HTML) v4.01"/>
    <s v="HTML"/>
    <m/>
    <s v="W3C"/>
    <s v="4.01.0"/>
    <m/>
    <x v="12"/>
    <x v="0"/>
    <x v="0"/>
    <n v="0"/>
    <n v="0"/>
    <n v="0"/>
    <x v="0"/>
  </r>
  <r>
    <x v="0"/>
    <s v="The OpenContainers Image Spec"/>
    <m/>
    <m/>
    <s v="OCI"/>
    <s v="1.0.1"/>
    <m/>
    <x v="0"/>
    <x v="0"/>
    <x v="0"/>
    <n v="0"/>
    <n v="0"/>
    <n v="1"/>
    <x v="0"/>
  </r>
  <r>
    <x v="0"/>
    <s v="ISO/IEC 19941:2017 Information technology — Cloud computing — Interoperability and portability"/>
    <m/>
    <s v="ISO/IEC 19941:2017"/>
    <s v="ISO"/>
    <s v="1.0.0"/>
    <m/>
    <x v="11"/>
    <x v="5"/>
    <x v="5"/>
    <n v="0"/>
    <n v="0"/>
    <n v="2"/>
    <x v="1"/>
  </r>
  <r>
    <x v="0"/>
    <s v="Framework for Layer 2 Virtual Private Networks (L2VPNs) RFC 4664"/>
    <s v="L2VPNs"/>
    <s v="RFC 4664"/>
    <s v="ISO"/>
    <s v="5.0.0"/>
    <m/>
    <x v="0"/>
    <x v="0"/>
    <x v="0"/>
    <n v="0"/>
    <n v="0"/>
    <n v="2"/>
    <x v="0"/>
  </r>
  <r>
    <x v="0"/>
    <s v="The Token Binding Protocol"/>
    <m/>
    <m/>
    <s v="IETF"/>
    <s v="1.0.0"/>
    <m/>
    <x v="7"/>
    <x v="0"/>
    <x v="6"/>
    <n v="0"/>
    <n v="0"/>
    <n v="0"/>
    <x v="0"/>
  </r>
  <r>
    <x v="0"/>
    <s v="IANA Media Types (RFC 6838, MIME  types)"/>
    <m/>
    <s v="RFC 6838"/>
    <s v="IETF"/>
    <s v="1.0.0"/>
    <m/>
    <x v="0"/>
    <x v="0"/>
    <x v="0"/>
    <n v="0"/>
    <n v="0"/>
    <n v="1"/>
    <x v="0"/>
  </r>
  <r>
    <x v="0"/>
    <s v="Registered Organization Vocabulary"/>
    <s v="RegOrg"/>
    <m/>
    <s v="EC"/>
    <s v="1.0.0"/>
    <m/>
    <x v="0"/>
    <x v="0"/>
    <x v="0"/>
    <n v="0"/>
    <n v="0"/>
    <n v="7"/>
    <x v="2"/>
  </r>
  <r>
    <x v="0"/>
    <s v="Arazzo"/>
    <m/>
    <m/>
    <s v="Linux Foundation"/>
    <s v="1.0.1"/>
    <m/>
    <x v="7"/>
    <x v="0"/>
    <x v="1"/>
    <n v="0"/>
    <n v="0"/>
    <n v="0"/>
    <x v="0"/>
  </r>
  <r>
    <x v="0"/>
    <s v="ASiC (Associated Signature Container) Baseline Profile"/>
    <s v="ASiC"/>
    <m/>
    <s v="ETSI"/>
    <s v="2.2.1"/>
    <m/>
    <x v="7"/>
    <x v="0"/>
    <x v="7"/>
    <n v="0"/>
    <n v="0"/>
    <n v="0"/>
    <x v="1"/>
  </r>
  <r>
    <x v="0"/>
    <s v="Methodology for data validation"/>
    <m/>
    <m/>
    <s v="EC"/>
    <s v="2.0.0"/>
    <m/>
    <x v="7"/>
    <x v="0"/>
    <x v="1"/>
    <n v="0"/>
    <n v="0"/>
    <n v="0"/>
    <x v="0"/>
  </r>
  <r>
    <x v="0"/>
    <s v="PDF Advanced Electronic Signatures (PAdES) - ISO 14533-3:2017"/>
    <s v="PAdES"/>
    <s v="ISO 14533-3:2017"/>
    <s v="ISO"/>
    <s v="1.0.0"/>
    <m/>
    <x v="12"/>
    <x v="0"/>
    <x v="0"/>
    <n v="0"/>
    <n v="0"/>
    <n v="0"/>
    <x v="0"/>
  </r>
  <r>
    <x v="0"/>
    <s v="ISO/IEC 19987:2024 Information technology — EPC Information Services (EPCIS)"/>
    <s v="EPCIS"/>
    <s v="ISO/IEC 19987:2024"/>
    <s v="ISO"/>
    <s v="1"/>
    <m/>
    <x v="7"/>
    <x v="0"/>
    <x v="1"/>
    <n v="0"/>
    <n v="0"/>
    <n v="0"/>
    <x v="0"/>
  </r>
  <r>
    <x v="0"/>
    <s v="Digital Credentials API (Browser agent)"/>
    <m/>
    <m/>
    <s v="W3C"/>
    <s v="1.0.0"/>
    <m/>
    <x v="7"/>
    <x v="0"/>
    <x v="3"/>
    <n v="0"/>
    <n v="0"/>
    <n v="0"/>
    <x v="0"/>
  </r>
  <r>
    <x v="0"/>
    <s v="Electronic Signatures and Infrastructures (ESI); Associated Signature Containers (ASiC); Part 1: Building blocks and ASiC baseline containers (ETSI EN 319 162-1)"/>
    <s v="ASiC"/>
    <s v="ETSI EN 319 162-1"/>
    <s v="ETSI"/>
    <s v="1.1.1"/>
    <m/>
    <x v="7"/>
    <x v="0"/>
    <x v="4"/>
    <n v="0"/>
    <n v="0"/>
    <n v="0"/>
    <x v="0"/>
  </r>
  <r>
    <x v="0"/>
    <s v="Linked Data Notifications (LDN)"/>
    <s v="LDN"/>
    <m/>
    <s v="W3C"/>
    <s v="1.0.0"/>
    <m/>
    <x v="0"/>
    <x v="0"/>
    <x v="0"/>
    <n v="0"/>
    <n v="0"/>
    <n v="3"/>
    <x v="0"/>
  </r>
  <r>
    <x v="0"/>
    <s v="ITU-T X.1750 'Guidelines on security of big data as a service for Big Data Service Providers'"/>
    <m/>
    <s v="ITU-T X.1750"/>
    <s v="ITU"/>
    <s v="1.0.0"/>
    <m/>
    <x v="0"/>
    <x v="0"/>
    <x v="0"/>
    <n v="0"/>
    <n v="0"/>
    <n v="1"/>
    <x v="0"/>
  </r>
  <r>
    <x v="0"/>
    <s v="Effects of information and communication technology-enabled autonomy on vehicles longevity and waste creation"/>
    <m/>
    <s v="ITU-T L.1040"/>
    <s v="ITU"/>
    <s v="1.0.0"/>
    <m/>
    <x v="12"/>
    <x v="0"/>
    <x v="0"/>
    <n v="0"/>
    <n v="0"/>
    <n v="0"/>
    <x v="0"/>
  </r>
  <r>
    <x v="0"/>
    <s v="OpenEHR"/>
    <m/>
    <m/>
    <s v="openEHR Foundation"/>
    <s v="1.0.1"/>
    <m/>
    <x v="1"/>
    <x v="1"/>
    <x v="0"/>
    <n v="0"/>
    <n v="0"/>
    <n v="0"/>
    <x v="0"/>
  </r>
  <r>
    <x v="0"/>
    <s v="2014/771/EU: Commission Implementing Decision of 31 October 2014 on the identification of Universal Business Language version 2.1 for referencing in public procurement Text with EEA relevance"/>
    <m/>
    <s v="Decision 2014/771/EU"/>
    <s v="OP"/>
    <s v="L 315/44"/>
    <m/>
    <x v="9"/>
    <x v="0"/>
    <x v="0"/>
    <n v="1"/>
    <n v="0"/>
    <n v="0"/>
    <x v="0"/>
  </r>
  <r>
    <x v="0"/>
    <s v="Electronic Signatures and Trust Infrastructures (ESI); Cryptographic Suites (ETSI TS 119 312)"/>
    <m/>
    <s v="ETSI TS 119 312"/>
    <s v="ETSI"/>
    <s v="1.5.1"/>
    <m/>
    <x v="7"/>
    <x v="0"/>
    <x v="6"/>
    <n v="0"/>
    <n v="0"/>
    <n v="0"/>
    <x v="0"/>
  </r>
  <r>
    <x v="0"/>
    <s v="ISO/IEC TR 14369:2018 Information technology — Programming languages, their environments and system software interfaces — Guidelines for the preparation of language-independent service specifications (LISS)"/>
    <s v="LISS"/>
    <s v="ISO/IEC TR 14369:2018"/>
    <s v="ISO"/>
    <s v="2.0.0"/>
    <m/>
    <x v="7"/>
    <x v="0"/>
    <x v="5"/>
    <n v="0"/>
    <n v="0"/>
    <n v="0"/>
    <x v="0"/>
  </r>
  <r>
    <x v="0"/>
    <s v="Eurovoc"/>
    <s v="EuroVoc"/>
    <m/>
    <s v="OP"/>
    <s v="4.12.0"/>
    <m/>
    <x v="0"/>
    <x v="0"/>
    <x v="0"/>
    <n v="0"/>
    <n v="0"/>
    <n v="1"/>
    <x v="2"/>
  </r>
  <r>
    <x v="0"/>
    <s v="Commission Implementing Decision (EU) 2017/2288 of 11 December 2017 on the identification of ICT Technical Specifications for referencing in public procurement"/>
    <m/>
    <s v="Decision 2017/2288/EU"/>
    <s v="EC"/>
    <s v="L 328/123"/>
    <m/>
    <x v="9"/>
    <x v="0"/>
    <x v="0"/>
    <n v="5"/>
    <n v="0"/>
    <n v="0"/>
    <x v="0"/>
  </r>
  <r>
    <x v="0"/>
    <s v="Catalogue Services Standard 2.0 Extension Package for ebRIM Application Profile: Earth Observation Products"/>
    <m/>
    <m/>
    <s v="OGC"/>
    <s v="1.0.0"/>
    <m/>
    <x v="7"/>
    <x v="0"/>
    <x v="1"/>
    <n v="0"/>
    <n v="0"/>
    <n v="0"/>
    <x v="0"/>
  </r>
  <r>
    <x v="0"/>
    <s v="Web Services Description Language (WSDL)"/>
    <s v="WSDL"/>
    <m/>
    <s v="W3C"/>
    <s v="2.0.0"/>
    <m/>
    <x v="7"/>
    <x v="0"/>
    <x v="1"/>
    <n v="0"/>
    <n v="0"/>
    <n v="0"/>
    <x v="2"/>
  </r>
  <r>
    <x v="0"/>
    <s v="OpenPGP"/>
    <s v="OpenPGP"/>
    <m/>
    <s v="IETF"/>
    <s v="22.0.0"/>
    <m/>
    <x v="7"/>
    <x v="0"/>
    <x v="1"/>
    <n v="0"/>
    <n v="0"/>
    <n v="0"/>
    <x v="0"/>
  </r>
  <r>
    <x v="0"/>
    <s v="DCAT-AP extension for Metadata in National Access Points (DCAT-NAP-AP)"/>
    <s v="DCAT-NAP-AP"/>
    <m/>
    <s v="EC"/>
    <s v="0.8.0"/>
    <m/>
    <x v="0"/>
    <x v="0"/>
    <x v="0"/>
    <n v="0"/>
    <n v="0"/>
    <n v="3"/>
    <x v="0"/>
  </r>
  <r>
    <x v="0"/>
    <s v="OASIS Content Managemnet Interoperability Services (CMIS)"/>
    <s v="CMIS"/>
    <m/>
    <s v="OASIS"/>
    <s v="1.1.0"/>
    <m/>
    <x v="7"/>
    <x v="0"/>
    <x v="5"/>
    <n v="0"/>
    <n v="0"/>
    <n v="0"/>
    <x v="0"/>
  </r>
  <r>
    <x v="0"/>
    <s v="EUR-Lex"/>
    <s v="EURLex"/>
    <m/>
    <s v="EC"/>
    <s v="1.0.0"/>
    <m/>
    <x v="9"/>
    <x v="0"/>
    <x v="0"/>
    <n v="1"/>
    <n v="0"/>
    <n v="0"/>
    <x v="0"/>
  </r>
  <r>
    <x v="0"/>
    <s v="Core Criterion and Core Evidence Vocabulary (CCCEV) v2.1.0"/>
    <s v="CCCEV"/>
    <m/>
    <s v="EC"/>
    <s v="2.1.0"/>
    <m/>
    <x v="5"/>
    <x v="0"/>
    <x v="1"/>
    <n v="0"/>
    <n v="0"/>
    <n v="7"/>
    <x v="0"/>
  </r>
  <r>
    <x v="0"/>
    <s v="Skills Framework for the Information Age (SFIA)"/>
    <s v="SFIA"/>
    <m/>
    <s v="SFIA"/>
    <s v="None"/>
    <m/>
    <x v="12"/>
    <x v="0"/>
    <x v="0"/>
    <n v="0"/>
    <n v="0"/>
    <n v="0"/>
    <x v="0"/>
  </r>
  <r>
    <x v="0"/>
    <s v="Good Practices on building sucessful interconnections of Base Registries"/>
    <m/>
    <m/>
    <s v="EC"/>
    <s v="1.0.0"/>
    <m/>
    <x v="0"/>
    <x v="0"/>
    <x v="0"/>
    <n v="0"/>
    <n v="0"/>
    <n v="1"/>
    <x v="0"/>
  </r>
  <r>
    <x v="0"/>
    <s v="Post-Award BIS Specifications and Guidelines (Peppol BIS Billing)"/>
    <m/>
    <s v="Peppol BIS Billing"/>
    <s v="PEPPOL"/>
    <s v="3.0.10"/>
    <m/>
    <x v="0"/>
    <x v="0"/>
    <x v="0"/>
    <n v="0"/>
    <n v="0"/>
    <n v="2"/>
    <x v="0"/>
  </r>
  <r>
    <x v="0"/>
    <s v="ISO 19011:2018 Guidelines for auditing management systems"/>
    <m/>
    <s v="ISO 19011:2018"/>
    <s v="ISO"/>
    <s v="3.0.0"/>
    <m/>
    <x v="7"/>
    <x v="0"/>
    <x v="1"/>
    <n v="0"/>
    <n v="0"/>
    <n v="0"/>
    <x v="0"/>
  </r>
  <r>
    <x v="0"/>
    <s v="e-delivery AS4"/>
    <s v="AS4"/>
    <m/>
    <s v="EC"/>
    <s v="1.15.0"/>
    <m/>
    <x v="7"/>
    <x v="0"/>
    <x v="1"/>
    <n v="0"/>
    <n v="0"/>
    <n v="0"/>
    <x v="0"/>
  </r>
  <r>
    <x v="0"/>
    <s v="GXFSv2 - Identity and Access Management"/>
    <m/>
    <s v="GXFSv2"/>
    <s v="GAIA-X"/>
    <s v="22.10.0"/>
    <m/>
    <x v="7"/>
    <x v="0"/>
    <x v="4"/>
    <n v="0"/>
    <n v="0"/>
    <n v="0"/>
    <x v="0"/>
  </r>
  <r>
    <x v="0"/>
    <s v="Security techniques — Extension to ISO/IEC 27001 and ISO/IEC 27002 for privacy information management — Requirements and guidelines (ISO/IEC 27701:2019)"/>
    <m/>
    <s v="ISO/IEC 27701:2019"/>
    <s v="ISO"/>
    <s v="1.0.0"/>
    <m/>
    <x v="2"/>
    <x v="0"/>
    <x v="0"/>
    <n v="0"/>
    <n v="2"/>
    <n v="0"/>
    <x v="0"/>
  </r>
  <r>
    <x v="0"/>
    <s v="Internet Protocol version 4 (IPv4)"/>
    <s v="IPv4"/>
    <m/>
    <s v="IETF"/>
    <s v="4.0.0"/>
    <m/>
    <x v="7"/>
    <x v="0"/>
    <x v="1"/>
    <n v="0"/>
    <n v="0"/>
    <n v="0"/>
    <x v="2"/>
  </r>
  <r>
    <x v="0"/>
    <s v="Electronic Signatures and Infrastructures (ESI); Associated Signature Containers (ASiC); Part 2: Additional ASiC containers (ETSI EN 319 162-2)"/>
    <s v="ASiC"/>
    <s v="ETSI EN 319 162-2"/>
    <s v="ETSI"/>
    <s v="1.1.1"/>
    <m/>
    <x v="7"/>
    <x v="0"/>
    <x v="4"/>
    <n v="0"/>
    <n v="0"/>
    <n v="0"/>
    <x v="0"/>
  </r>
  <r>
    <x v="0"/>
    <s v="The Dublin Core Ontology"/>
    <s v="DCMI"/>
    <m/>
    <s v="DCMI"/>
    <s v="15.0.0"/>
    <m/>
    <x v="0"/>
    <x v="0"/>
    <x v="0"/>
    <n v="0"/>
    <n v="0"/>
    <n v="1"/>
    <x v="1"/>
  </r>
  <r>
    <x v="0"/>
    <s v="PSI Directive"/>
    <m/>
    <m/>
    <s v="OP"/>
    <s v="1.0.0"/>
    <m/>
    <x v="0"/>
    <x v="0"/>
    <x v="0"/>
    <n v="0"/>
    <n v="0"/>
    <n v="6"/>
    <x v="0"/>
  </r>
  <r>
    <x v="0"/>
    <s v="JSON Lines"/>
    <m/>
    <m/>
    <s v="JSON Lines"/>
    <s v="1.0.0"/>
    <m/>
    <x v="0"/>
    <x v="0"/>
    <x v="0"/>
    <n v="0"/>
    <n v="0"/>
    <n v="3"/>
    <x v="0"/>
  </r>
  <r>
    <x v="0"/>
    <s v="Microformats"/>
    <m/>
    <m/>
    <s v="microformats.org"/>
    <s v="2.0.0"/>
    <m/>
    <x v="0"/>
    <x v="0"/>
    <x v="0"/>
    <n v="0"/>
    <n v="0"/>
    <n v="1"/>
    <x v="0"/>
  </r>
  <r>
    <x v="0"/>
    <s v="Simple Network Management Protocol (SNMP)"/>
    <s v="SNMP"/>
    <m/>
    <s v="IETF"/>
    <s v="3.0.0"/>
    <m/>
    <x v="1"/>
    <x v="1"/>
    <x v="0"/>
    <n v="0"/>
    <n v="0"/>
    <n v="0"/>
    <x v="0"/>
  </r>
  <r>
    <x v="0"/>
    <s v="Digital Link -  GS1 Digital Link | GS1"/>
    <m/>
    <s v="Digital Link"/>
    <s v="GS1"/>
    <s v="1.0.0"/>
    <m/>
    <x v="5"/>
    <x v="0"/>
    <x v="1"/>
    <n v="0"/>
    <n v="0"/>
    <n v="2"/>
    <x v="0"/>
  </r>
  <r>
    <x v="0"/>
    <s v="Gaia-X Digital Clearing House (GXDCH)"/>
    <s v="GXDCH"/>
    <m/>
    <s v="GAIA-X"/>
    <s v="23.10.0"/>
    <m/>
    <x v="6"/>
    <x v="1"/>
    <x v="2"/>
    <n v="0"/>
    <n v="0"/>
    <n v="0"/>
    <x v="0"/>
  </r>
  <r>
    <x v="0"/>
    <s v="File Transfer Protocol over Transport Layer Security (FTPS or FTP over TLS)"/>
    <s v="FTPS"/>
    <m/>
    <s v="IETF"/>
    <s v="None"/>
    <m/>
    <x v="12"/>
    <x v="0"/>
    <x v="0"/>
    <n v="0"/>
    <n v="0"/>
    <n v="0"/>
    <x v="0"/>
  </r>
  <r>
    <x v="0"/>
    <s v="eXtensible Markup Language (XML)"/>
    <s v="XML"/>
    <m/>
    <s v="W3C"/>
    <s v="1.0.0"/>
    <m/>
    <x v="0"/>
    <x v="0"/>
    <x v="0"/>
    <n v="0"/>
    <n v="0"/>
    <n v="2"/>
    <x v="0"/>
  </r>
  <r>
    <x v="0"/>
    <s v="eXtensible Markup Language (XML)"/>
    <s v="XML"/>
    <m/>
    <s v="W3C"/>
    <s v="1.1.0"/>
    <m/>
    <x v="0"/>
    <x v="0"/>
    <x v="0"/>
    <n v="0"/>
    <n v="0"/>
    <n v="2"/>
    <x v="3"/>
  </r>
  <r>
    <x v="0"/>
    <s v="EU eGovernment Action Plan 2016-2020 - Accelerating the digital transformation of government"/>
    <m/>
    <m/>
    <s v="EC"/>
    <s v="1.0.0"/>
    <m/>
    <x v="9"/>
    <x v="0"/>
    <x v="0"/>
    <n v="1"/>
    <n v="0"/>
    <n v="0"/>
    <x v="0"/>
  </r>
  <r>
    <x v="0"/>
    <s v="AKN4EU"/>
    <s v="AKN4EU"/>
    <m/>
    <s v="OP"/>
    <s v="4.0.0"/>
    <m/>
    <x v="16"/>
    <x v="0"/>
    <x v="0"/>
    <n v="6"/>
    <n v="0"/>
    <n v="2"/>
    <x v="1"/>
  </r>
  <r>
    <x v="0"/>
    <s v="Asset Description Metadata Schema (ADMS)"/>
    <s v="ADMS"/>
    <m/>
    <s v="W3C"/>
    <s v="1.0.0"/>
    <m/>
    <x v="5"/>
    <x v="0"/>
    <x v="4"/>
    <n v="0"/>
    <n v="0"/>
    <n v="9"/>
    <x v="2"/>
  </r>
  <r>
    <x v="0"/>
    <s v="ISO/IEC/IEEE 15288:2023 Systems and software engineering — System life cycle processes"/>
    <m/>
    <s v="ISO/IEC/IEEE 15288:2023"/>
    <s v="ISO"/>
    <s v="2.0.0"/>
    <m/>
    <x v="1"/>
    <x v="2"/>
    <x v="0"/>
    <n v="0"/>
    <n v="0"/>
    <n v="0"/>
    <x v="0"/>
  </r>
  <r>
    <x v="0"/>
    <s v="ITU-T Y.3500: Information technology - Cloud computing - Overview and vocabulary"/>
    <m/>
    <s v="ITU-T Y.3500"/>
    <s v="ITU"/>
    <s v="1.0.0"/>
    <m/>
    <x v="8"/>
    <x v="2"/>
    <x v="0"/>
    <n v="0"/>
    <n v="0"/>
    <n v="2"/>
    <x v="0"/>
  </r>
  <r>
    <x v="0"/>
    <s v="SmartM2M; Digital Twins: Functionalities and  communication Reference Architecture (ETSI TS 103 846)"/>
    <m/>
    <s v="ETSI TS 103 846"/>
    <s v="ETSI"/>
    <s v="1.1.1"/>
    <m/>
    <x v="11"/>
    <x v="2"/>
    <x v="2"/>
    <n v="0"/>
    <n v="0"/>
    <n v="1"/>
    <x v="0"/>
  </r>
  <r>
    <x v="0"/>
    <s v="Regulation (EU) No 1025/2012"/>
    <m/>
    <m/>
    <s v="EC"/>
    <s v="1.0.0"/>
    <m/>
    <x v="9"/>
    <x v="0"/>
    <x v="0"/>
    <n v="1"/>
    <n v="0"/>
    <n v="0"/>
    <x v="0"/>
  </r>
  <r>
    <x v="0"/>
    <s v="Joint Photographic Experts Group (JPEG)"/>
    <s v="JPEG"/>
    <m/>
    <s v="ISO"/>
    <s v="1.0.0"/>
    <m/>
    <x v="12"/>
    <x v="0"/>
    <x v="0"/>
    <n v="0"/>
    <n v="0"/>
    <n v="0"/>
    <x v="0"/>
  </r>
  <r>
    <x v="0"/>
    <s v="ETSI TS 119 512 Electronic Signatures and Infrastructures (ESI); Protocols for trust service providers providing long-term data preservation services"/>
    <m/>
    <s v="ETSI TS 119 512"/>
    <s v="ETSI"/>
    <s v="1.1.2"/>
    <m/>
    <x v="7"/>
    <x v="0"/>
    <x v="1"/>
    <n v="0"/>
    <n v="0"/>
    <n v="0"/>
    <x v="2"/>
  </r>
  <r>
    <x v="0"/>
    <s v="Context Information Management (CIM); NGSI-LD API (ETSI GS CIM 009)"/>
    <s v="NGSI-LD API"/>
    <s v="ETSI GS CIM 009"/>
    <s v="ETSI"/>
    <s v="1.7.1"/>
    <m/>
    <x v="7"/>
    <x v="0"/>
    <x v="6"/>
    <n v="0"/>
    <n v="0"/>
    <n v="0"/>
    <x v="1"/>
  </r>
  <r>
    <x v="0"/>
    <s v="eGovernment accelerating digital public services that support the functioning of the single market"/>
    <m/>
    <m/>
    <s v="OP"/>
    <s v="1.0.0"/>
    <m/>
    <x v="2"/>
    <x v="0"/>
    <x v="0"/>
    <n v="0"/>
    <n v="1"/>
    <n v="0"/>
    <x v="0"/>
  </r>
  <r>
    <x v="0"/>
    <s v="REGULATION (EU) 2018/1807 OF THE EUROPEAN PARLIAMENT AND OF THE COUNCIL, of 14 November 2018 on a framework for the free flow of non-personal data in the European Union (Text with EEA relevance)"/>
    <m/>
    <s v="Regulation 2018/1807/EU"/>
    <s v="OP"/>
    <s v="L 303/59"/>
    <m/>
    <x v="9"/>
    <x v="0"/>
    <x v="0"/>
    <n v="1"/>
    <n v="0"/>
    <n v="0"/>
    <x v="0"/>
  </r>
  <r>
    <x v="0"/>
    <s v="Web Services for Remote Portlets (WSRP)"/>
    <s v="WSRP"/>
    <m/>
    <s v="OASIS"/>
    <s v="2.0.0"/>
    <m/>
    <x v="7"/>
    <x v="0"/>
    <x v="5"/>
    <n v="0"/>
    <n v="0"/>
    <n v="0"/>
    <x v="0"/>
  </r>
  <r>
    <x v="0"/>
    <s v="Credential Transparency Description Language (CTDL)"/>
    <s v="CTDL"/>
    <m/>
    <s v="Credential Engine"/>
    <s v="1.0.0"/>
    <m/>
    <x v="0"/>
    <x v="0"/>
    <x v="0"/>
    <n v="0"/>
    <n v="0"/>
    <n v="2"/>
    <x v="0"/>
  </r>
  <r>
    <x v="0"/>
    <s v="Hypertext Transfer Protocol (HTTP/3)"/>
    <s v="HTTP/3"/>
    <m/>
    <s v="IETF"/>
    <s v="3.0.0"/>
    <m/>
    <x v="7"/>
    <x v="0"/>
    <x v="1"/>
    <n v="0"/>
    <n v="0"/>
    <n v="0"/>
    <x v="0"/>
  </r>
  <r>
    <x v="0"/>
    <s v="OpenFlow Switch Specification"/>
    <m/>
    <m/>
    <s v="ONF"/>
    <s v="1.3.4"/>
    <m/>
    <x v="1"/>
    <x v="2"/>
    <x v="0"/>
    <n v="0"/>
    <n v="0"/>
    <n v="0"/>
    <x v="0"/>
  </r>
  <r>
    <x v="0"/>
    <s v="Guidelines on the protection of personal data processed through web services provided by EU institutions"/>
    <m/>
    <m/>
    <s v="EDPS"/>
    <s v="1.0.0"/>
    <m/>
    <x v="7"/>
    <x v="0"/>
    <x v="1"/>
    <n v="0"/>
    <n v="0"/>
    <n v="0"/>
    <x v="0"/>
  </r>
  <r>
    <x v="0"/>
    <s v="GAIA-X Federated Catalogue"/>
    <m/>
    <m/>
    <s v="GAIA-X"/>
    <s v="1.0.0"/>
    <m/>
    <x v="8"/>
    <x v="2"/>
    <x v="0"/>
    <n v="0"/>
    <n v="0"/>
    <n v="1"/>
    <x v="0"/>
  </r>
  <r>
    <x v="0"/>
    <s v="Domain Name System Security Extensions (DNSSEC)"/>
    <s v="DNSSEC"/>
    <m/>
    <s v="IETF"/>
    <s v="6.0.0"/>
    <m/>
    <x v="6"/>
    <x v="1"/>
    <x v="1"/>
    <n v="0"/>
    <n v="0"/>
    <n v="0"/>
    <x v="0"/>
  </r>
  <r>
    <x v="0"/>
    <s v="DNS over TLS (DoT)"/>
    <s v="DoT"/>
    <m/>
    <s v="IETF"/>
    <s v="9.0.0"/>
    <m/>
    <x v="6"/>
    <x v="1"/>
    <x v="5"/>
    <n v="0"/>
    <n v="0"/>
    <n v="0"/>
    <x v="0"/>
  </r>
  <r>
    <x v="0"/>
    <s v="Office Open XML File Formats Part 1: Fundamentals and Markup Language Reference"/>
    <m/>
    <s v="ISO/IEC 29500-1:2016"/>
    <s v="ISO"/>
    <s v="4.0.0"/>
    <m/>
    <x v="7"/>
    <x v="0"/>
    <x v="2"/>
    <n v="0"/>
    <n v="0"/>
    <n v="0"/>
    <x v="0"/>
  </r>
  <r>
    <x v="0"/>
    <s v="Core Person Vocabulary"/>
    <s v="CPV"/>
    <m/>
    <s v="EC"/>
    <s v="2.0.0"/>
    <m/>
    <x v="0"/>
    <x v="0"/>
    <x v="0"/>
    <n v="0"/>
    <n v="0"/>
    <n v="8"/>
    <x v="0"/>
  </r>
  <r>
    <x v="0"/>
    <s v="FreeRADIUS"/>
    <m/>
    <m/>
    <s v="IETF"/>
    <s v="3.0.0"/>
    <m/>
    <x v="7"/>
    <x v="0"/>
    <x v="1"/>
    <n v="0"/>
    <n v="0"/>
    <n v="0"/>
    <x v="0"/>
  </r>
  <r>
    <x v="0"/>
    <s v="ISO 639-2:1998 Codes for the representation of names of languages -- Part 2: Alpha-3 code"/>
    <m/>
    <s v="ISO 639-2:1998"/>
    <s v="LoC"/>
    <s v="2.0.0"/>
    <m/>
    <x v="0"/>
    <x v="0"/>
    <x v="0"/>
    <n v="0"/>
    <n v="0"/>
    <n v="2"/>
    <x v="1"/>
  </r>
  <r>
    <x v="0"/>
    <s v="NUTS"/>
    <s v="NUTS"/>
    <s v="Nomenclature of territorial units for statistics 2024"/>
    <s v="EC"/>
    <s v="2024"/>
    <m/>
    <x v="0"/>
    <x v="0"/>
    <x v="0"/>
    <n v="0"/>
    <n v="0"/>
    <n v="5"/>
    <x v="0"/>
  </r>
  <r>
    <x v="0"/>
    <s v="The Extensible Hypertext Markup Language (XHTML)"/>
    <s v="XHTML"/>
    <m/>
    <s v="W3C"/>
    <s v="1.0.0"/>
    <m/>
    <x v="0"/>
    <x v="0"/>
    <x v="0"/>
    <n v="0"/>
    <n v="0"/>
    <n v="1"/>
    <x v="2"/>
  </r>
  <r>
    <x v="0"/>
    <s v="European Privacy Policy"/>
    <m/>
    <m/>
    <s v="EC"/>
    <s v="1.0.0"/>
    <m/>
    <x v="0"/>
    <x v="0"/>
    <x v="0"/>
    <n v="0"/>
    <n v="0"/>
    <n v="1"/>
    <x v="0"/>
  </r>
  <r>
    <x v="0"/>
    <s v="Extended MKCOL for Web Distributed Authoring and Versioning (Extended WebDAV MKCOL)"/>
    <m/>
    <m/>
    <s v="IETF"/>
    <s v="7.0.0"/>
    <m/>
    <x v="6"/>
    <x v="1"/>
    <x v="1"/>
    <n v="0"/>
    <n v="0"/>
    <n v="0"/>
    <x v="0"/>
  </r>
  <r>
    <x v="0"/>
    <s v="802.3-2022 - IEEE Standard for Ethernet"/>
    <m/>
    <m/>
    <s v="IEEE"/>
    <s v="1.0.0"/>
    <m/>
    <x v="1"/>
    <x v="7"/>
    <x v="0"/>
    <n v="0"/>
    <n v="0"/>
    <n v="0"/>
    <x v="1"/>
  </r>
  <r>
    <x v="0"/>
    <s v="Microdata (Schema.org)"/>
    <m/>
    <m/>
    <s v="Schema.org"/>
    <s v="29.1.0"/>
    <m/>
    <x v="5"/>
    <x v="0"/>
    <x v="1"/>
    <n v="0"/>
    <n v="0"/>
    <n v="3"/>
    <x v="0"/>
  </r>
  <r>
    <x v="0"/>
    <s v="ISO/IEC 19086-1:2016 Information technology — Cloud computing — Service level agreement (SLA) framework — Part 1: Overview and concepts"/>
    <m/>
    <s v="ISO/IEC 19086-1:2016"/>
    <s v="ISO"/>
    <s v="1"/>
    <m/>
    <x v="7"/>
    <x v="0"/>
    <x v="3"/>
    <n v="0"/>
    <n v="0"/>
    <n v="0"/>
    <x v="0"/>
  </r>
  <r>
    <x v="0"/>
    <s v="DIRECTIVE (EU) 2019/1024 OF THE EUROPEAN PARLIAMENT AND OF THE COUNCIL of 20 June 2019 on open data and the re-use of public sector information."/>
    <m/>
    <m/>
    <s v="OP"/>
    <s v="L 172/56"/>
    <m/>
    <x v="0"/>
    <x v="0"/>
    <x v="0"/>
    <n v="0"/>
    <n v="0"/>
    <n v="6"/>
    <x v="0"/>
  </r>
  <r>
    <x v="0"/>
    <s v="EBSI - Decentralized indetifier (EBSI-DID)"/>
    <s v="EBSI-DID"/>
    <m/>
    <s v="EC"/>
    <s v="1.0.0"/>
    <m/>
    <x v="1"/>
    <x v="1"/>
    <x v="0"/>
    <n v="0"/>
    <n v="0"/>
    <n v="0"/>
    <x v="0"/>
  </r>
  <r>
    <x v="0"/>
    <s v="REGULATION (EU) 2016/679 OF THE EUROPEAN PARLIAMENT AND OF THE COUNCIL of 27 April 2016 on the protection of natural persons with regard to the processing of personal data and on the free movement of such data, and repealing Directive 95/46/EC (General Data Protection Regulation)"/>
    <s v="GDPR"/>
    <m/>
    <s v="OP"/>
    <s v="L 119/1"/>
    <m/>
    <x v="20"/>
    <x v="0"/>
    <x v="1"/>
    <n v="7"/>
    <n v="6"/>
    <n v="6"/>
    <x v="0"/>
  </r>
  <r>
    <x v="0"/>
    <s v="PAdES (PDF Advanced Electronic Signature) Baseline Profile"/>
    <s v="PAdES"/>
    <m/>
    <s v="ETSI"/>
    <s v="2.2.1"/>
    <m/>
    <x v="7"/>
    <x v="0"/>
    <x v="6"/>
    <n v="0"/>
    <n v="0"/>
    <n v="0"/>
    <x v="1"/>
  </r>
  <r>
    <x v="0"/>
    <s v="CDN Interconnection Architecture (ETSI TS 182 032)"/>
    <m/>
    <s v="ETSI TS 182 032"/>
    <s v="ETSI"/>
    <s v="1.1.1"/>
    <m/>
    <x v="1"/>
    <x v="2"/>
    <x v="0"/>
    <n v="0"/>
    <n v="0"/>
    <n v="0"/>
    <x v="0"/>
  </r>
  <r>
    <x v="0"/>
    <s v="GraphQL"/>
    <m/>
    <m/>
    <s v="GraphQL Foundation"/>
    <s v="3.0.0"/>
    <m/>
    <x v="11"/>
    <x v="2"/>
    <x v="9"/>
    <n v="0"/>
    <n v="0"/>
    <n v="1"/>
    <x v="1"/>
  </r>
  <r>
    <x v="0"/>
    <s v="JOINT COMMUNICATION TO THE EUROPEAN PARLIAMENT AND THE COUNCIL - The EU's Cybersecurity Strategy for the Digital Decade"/>
    <m/>
    <m/>
    <s v="EC"/>
    <s v="1.0.0"/>
    <m/>
    <x v="2"/>
    <x v="0"/>
    <x v="0"/>
    <n v="0"/>
    <n v="1"/>
    <n v="0"/>
    <x v="0"/>
  </r>
  <r>
    <x v="0"/>
    <s v="DIRECTIVE (EU) 2016/2102 OF THE EUROPEAN PARLIAMENT AND OF THE COUNCIL of 26 October 2016 on the accessibility of the websites and mobile applications of public sector bodies"/>
    <m/>
    <s v="Directive 2016/2102/EU"/>
    <s v="OP"/>
    <s v="L 327/1"/>
    <m/>
    <x v="9"/>
    <x v="0"/>
    <x v="0"/>
    <n v="5"/>
    <n v="0"/>
    <n v="0"/>
    <x v="0"/>
  </r>
  <r>
    <x v="0"/>
    <s v="LegalDocML"/>
    <m/>
    <m/>
    <s v="OASIS"/>
    <s v="1.0.0"/>
    <m/>
    <x v="9"/>
    <x v="0"/>
    <x v="0"/>
    <n v="5"/>
    <n v="0"/>
    <n v="0"/>
    <x v="1"/>
  </r>
  <r>
    <x v="0"/>
    <s v="Transport Layer Security (TLS) Transport Mapping for Syslog"/>
    <m/>
    <m/>
    <s v="IETF"/>
    <s v="1.0.0"/>
    <m/>
    <x v="7"/>
    <x v="0"/>
    <x v="3"/>
    <n v="0"/>
    <n v="0"/>
    <n v="0"/>
    <x v="0"/>
  </r>
  <r>
    <x v="0"/>
    <s v="Internet of Things (IoT) — Interoperability for IoT Systems — Part 1: Framework. (ISO/IEC 21823-1:2019)"/>
    <m/>
    <s v="ISO/IEC 21823-1:2019"/>
    <s v="ISO"/>
    <s v="1.0.0"/>
    <m/>
    <x v="7"/>
    <x v="0"/>
    <x v="1"/>
    <n v="0"/>
    <n v="0"/>
    <n v="0"/>
    <x v="0"/>
  </r>
  <r>
    <x v="0"/>
    <s v="OpenAPI Specification"/>
    <s v="OAS"/>
    <m/>
    <s v="OpenAPI Initiative"/>
    <s v="3.1.0"/>
    <m/>
    <x v="6"/>
    <x v="1"/>
    <x v="1"/>
    <n v="0"/>
    <n v="0"/>
    <n v="0"/>
    <x v="1"/>
  </r>
  <r>
    <x v="0"/>
    <s v="OGC I15 (ISO19115 Metadata) Extension Package of CS-W ebRIM Profile 1.0"/>
    <m/>
    <m/>
    <s v="OGC"/>
    <s v="1.0.2"/>
    <m/>
    <x v="7"/>
    <x v="0"/>
    <x v="1"/>
    <n v="0"/>
    <n v="0"/>
    <n v="0"/>
    <x v="0"/>
  </r>
  <r>
    <x v="0"/>
    <s v="OpenID Connect"/>
    <s v="OIDC"/>
    <m/>
    <s v="OpenID Foundation"/>
    <s v="2.0.0"/>
    <m/>
    <x v="6"/>
    <x v="1"/>
    <x v="1"/>
    <n v="0"/>
    <n v="0"/>
    <n v="0"/>
    <x v="0"/>
  </r>
  <r>
    <x v="0"/>
    <s v="Simple Mail Transfer Protocol (SMTP)"/>
    <s v="SMTP"/>
    <m/>
    <s v="IETF"/>
    <s v="None"/>
    <m/>
    <x v="12"/>
    <x v="0"/>
    <x v="0"/>
    <n v="0"/>
    <n v="0"/>
    <n v="0"/>
    <x v="0"/>
  </r>
  <r>
    <x v="0"/>
    <s v="Role-Based Access Controls (RBAC)"/>
    <s v="RBAC"/>
    <m/>
    <s v="NIST"/>
    <s v="1.0.0"/>
    <m/>
    <x v="7"/>
    <x v="0"/>
    <x v="1"/>
    <n v="0"/>
    <n v="0"/>
    <n v="0"/>
    <x v="0"/>
  </r>
  <r>
    <x v="0"/>
    <s v="UTF-8"/>
    <s v="UTF-8"/>
    <m/>
    <s v="IETF"/>
    <s v="5.0.0"/>
    <m/>
    <x v="0"/>
    <x v="0"/>
    <x v="0"/>
    <n v="0"/>
    <n v="0"/>
    <n v="1"/>
    <x v="2"/>
  </r>
  <r>
    <x v="0"/>
    <s v="Core Public Service Vocabulary Application Profile 2.2"/>
    <s v="CPSV-AP"/>
    <m/>
    <s v="EC"/>
    <s v="2.2.0"/>
    <m/>
    <x v="10"/>
    <x v="0"/>
    <x v="3"/>
    <n v="0"/>
    <n v="1"/>
    <n v="6"/>
    <x v="2"/>
  </r>
  <r>
    <x v="0"/>
    <s v="Simple Knowledge Organisation system (SKOS)"/>
    <s v="SKOS"/>
    <m/>
    <s v="W3C"/>
    <s v="1.0.0"/>
    <m/>
    <x v="0"/>
    <x v="0"/>
    <x v="0"/>
    <n v="0"/>
    <n v="0"/>
    <n v="4"/>
    <x v="0"/>
  </r>
  <r>
    <x v="0"/>
    <s v="Directive 2014/25/EU of the European Parliament and of the Council of 26 February 2014 on procurement by entities operating in the water, energy, transport and postal services sectors and repealing Directive 2004/17/EC Text with EEA relevance"/>
    <m/>
    <s v="Directive 2014/25/EU"/>
    <s v="OP"/>
    <s v="L 94/243"/>
    <m/>
    <x v="9"/>
    <x v="0"/>
    <x v="0"/>
    <n v="1"/>
    <n v="0"/>
    <n v="0"/>
    <x v="0"/>
  </r>
  <r>
    <x v="0"/>
    <s v="Data Privacy Vocabulary (DPV)"/>
    <s v="DPV"/>
    <m/>
    <s v="W3C"/>
    <s v="1.0.0"/>
    <m/>
    <x v="15"/>
    <x v="0"/>
    <x v="0"/>
    <n v="0"/>
    <n v="1"/>
    <n v="10"/>
    <x v="2"/>
  </r>
  <r>
    <x v="0"/>
    <s v="AES (Advanced Encryption Standard)"/>
    <s v="AES"/>
    <m/>
    <s v="NIST"/>
    <s v="1.0.0"/>
    <m/>
    <x v="6"/>
    <x v="1"/>
    <x v="5"/>
    <n v="0"/>
    <n v="0"/>
    <n v="0"/>
    <x v="1"/>
  </r>
  <r>
    <x v="0"/>
    <s v="BSI C5"/>
    <m/>
    <m/>
    <s v="BSI"/>
    <s v="C5:2020"/>
    <m/>
    <x v="5"/>
    <x v="0"/>
    <x v="2"/>
    <n v="0"/>
    <n v="0"/>
    <n v="2"/>
    <x v="0"/>
  </r>
  <r>
    <x v="0"/>
    <s v="Communication COM (2011) 882, open data, engine of innnovation, growth and transparent government"/>
    <m/>
    <m/>
    <s v="OP"/>
    <s v="COM(2011) 882"/>
    <m/>
    <x v="9"/>
    <x v="0"/>
    <x v="0"/>
    <n v="1"/>
    <n v="0"/>
    <n v="0"/>
    <x v="0"/>
  </r>
  <r>
    <x v="0"/>
    <s v="International Data Spaces Information Model"/>
    <s v="IDSA IM"/>
    <m/>
    <s v="IDSA"/>
    <s v="4.2.0"/>
    <m/>
    <x v="0"/>
    <x v="0"/>
    <x v="0"/>
    <n v="0"/>
    <n v="0"/>
    <n v="2"/>
    <x v="0"/>
  </r>
  <r>
    <x v="0"/>
    <s v="AES-CMAC algorithm"/>
    <m/>
    <m/>
    <s v="IETF"/>
    <s v="3.0.0"/>
    <m/>
    <x v="7"/>
    <x v="0"/>
    <x v="1"/>
    <n v="0"/>
    <n v="0"/>
    <n v="0"/>
    <x v="0"/>
  </r>
  <r>
    <x v="0"/>
    <s v="Uniform Basis for Exchanging Representations (UBER)"/>
    <s v="UBER"/>
    <m/>
    <s v="amundsen.com"/>
    <s v="1.0.0"/>
    <m/>
    <x v="7"/>
    <x v="0"/>
    <x v="1"/>
    <n v="0"/>
    <n v="0"/>
    <n v="0"/>
    <x v="0"/>
  </r>
  <r>
    <x v="0"/>
    <s v="JSON Web Key JWK"/>
    <s v="JWK"/>
    <m/>
    <s v="IETF"/>
    <s v="May 2025"/>
    <m/>
    <x v="7"/>
    <x v="0"/>
    <x v="1"/>
    <n v="0"/>
    <n v="0"/>
    <n v="0"/>
    <x v="0"/>
  </r>
  <r>
    <x v="0"/>
    <s v="Service Metadata Publishing (SMP) Version 2.0"/>
    <s v="SMP"/>
    <m/>
    <s v="OASIS"/>
    <s v="2.0.0"/>
    <m/>
    <x v="5"/>
    <x v="0"/>
    <x v="2"/>
    <n v="0"/>
    <n v="0"/>
    <n v="2"/>
    <x v="2"/>
  </r>
  <r>
    <x v="0"/>
    <s v="YAMATO (Yet Another More Advanced Top Ontology)"/>
    <s v="YAMATO"/>
    <m/>
    <s v="Hozo"/>
    <s v="2.0.0"/>
    <m/>
    <x v="0"/>
    <x v="0"/>
    <x v="0"/>
    <n v="0"/>
    <n v="0"/>
    <n v="1"/>
    <x v="0"/>
  </r>
  <r>
    <x v="0"/>
    <s v="SCIM Core Schema"/>
    <m/>
    <m/>
    <s v="IETF"/>
    <s v="22.0.0"/>
    <m/>
    <x v="7"/>
    <x v="0"/>
    <x v="1"/>
    <n v="0"/>
    <n v="0"/>
    <n v="0"/>
    <x v="1"/>
  </r>
  <r>
    <x v="0"/>
    <s v="NetCDF Markup Language"/>
    <m/>
    <m/>
    <s v="UCAR"/>
    <s v="2.0.0"/>
    <m/>
    <x v="0"/>
    <x v="0"/>
    <x v="0"/>
    <n v="0"/>
    <n v="0"/>
    <n v="2"/>
    <x v="0"/>
  </r>
  <r>
    <x v="0"/>
    <s v="Fetch API Living Standard"/>
    <m/>
    <m/>
    <s v="W3C"/>
    <s v="1.0.0"/>
    <m/>
    <x v="12"/>
    <x v="0"/>
    <x v="0"/>
    <n v="0"/>
    <n v="0"/>
    <n v="0"/>
    <x v="0"/>
  </r>
  <r>
    <x v="0"/>
    <s v="EDAMIS Web Application (EWA)"/>
    <s v="EWA"/>
    <m/>
    <s v="EC"/>
    <s v="3.1.8"/>
    <m/>
    <x v="1"/>
    <x v="1"/>
    <x v="0"/>
    <n v="0"/>
    <n v="0"/>
    <n v="0"/>
    <x v="0"/>
  </r>
  <r>
    <x v="0"/>
    <s v="ETSI TR 103 603 Guidance for providers and standardisation makers"/>
    <m/>
    <s v="ETSI TR 103 603"/>
    <s v="ETSI"/>
    <s v="1.1.1"/>
    <m/>
    <x v="2"/>
    <x v="0"/>
    <x v="0"/>
    <n v="0"/>
    <n v="2"/>
    <n v="0"/>
    <x v="0"/>
  </r>
  <r>
    <x v="0"/>
    <s v="E-ARK Dissemination Information Package (DIP)"/>
    <s v="E-ARK DIP"/>
    <m/>
    <s v="DILCIS Board"/>
    <s v="2.1.0"/>
    <m/>
    <x v="7"/>
    <x v="0"/>
    <x v="1"/>
    <n v="0"/>
    <n v="0"/>
    <n v="0"/>
    <x v="0"/>
  </r>
  <r>
    <x v="0"/>
    <s v="RDF-star and SPARQL-star"/>
    <m/>
    <m/>
    <s v="W3C"/>
    <s v="1.0.0"/>
    <m/>
    <x v="7"/>
    <x v="0"/>
    <x v="2"/>
    <n v="0"/>
    <n v="0"/>
    <n v="0"/>
    <x v="0"/>
  </r>
  <r>
    <x v="0"/>
    <s v="Web Feature Service (WFC)"/>
    <s v="WFC"/>
    <m/>
    <s v="OGC"/>
    <s v="2.0.2"/>
    <m/>
    <x v="13"/>
    <x v="0"/>
    <x v="2"/>
    <n v="0"/>
    <n v="1"/>
    <n v="0"/>
    <x v="0"/>
  </r>
  <r>
    <x v="0"/>
    <s v="SIREN"/>
    <m/>
    <m/>
    <s v="Siren Hypermedia"/>
    <s v="1.0.0"/>
    <m/>
    <x v="5"/>
    <x v="0"/>
    <x v="5"/>
    <n v="0"/>
    <n v="0"/>
    <n v="1"/>
    <x v="0"/>
  </r>
  <r>
    <x v="0"/>
    <s v="INSPIRE Directive 2007/2/EC of 14 March 2007, Article 18"/>
    <s v="INSPIRE"/>
    <s v="Directive 2007/2/EC"/>
    <s v="OP"/>
    <s v="L 108/1"/>
    <m/>
    <x v="9"/>
    <x v="0"/>
    <x v="0"/>
    <n v="5"/>
    <n v="0"/>
    <n v="0"/>
    <x v="0"/>
  </r>
  <r>
    <x v="0"/>
    <s v="EBSI OpenID Connect for Verifiable Credentials (EBSI-OpenID4VC)"/>
    <s v="EBSI-OpenID4VC"/>
    <m/>
    <s v="EC"/>
    <s v="1.0.0"/>
    <m/>
    <x v="1"/>
    <x v="1"/>
    <x v="0"/>
    <n v="0"/>
    <n v="0"/>
    <n v="0"/>
    <x v="0"/>
  </r>
  <r>
    <x v="0"/>
    <s v="Portable Document Format/A (PDF/A)"/>
    <s v="PDF/A"/>
    <m/>
    <s v="ISO"/>
    <s v="1.0.0"/>
    <m/>
    <x v="12"/>
    <x v="0"/>
    <x v="0"/>
    <n v="0"/>
    <n v="0"/>
    <n v="0"/>
    <x v="0"/>
  </r>
  <r>
    <x v="0"/>
    <s v="European Interoperability Framework"/>
    <s v="EIF"/>
    <m/>
    <s v="EC"/>
    <s v="3.0.0"/>
    <m/>
    <x v="12"/>
    <x v="0"/>
    <x v="0"/>
    <n v="0"/>
    <n v="0"/>
    <n v="0"/>
    <x v="0"/>
  </r>
  <r>
    <x v="0"/>
    <s v="Open Document Format for Office Applications (ODF) v1.2"/>
    <s v="ODF"/>
    <m/>
    <s v="ISO"/>
    <s v="1.2.0"/>
    <m/>
    <x v="12"/>
    <x v="0"/>
    <x v="0"/>
    <n v="0"/>
    <n v="0"/>
    <n v="0"/>
    <x v="0"/>
  </r>
  <r>
    <x v="0"/>
    <s v="INTERINSTITUTIONAL AGREEMENT BETWEEN THE EUROPEAN PARLIAMENT, THE COUNCIL OF THE EUROPEAN UNION AND THE EUROPEAN COMMISSION ON BETTER LAW-MAKING"/>
    <m/>
    <m/>
    <s v="OP"/>
    <s v="1.0.0"/>
    <m/>
    <x v="9"/>
    <x v="0"/>
    <x v="0"/>
    <n v="4"/>
    <n v="0"/>
    <n v="0"/>
    <x v="0"/>
  </r>
  <r>
    <x v="0"/>
    <s v="Metadata Binding Mechanism"/>
    <m/>
    <m/>
    <s v="NATO"/>
    <s v="1.0.0"/>
    <m/>
    <x v="0"/>
    <x v="0"/>
    <x v="0"/>
    <n v="0"/>
    <n v="0"/>
    <n v="1"/>
    <x v="0"/>
  </r>
  <r>
    <x v="0"/>
    <s v="SPARQL 1.1 Protocol"/>
    <m/>
    <m/>
    <s v="W3C"/>
    <s v="1.1.0"/>
    <m/>
    <x v="7"/>
    <x v="0"/>
    <x v="4"/>
    <n v="0"/>
    <n v="0"/>
    <n v="0"/>
    <x v="0"/>
  </r>
  <r>
    <x v="0"/>
    <s v="Semantic data model of the core elements of an electronic invoice (EN 16931-1:2017)"/>
    <m/>
    <s v="EN 16931-1:2017"/>
    <s v="CEN-CENELEC"/>
    <s v="1.0.0"/>
    <m/>
    <x v="0"/>
    <x v="0"/>
    <x v="0"/>
    <n v="0"/>
    <n v="0"/>
    <n v="3"/>
    <x v="0"/>
  </r>
  <r>
    <x v="0"/>
    <s v="Blazegraph"/>
    <m/>
    <m/>
    <s v="Blazegraph"/>
    <s v="2.1.6"/>
    <m/>
    <x v="7"/>
    <x v="0"/>
    <x v="5"/>
    <n v="0"/>
    <n v="0"/>
    <n v="0"/>
    <x v="0"/>
  </r>
  <r>
    <x v="0"/>
    <s v="Web electronic identity (Web eID)"/>
    <m/>
    <s v="Web eID"/>
    <s v="ID"/>
    <s v="2.6.0"/>
    <m/>
    <x v="7"/>
    <x v="0"/>
    <x v="6"/>
    <n v="0"/>
    <n v="0"/>
    <n v="0"/>
    <x v="0"/>
  </r>
  <r>
    <x v="0"/>
    <s v="gRPC"/>
    <s v="gRPC"/>
    <m/>
    <s v="gRPC"/>
    <s v="1.0.0"/>
    <m/>
    <x v="1"/>
    <x v="2"/>
    <x v="0"/>
    <n v="0"/>
    <n v="0"/>
    <n v="0"/>
    <x v="0"/>
  </r>
  <r>
    <x v="0"/>
    <s v="NUTS"/>
    <s v="NUTS"/>
    <m/>
    <s v="OP"/>
    <s v="1.9.0"/>
    <m/>
    <x v="0"/>
    <x v="0"/>
    <x v="0"/>
    <n v="0"/>
    <n v="0"/>
    <n v="2"/>
    <x v="1"/>
  </r>
  <r>
    <x v="0"/>
    <s v="DECISION (EU) 2018/646 OF THE EUROPEAN PARLIAMENT AND OF THE COUNCIL of 18 April 2018 on a common framework for the provision of better services for skills and qualifications (Europass) and repealing Decision No 2241/2004/EC (Text with EEA relevance)"/>
    <m/>
    <s v="Decision 2018/646/EU"/>
    <s v="OP"/>
    <s v="L 112/42"/>
    <m/>
    <x v="9"/>
    <x v="0"/>
    <x v="0"/>
    <n v="5"/>
    <n v="0"/>
    <n v="0"/>
    <x v="0"/>
  </r>
  <r>
    <x v="0"/>
    <s v="Regulation (EC) No 1049/2001 of the European Parliament and of the Council of 30 May 2001 regarding public access to European Parliament, Council and Commission documents"/>
    <m/>
    <s v="Regulation 1049/2001/EC"/>
    <s v="OP"/>
    <s v="L 145"/>
    <m/>
    <x v="9"/>
    <x v="0"/>
    <x v="0"/>
    <n v="1"/>
    <n v="0"/>
    <n v="0"/>
    <x v="0"/>
  </r>
  <r>
    <x v="0"/>
    <s v="OPC Unified Architecture (OPC UA)"/>
    <s v="OPC UA"/>
    <m/>
    <s v="OPC"/>
    <s v="1.0.0"/>
    <m/>
    <x v="0"/>
    <x v="0"/>
    <x v="0"/>
    <n v="0"/>
    <n v="0"/>
    <n v="3"/>
    <x v="0"/>
  </r>
  <r>
    <x v="0"/>
    <s v="REST"/>
    <s v="REST"/>
    <m/>
    <s v="RESTfulAPI"/>
    <s v="1.0.0"/>
    <m/>
    <x v="7"/>
    <x v="0"/>
    <x v="2"/>
    <n v="0"/>
    <n v="0"/>
    <n v="0"/>
    <x v="1"/>
  </r>
  <r>
    <x v="0"/>
    <s v="OpenDEI Position Paper: Design Principles for Data Spaces"/>
    <m/>
    <m/>
    <s v="OpenDEI"/>
    <s v="1.0.0"/>
    <m/>
    <x v="13"/>
    <x v="0"/>
    <x v="5"/>
    <n v="0"/>
    <n v="1"/>
    <n v="0"/>
    <x v="0"/>
  </r>
  <r>
    <x v="0"/>
    <s v="BSBA Technical Convergence Discussion Document"/>
    <m/>
    <m/>
    <s v="DSBA"/>
    <s v="2.0.0"/>
    <m/>
    <x v="13"/>
    <x v="0"/>
    <x v="5"/>
    <n v="0"/>
    <n v="1"/>
    <n v="0"/>
    <x v="0"/>
  </r>
  <r>
    <x v="0"/>
    <s v="ISO 9241-11:2018 Ergonomics of human-system interaction - Part 11: Usability: Definitions and concepts"/>
    <m/>
    <s v="ISO 9241-11:2018"/>
    <s v="ISO"/>
    <s v="2.0.0"/>
    <m/>
    <x v="7"/>
    <x v="0"/>
    <x v="1"/>
    <n v="0"/>
    <n v="0"/>
    <n v="0"/>
    <x v="0"/>
  </r>
  <r>
    <x v="0"/>
    <s v="Asset Description Metadata Schema"/>
    <s v="ADMS"/>
    <m/>
    <s v="W3C"/>
    <s v="2.0.0"/>
    <m/>
    <x v="5"/>
    <x v="0"/>
    <x v="4"/>
    <n v="0"/>
    <n v="0"/>
    <n v="9"/>
    <x v="0"/>
  </r>
  <r>
    <x v="0"/>
    <s v="eDelivery SMP"/>
    <m/>
    <m/>
    <s v="EC"/>
    <s v="2.1.0"/>
    <m/>
    <x v="7"/>
    <x v="0"/>
    <x v="1"/>
    <n v="0"/>
    <n v="0"/>
    <n v="0"/>
    <x v="0"/>
  </r>
  <r>
    <x v="0"/>
    <s v="eDelivery Access Point Domibus"/>
    <s v="AP"/>
    <s v="eDelivery AP Domibus"/>
    <s v="EC"/>
    <s v="5.1.8"/>
    <m/>
    <x v="1"/>
    <x v="5"/>
    <x v="0"/>
    <n v="0"/>
    <n v="0"/>
    <n v="0"/>
    <x v="0"/>
  </r>
  <r>
    <x v="1"/>
    <s v="A Framework for Multicast in Network Virtualization over Layer 3 RFC 8293"/>
    <m/>
    <s v="RFC 8293"/>
    <s v="IETF"/>
    <s v="2.0.0"/>
    <m/>
    <x v="1"/>
    <x v="1"/>
    <x v="0"/>
    <n v="0"/>
    <n v="0"/>
    <n v="0"/>
    <x v="0"/>
  </r>
  <r>
    <x v="1"/>
    <s v="XSLT"/>
    <s v="XSLT"/>
    <m/>
    <s v="W3C"/>
    <s v="3.0.0"/>
    <m/>
    <x v="7"/>
    <x v="0"/>
    <x v="1"/>
    <n v="0"/>
    <n v="0"/>
    <n v="0"/>
    <x v="2"/>
  </r>
  <r>
    <x v="1"/>
    <s v="JSON Schema"/>
    <m/>
    <m/>
    <s v="JSON SCHEMA"/>
    <s v="2.0.0"/>
    <m/>
    <x v="0"/>
    <x v="0"/>
    <x v="0"/>
    <n v="0"/>
    <n v="0"/>
    <n v="2"/>
    <x v="0"/>
  </r>
  <r>
    <x v="1"/>
    <s v="International Standard on Assurance Engagements 3402 (ISAE 3402)"/>
    <m/>
    <s v="ISAE 3402"/>
    <s v="IAASB"/>
    <s v="1.0.0"/>
    <m/>
    <x v="2"/>
    <x v="0"/>
    <x v="0"/>
    <n v="0"/>
    <n v="1"/>
    <n v="0"/>
    <x v="1"/>
  </r>
  <r>
    <x v="1"/>
    <s v="Standard for Public Code"/>
    <m/>
    <m/>
    <s v="EC"/>
    <s v="0.2.2"/>
    <m/>
    <x v="12"/>
    <x v="0"/>
    <x v="0"/>
    <n v="0"/>
    <n v="0"/>
    <n v="0"/>
    <x v="0"/>
  </r>
  <r>
    <x v="1"/>
    <s v="Portable Document Format v 1.7 (PDF 1.7)"/>
    <s v="PDF"/>
    <m/>
    <s v="ISO"/>
    <s v="1.7.0"/>
    <m/>
    <x v="12"/>
    <x v="0"/>
    <x v="0"/>
    <n v="0"/>
    <n v="0"/>
    <n v="0"/>
    <x v="0"/>
  </r>
  <r>
    <x v="1"/>
    <s v="Portable Network Graphics (PNG)"/>
    <s v="PNG"/>
    <m/>
    <s v="ISO"/>
    <s v="1.0.0"/>
    <m/>
    <x v="12"/>
    <x v="0"/>
    <x v="0"/>
    <n v="0"/>
    <n v="0"/>
    <n v="0"/>
    <x v="0"/>
  </r>
  <r>
    <x v="1"/>
    <s v="Web Application Description Language (WADL)"/>
    <s v="WADL"/>
    <m/>
    <s v="W3C"/>
    <s v="1.0.0"/>
    <m/>
    <x v="7"/>
    <x v="0"/>
    <x v="1"/>
    <n v="0"/>
    <n v="0"/>
    <n v="0"/>
    <x v="0"/>
  </r>
  <r>
    <x v="1"/>
    <s v="CAdES (CMS Advanced Electronic Signature) Baseline Profile"/>
    <s v="CAdES"/>
    <m/>
    <s v="ETSI"/>
    <s v="2.2.1"/>
    <m/>
    <x v="7"/>
    <x v="0"/>
    <x v="6"/>
    <n v="0"/>
    <n v="0"/>
    <n v="0"/>
    <x v="1"/>
  </r>
  <r>
    <x v="1"/>
    <s v="Comma-Separated Values (CSV) (RFC 4180)"/>
    <s v="CSV"/>
    <s v="RFC 4180"/>
    <s v="IETF"/>
    <s v="5.0.0"/>
    <m/>
    <x v="0"/>
    <x v="0"/>
    <x v="0"/>
    <n v="0"/>
    <n v="0"/>
    <n v="2"/>
    <x v="2"/>
  </r>
  <r>
    <x v="1"/>
    <s v="Electronic Signatures and Trust Infrastructures (ESI); Policy and security requirements for  Trust Service Providers issuing certificates; Part 2: Requirements for trust service providers issuing EU qualified certificates (ETSI EN 319 411-2)"/>
    <m/>
    <s v="ETSI EN 319 411-2"/>
    <s v="ETSI"/>
    <s v="2.6.1"/>
    <m/>
    <x v="7"/>
    <x v="0"/>
    <x v="2"/>
    <n v="0"/>
    <n v="0"/>
    <n v="0"/>
    <x v="0"/>
  </r>
  <r>
    <x v="1"/>
    <s v="Software Package Data Exchange (SPDX)"/>
    <s v="SPDX"/>
    <m/>
    <s v="Linux Foundation"/>
    <s v="3.0.0"/>
    <m/>
    <x v="5"/>
    <x v="0"/>
    <x v="1"/>
    <n v="0"/>
    <n v="0"/>
    <n v="1"/>
    <x v="0"/>
  </r>
  <r>
    <x v="1"/>
    <s v="ISO/IEC 27001 INFORMATION SECURITY MANAGEMENT"/>
    <m/>
    <s v="ISO/IEC 27001:2022"/>
    <s v="ISO"/>
    <s v="2.0.0"/>
    <m/>
    <x v="2"/>
    <x v="0"/>
    <x v="0"/>
    <n v="0"/>
    <n v="2"/>
    <n v="0"/>
    <x v="1"/>
  </r>
  <r>
    <x v="1"/>
    <s v="EN 16931-1:2017+A1:2019/AC:2020"/>
    <m/>
    <s v="EN 16931-1:2017+A1:2019/AC:2020"/>
    <s v="ETSI"/>
    <s v="1.0.0"/>
    <m/>
    <x v="5"/>
    <x v="0"/>
    <x v="1"/>
    <n v="0"/>
    <n v="0"/>
    <n v="5"/>
    <x v="0"/>
  </r>
  <r>
    <x v="1"/>
    <s v="ISO 3166-1:2020 Codes for the representation of names of countries and their subdivisions -- Part 1: Country codes"/>
    <m/>
    <s v="ISO 3166-1"/>
    <s v="ISO"/>
    <s v="None"/>
    <m/>
    <x v="12"/>
    <x v="0"/>
    <x v="0"/>
    <n v="0"/>
    <n v="0"/>
    <n v="0"/>
    <x v="0"/>
  </r>
  <r>
    <x v="1"/>
    <s v="ISO/IEC 19757-3:2016 Information technology -- Document Schema Definition Languages (DSDL) -- Part 3: Rule-based validation -- Schematron"/>
    <s v="DSDL"/>
    <m/>
    <s v="ISO"/>
    <s v="2.0.0"/>
    <m/>
    <x v="7"/>
    <x v="0"/>
    <x v="1"/>
    <n v="0"/>
    <n v="0"/>
    <n v="0"/>
    <x v="0"/>
  </r>
  <r>
    <x v="1"/>
    <s v="Human Resources (HR) Open Standards"/>
    <m/>
    <m/>
    <s v="HR Open Standards"/>
    <s v="4.2.0"/>
    <m/>
    <x v="0"/>
    <x v="0"/>
    <x v="0"/>
    <n v="0"/>
    <n v="0"/>
    <n v="8"/>
    <x v="0"/>
  </r>
  <r>
    <x v="1"/>
    <s v="L2TP over IPSec using ESP transport mode (L2TP/IPSec)"/>
    <s v="L2TP/IPSec"/>
    <m/>
    <s v="IETF"/>
    <s v="2.0.0"/>
    <m/>
    <x v="1"/>
    <x v="1"/>
    <x v="0"/>
    <n v="0"/>
    <n v="0"/>
    <n v="0"/>
    <x v="0"/>
  </r>
  <r>
    <x v="1"/>
    <s v="XML Advanced Electronic Signatures (XAdES) - ISO 14533-2:2012"/>
    <s v="XAdES"/>
    <s v="ISO 14533-2:2012"/>
    <s v="ISO"/>
    <s v="2.0.0"/>
    <m/>
    <x v="12"/>
    <x v="0"/>
    <x v="0"/>
    <n v="0"/>
    <n v="0"/>
    <n v="0"/>
    <x v="0"/>
  </r>
  <r>
    <x v="1"/>
    <s v="IEEE 7001-2021 - IEEE Standard for Transparency of Autonomous Systems"/>
    <m/>
    <s v="IEEE 7001-2021"/>
    <s v="IEEE"/>
    <s v="1.0.0"/>
    <m/>
    <x v="7"/>
    <x v="0"/>
    <x v="1"/>
    <n v="0"/>
    <n v="0"/>
    <n v="0"/>
    <x v="0"/>
  </r>
  <r>
    <x v="1"/>
    <s v="WebFinger protocol"/>
    <m/>
    <m/>
    <s v="IETF"/>
    <s v="1.0.0"/>
    <m/>
    <x v="7"/>
    <x v="0"/>
    <x v="5"/>
    <n v="0"/>
    <n v="0"/>
    <n v="0"/>
    <x v="0"/>
  </r>
  <r>
    <x v="1"/>
    <s v="CMS Advanced Electronic Signatures (CAdES) - ISO 14533-1:2014"/>
    <s v="CAdES"/>
    <s v="ISO 14533-1:2014"/>
    <s v="ISO"/>
    <s v="None"/>
    <m/>
    <x v="12"/>
    <x v="0"/>
    <x v="0"/>
    <n v="0"/>
    <n v="0"/>
    <n v="0"/>
    <x v="0"/>
  </r>
  <r>
    <x v="1"/>
    <s v="GS1 EANCOM Syntax 4 standard"/>
    <m/>
    <m/>
    <s v="GS1"/>
    <s v="4.0.0"/>
    <m/>
    <x v="0"/>
    <x v="0"/>
    <x v="0"/>
    <n v="0"/>
    <n v="0"/>
    <n v="2"/>
    <x v="0"/>
  </r>
  <r>
    <x v="1"/>
    <s v="CEN/TC 428 - ICT Professionalism and Digital Competences - European Competency Framework (The European Union's European e-Competence Framework (e-CF)"/>
    <s v="e-CF"/>
    <s v="CEN/TC 428"/>
    <s v="CEN-CENELEC"/>
    <s v="4.0.0"/>
    <m/>
    <x v="2"/>
    <x v="0"/>
    <x v="0"/>
    <n v="0"/>
    <n v="1"/>
    <n v="0"/>
    <x v="1"/>
  </r>
  <r>
    <x v="1"/>
    <s v="Tag image file format for image technology (TIFF/IT)"/>
    <s v="TIFF/IT"/>
    <s v="ISO 12639:2004"/>
    <s v="ISO"/>
    <s v="1.0.0"/>
    <m/>
    <x v="12"/>
    <x v="0"/>
    <x v="0"/>
    <n v="0"/>
    <n v="0"/>
    <n v="0"/>
    <x v="0"/>
  </r>
  <r>
    <x v="1"/>
    <s v="LegalRuleML"/>
    <m/>
    <m/>
    <s v="OASIS"/>
    <s v="1.0.0"/>
    <m/>
    <x v="9"/>
    <x v="0"/>
    <x v="0"/>
    <n v="5"/>
    <n v="0"/>
    <n v="0"/>
    <x v="1"/>
  </r>
  <r>
    <x v="1"/>
    <s v="GS1 EANCOM Syntax 3 standard"/>
    <m/>
    <m/>
    <s v="GS1"/>
    <s v="3.0.0"/>
    <m/>
    <x v="0"/>
    <x v="0"/>
    <x v="0"/>
    <n v="0"/>
    <n v="0"/>
    <n v="2"/>
    <x v="0"/>
  </r>
  <r>
    <x v="1"/>
    <s v="XAdES (XML Advanced Electronic Signatures) Baseline Profile"/>
    <s v="XAdES"/>
    <m/>
    <s v="ETSI"/>
    <s v="2.2.1"/>
    <m/>
    <x v="7"/>
    <x v="0"/>
    <x v="6"/>
    <n v="0"/>
    <n v="0"/>
    <n v="0"/>
    <x v="1"/>
  </r>
  <r>
    <x v="1"/>
    <s v="HyperText Markup Language v5 (HTML5)"/>
    <s v="HTML5"/>
    <m/>
    <s v="W3C"/>
    <s v="5.0.0"/>
    <m/>
    <x v="0"/>
    <x v="0"/>
    <x v="0"/>
    <n v="0"/>
    <n v="0"/>
    <n v="1"/>
    <x v="1"/>
  </r>
  <r>
    <x v="1"/>
    <s v="Generic Statistical Business Process Model (GSBPM)"/>
    <s v="GSBPM"/>
    <m/>
    <s v="UNECE"/>
    <s v="5.1.0"/>
    <m/>
    <x v="0"/>
    <x v="0"/>
    <x v="0"/>
    <n v="0"/>
    <n v="0"/>
    <n v="2"/>
    <x v="0"/>
  </r>
  <r>
    <x v="1"/>
    <s v="ISO 17100:2015 - Translation services -- Requirements for translation services ISO"/>
    <m/>
    <s v="ISO 17100:2015"/>
    <s v="ISO"/>
    <s v="1.0.0"/>
    <m/>
    <x v="7"/>
    <x v="0"/>
    <x v="1"/>
    <n v="0"/>
    <n v="0"/>
    <n v="0"/>
    <x v="0"/>
  </r>
  <r>
    <x v="1"/>
    <s v="Mobile Application Security Verification Standard (MASVS)"/>
    <s v="MASVS"/>
    <m/>
    <s v="OWASP"/>
    <s v="1.0.0"/>
    <m/>
    <x v="0"/>
    <x v="0"/>
    <x v="0"/>
    <n v="0"/>
    <n v="0"/>
    <n v="2"/>
    <x v="0"/>
  </r>
  <r>
    <x v="1"/>
    <s v="ISO/IEC 20000-1:2018 Information technology — Service management — Part 1: Service management system requirements"/>
    <m/>
    <s v="ISO/IEC 20000-1:2018"/>
    <s v="ISO"/>
    <s v="3.0.0"/>
    <m/>
    <x v="7"/>
    <x v="0"/>
    <x v="5"/>
    <n v="0"/>
    <n v="0"/>
    <n v="0"/>
    <x v="0"/>
  </r>
  <r>
    <x v="1"/>
    <s v="PDF Advanced Electronic Signatures (PAdES) - ISO 14533-3:2017"/>
    <s v="PAdES"/>
    <s v="ISO 14533-3:2017"/>
    <s v="ISO"/>
    <s v="1.0.0"/>
    <m/>
    <x v="12"/>
    <x v="0"/>
    <x v="0"/>
    <n v="0"/>
    <n v="0"/>
    <n v="0"/>
    <x v="0"/>
  </r>
  <r>
    <x v="1"/>
    <s v="ISO 19011:2018 Guidelines for auditing management systems"/>
    <m/>
    <s v="ISO 19011:2018"/>
    <s v="ISO"/>
    <s v="3.0.0"/>
    <m/>
    <x v="7"/>
    <x v="0"/>
    <x v="1"/>
    <n v="0"/>
    <n v="0"/>
    <n v="0"/>
    <x v="0"/>
  </r>
  <r>
    <x v="1"/>
    <s v="Joint Photographic Experts Group (JPEG)"/>
    <s v="JPEG"/>
    <m/>
    <s v="ISO"/>
    <s v="1.0.0"/>
    <m/>
    <x v="12"/>
    <x v="0"/>
    <x v="0"/>
    <n v="0"/>
    <n v="0"/>
    <n v="0"/>
    <x v="0"/>
  </r>
  <r>
    <x v="1"/>
    <s v="ISO 639-2:1998 Codes for the representation of names of languages -- Part 2: Alpha-3 code"/>
    <m/>
    <s v="ISO 639-2:1998"/>
    <s v="LoC"/>
    <s v="2.0.0"/>
    <m/>
    <x v="0"/>
    <x v="0"/>
    <x v="0"/>
    <n v="0"/>
    <n v="0"/>
    <n v="2"/>
    <x v="1"/>
  </r>
  <r>
    <x v="1"/>
    <s v="NUTS"/>
    <s v="NUTS"/>
    <s v="Nomenclature of territorial units for statistics 2024"/>
    <s v="EC"/>
    <s v="2024"/>
    <m/>
    <x v="0"/>
    <x v="0"/>
    <x v="0"/>
    <n v="0"/>
    <n v="0"/>
    <n v="5"/>
    <x v="0"/>
  </r>
  <r>
    <x v="1"/>
    <s v="PAdES (PDF Advanced Electronic Signature) Baseline Profile"/>
    <s v="PAdES"/>
    <m/>
    <s v="ETSI"/>
    <s v="2.2.1"/>
    <m/>
    <x v="7"/>
    <x v="0"/>
    <x v="6"/>
    <n v="0"/>
    <n v="0"/>
    <n v="0"/>
    <x v="1"/>
  </r>
  <r>
    <x v="1"/>
    <s v="LegalDocML"/>
    <m/>
    <m/>
    <s v="OASIS"/>
    <s v="1.0.0"/>
    <m/>
    <x v="9"/>
    <x v="0"/>
    <x v="0"/>
    <n v="5"/>
    <n v="0"/>
    <n v="0"/>
    <x v="1"/>
  </r>
  <r>
    <x v="1"/>
    <s v="Transport Layer Security (TLS) Transport Mapping for Syslog"/>
    <m/>
    <m/>
    <s v="IETF"/>
    <s v="1.0.0"/>
    <m/>
    <x v="7"/>
    <x v="0"/>
    <x v="3"/>
    <n v="0"/>
    <n v="0"/>
    <n v="0"/>
    <x v="0"/>
  </r>
  <r>
    <x v="1"/>
    <s v="Fetch API Living Standard"/>
    <m/>
    <m/>
    <s v="W3C"/>
    <s v="1.0.0"/>
    <m/>
    <x v="12"/>
    <x v="0"/>
    <x v="0"/>
    <n v="0"/>
    <n v="0"/>
    <n v="0"/>
    <x v="0"/>
  </r>
  <r>
    <x v="1"/>
    <s v="Portable Document Format/A (PDF/A)"/>
    <s v="PDF/A"/>
    <m/>
    <s v="ISO"/>
    <s v="1.0.0"/>
    <m/>
    <x v="12"/>
    <x v="0"/>
    <x v="0"/>
    <n v="0"/>
    <n v="0"/>
    <n v="0"/>
    <x v="0"/>
  </r>
  <r>
    <x v="1"/>
    <s v="Open Document Format for Office Applications (ODF) v1.2"/>
    <s v="ODF"/>
    <m/>
    <s v="ISO"/>
    <s v="1.2.0"/>
    <m/>
    <x v="12"/>
    <x v="0"/>
    <x v="0"/>
    <n v="0"/>
    <n v="0"/>
    <n v="0"/>
    <x v="0"/>
  </r>
  <r>
    <x v="1"/>
    <s v="ISO 9241-11:2018 Ergonomics of human-system interaction - Part 11: Usability: Definitions and concepts"/>
    <m/>
    <s v="ISO 9241-11:2018"/>
    <s v="ISO"/>
    <s v="2.0.0"/>
    <m/>
    <x v="7"/>
    <x v="0"/>
    <x v="1"/>
    <n v="0"/>
    <n v="0"/>
    <n v="0"/>
    <x v="0"/>
  </r>
  <r>
    <x v="2"/>
    <s v="PROV Family"/>
    <s v="PROV"/>
    <m/>
    <s v="W3C"/>
    <s v="1.0.0"/>
    <m/>
    <x v="0"/>
    <x v="0"/>
    <x v="0"/>
    <n v="0"/>
    <n v="0"/>
    <n v="8"/>
    <x v="1"/>
  </r>
  <r>
    <x v="2"/>
    <s v="ISO/IEC 27000:2018 Information technology — Security techniques — Information security management systems — Overview and vocabulary"/>
    <m/>
    <s v="ISO/IEC 27000:2018"/>
    <s v="ISO"/>
    <s v="5.0.0"/>
    <m/>
    <x v="4"/>
    <x v="1"/>
    <x v="0"/>
    <n v="0"/>
    <n v="2"/>
    <n v="0"/>
    <x v="0"/>
  </r>
  <r>
    <x v="2"/>
    <s v="SHA-3"/>
    <s v="SHA-3"/>
    <m/>
    <s v="NIST"/>
    <s v="3.0.0"/>
    <m/>
    <x v="5"/>
    <x v="0"/>
    <x v="5"/>
    <n v="0"/>
    <n v="0"/>
    <n v="1"/>
    <x v="0"/>
  </r>
  <r>
    <x v="2"/>
    <s v="Peppol eDelivery Network Specifications"/>
    <m/>
    <m/>
    <s v="PEPPOL"/>
    <s v="1.0.0"/>
    <m/>
    <x v="1"/>
    <x v="2"/>
    <x v="0"/>
    <n v="0"/>
    <n v="0"/>
    <n v="0"/>
    <x v="0"/>
  </r>
  <r>
    <x v="2"/>
    <s v="CEF Building Blocks"/>
    <m/>
    <m/>
    <s v="EC"/>
    <s v="1.0.0"/>
    <m/>
    <x v="7"/>
    <x v="0"/>
    <x v="5"/>
    <n v="0"/>
    <n v="0"/>
    <n v="0"/>
    <x v="0"/>
  </r>
  <r>
    <x v="3"/>
    <s v="Core Public Service Vocabulary Application Profile (CPSV-AP) 3.2.0"/>
    <s v="CPSV-AP"/>
    <m/>
    <s v="EC"/>
    <s v="3.2.0"/>
    <m/>
    <x v="10"/>
    <x v="0"/>
    <x v="3"/>
    <n v="0"/>
    <n v="1"/>
    <n v="14"/>
    <x v="0"/>
  </r>
  <r>
    <x v="3"/>
    <s v="Reactive WebSocket"/>
    <m/>
    <m/>
    <s v="Spring"/>
    <s v="1.0.0"/>
    <m/>
    <x v="7"/>
    <x v="0"/>
    <x v="3"/>
    <n v="0"/>
    <n v="0"/>
    <n v="0"/>
    <x v="0"/>
  </r>
  <r>
    <x v="3"/>
    <s v="DCAT-AP v2.0.0"/>
    <s v="DCAT-AP"/>
    <m/>
    <s v="EC"/>
    <s v="2.0.0"/>
    <m/>
    <x v="5"/>
    <x v="0"/>
    <x v="2"/>
    <n v="0"/>
    <n v="0"/>
    <n v="8"/>
    <x v="2"/>
  </r>
  <r>
    <x v="3"/>
    <s v="Registered Organization Vocabulary"/>
    <s v="RegOrg"/>
    <m/>
    <s v="EC"/>
    <s v="1.0.0"/>
    <m/>
    <x v="0"/>
    <x v="0"/>
    <x v="0"/>
    <n v="0"/>
    <n v="0"/>
    <n v="7"/>
    <x v="2"/>
  </r>
  <r>
    <x v="3"/>
    <s v="Asset Description Metadata Schema (ADMS)"/>
    <s v="ADMS"/>
    <m/>
    <s v="W3C"/>
    <s v="1.0.0"/>
    <m/>
    <x v="5"/>
    <x v="0"/>
    <x v="4"/>
    <n v="0"/>
    <n v="0"/>
    <n v="9"/>
    <x v="2"/>
  </r>
  <r>
    <x v="3"/>
    <s v="Core Public Service Vocabulary Application Profile 2.2"/>
    <s v="CPSV-AP"/>
    <m/>
    <s v="EC"/>
    <s v="2.2.0"/>
    <m/>
    <x v="10"/>
    <x v="0"/>
    <x v="3"/>
    <n v="0"/>
    <n v="1"/>
    <n v="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52D4C-EC1D-4DB9-B5E8-AB6AFAF2AC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9" firstHeaderRow="0" firstDataRow="1" firstDataCol="1"/>
  <pivotFields count="14">
    <pivotField axis="axisRow" showAll="0">
      <items count="5">
        <item h="1" x="3"/>
        <item h="1" x="2"/>
        <item x="0"/>
        <item h="1" x="1"/>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axis="axisRow" showAll="0">
      <items count="5">
        <item x="0"/>
        <item x="1"/>
        <item x="2"/>
        <item x="3"/>
        <item t="default"/>
      </items>
    </pivotField>
  </pivotFields>
  <rowFields count="2">
    <field x="0"/>
    <field x="13"/>
  </rowFields>
  <rowItems count="6">
    <i>
      <x v="2"/>
    </i>
    <i r="1">
      <x/>
    </i>
    <i r="1">
      <x v="1"/>
    </i>
    <i r="1">
      <x v="2"/>
    </i>
    <i r="1">
      <x v="3"/>
    </i>
    <i t="grand">
      <x/>
    </i>
  </rowItems>
  <colFields count="1">
    <field x="-2"/>
  </colFields>
  <colItems count="5">
    <i>
      <x/>
    </i>
    <i i="1">
      <x v="1"/>
    </i>
    <i i="2">
      <x v="2"/>
    </i>
    <i i="3">
      <x v="3"/>
    </i>
    <i i="4">
      <x v="4"/>
    </i>
  </colItems>
  <dataFields count="5">
    <dataField name="Sum of Tech Application" fld="9" baseField="0" baseItem="0"/>
    <dataField name="Sum of Tech Infrastructure" fld="8" baseField="0" baseItem="0"/>
    <dataField name="Sum of Legal View" fld="10" baseField="0" baseItem="0"/>
    <dataField name="Sum of Organisational View" fld="11" baseField="0" baseItem="0"/>
    <dataField name="Sum of Semantic View" fld="12"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pivotArea type="data" outline="0" fieldPosition="0">
        <references count="3">
          <reference field="4294967294" count="1" selected="0">
            <x v="1"/>
          </reference>
          <reference field="0"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E7EDA-FE3C-4BC6-9BC9-5061C889B9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14">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0"/>
  </rowFields>
  <rowItems count="5">
    <i>
      <x/>
    </i>
    <i>
      <x v="1"/>
    </i>
    <i>
      <x v="2"/>
    </i>
    <i>
      <x v="3"/>
    </i>
    <i t="grand">
      <x/>
    </i>
  </rowItems>
  <colFields count="1">
    <field x="-2"/>
  </colFields>
  <colItems count="5">
    <i>
      <x/>
    </i>
    <i i="1">
      <x v="1"/>
    </i>
    <i i="2">
      <x v="2"/>
    </i>
    <i i="3">
      <x v="3"/>
    </i>
    <i i="4">
      <x v="4"/>
    </i>
  </colItems>
  <dataFields count="5">
    <dataField name="Sum of Tech Application" fld="9" baseField="0" baseItem="0"/>
    <dataField name="Sum of Tech Infrastructure" fld="8" baseField="0" baseItem="0"/>
    <dataField name="Sum of Legal View" fld="10" baseField="0" baseItem="0"/>
    <dataField name="Sum of Organisational View" fld="11" baseField="0" baseItem="0"/>
    <dataField name="Sum of Semantic View"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4FB98-AD20-4B40-B9DE-C337B0E38F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4">
    <pivotField axis="axisRow" showAll="0">
      <items count="5">
        <item x="3"/>
        <item x="2"/>
        <item x="0"/>
        <item x="1"/>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Fields count="1">
    <field x="-2"/>
  </colFields>
  <colItems count="3">
    <i>
      <x/>
    </i>
    <i i="1">
      <x v="1"/>
    </i>
    <i i="2">
      <x v="2"/>
    </i>
  </colItems>
  <dataFields count="3">
    <dataField name="Count of Title" fld="1" subtotal="count" baseField="0" baseItem="0"/>
    <dataField name="Count of Alternative" fld="3" subtotal="count" baseField="0" baseItem="0"/>
    <dataField name="Count of Acrony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283885-60FB-4D9B-B4E4-B1E81739F5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27" firstHeaderRow="1" firstDataRow="2" firstDataCol="1"/>
  <pivotFields count="14">
    <pivotField axis="axisCol" showAll="0">
      <items count="5">
        <item x="3"/>
        <item x="2"/>
        <item x="0"/>
        <item x="1"/>
        <item t="default"/>
      </items>
    </pivotField>
    <pivotField showAll="0"/>
    <pivotField showAll="0"/>
    <pivotField showAll="0"/>
    <pivotField showAll="0"/>
    <pivotField showAll="0"/>
    <pivotField showAll="0"/>
    <pivotField axis="axisRow" showAll="0" sortType="ascending">
      <items count="22">
        <item x="12"/>
        <item x="9"/>
        <item x="3"/>
        <item x="18"/>
        <item x="16"/>
        <item x="2"/>
        <item x="15"/>
        <item x="0"/>
        <item x="7"/>
        <item x="14"/>
        <item x="20"/>
        <item x="17"/>
        <item x="13"/>
        <item x="10"/>
        <item x="5"/>
        <item x="1"/>
        <item x="4"/>
        <item x="8"/>
        <item x="6"/>
        <item x="19"/>
        <item x="11"/>
        <item t="default"/>
      </items>
      <autoSortScope>
        <pivotArea dataOnly="0" outline="0" fieldPosition="0">
          <references count="1">
            <reference field="4294967294" count="1" selected="0">
              <x v="0"/>
            </reference>
          </references>
        </pivotArea>
      </autoSortScope>
    </pivotField>
    <pivotField showAll="0">
      <items count="9">
        <item x="0"/>
        <item x="1"/>
        <item x="2"/>
        <item x="6"/>
        <item x="5"/>
        <item x="7"/>
        <item x="4"/>
        <item x="3"/>
        <item t="default"/>
      </items>
    </pivotField>
    <pivotField showAll="0">
      <items count="11">
        <item sd="0" x="0"/>
        <item sd="0" x="5"/>
        <item sd="0" x="1"/>
        <item sd="0" x="3"/>
        <item sd="0" x="2"/>
        <item x="6"/>
        <item x="4"/>
        <item x="7"/>
        <item x="8"/>
        <item x="9"/>
        <item t="default"/>
      </items>
    </pivotField>
    <pivotField showAll="0"/>
    <pivotField showAll="0"/>
    <pivotField showAll="0"/>
    <pivotField dataField="1" showAll="0"/>
  </pivotFields>
  <rowFields count="1">
    <field x="7"/>
  </rowFields>
  <rowItems count="22">
    <i>
      <x v="10"/>
    </i>
    <i>
      <x v="11"/>
    </i>
    <i>
      <x v="9"/>
    </i>
    <i>
      <x v="3"/>
    </i>
    <i>
      <x v="4"/>
    </i>
    <i>
      <x v="19"/>
    </i>
    <i>
      <x v="2"/>
    </i>
    <i>
      <x v="20"/>
    </i>
    <i>
      <x v="17"/>
    </i>
    <i>
      <x v="16"/>
    </i>
    <i>
      <x v="13"/>
    </i>
    <i>
      <x v="6"/>
    </i>
    <i>
      <x v="12"/>
    </i>
    <i>
      <x v="5"/>
    </i>
    <i>
      <x v="1"/>
    </i>
    <i>
      <x v="18"/>
    </i>
    <i>
      <x v="14"/>
    </i>
    <i>
      <x/>
    </i>
    <i>
      <x v="15"/>
    </i>
    <i>
      <x v="7"/>
    </i>
    <i>
      <x v="8"/>
    </i>
    <i t="grand">
      <x/>
    </i>
  </rowItems>
  <colFields count="1">
    <field x="0"/>
  </colFields>
  <colItems count="5">
    <i>
      <x/>
    </i>
    <i>
      <x v="1"/>
    </i>
    <i>
      <x v="2"/>
    </i>
    <i>
      <x v="3"/>
    </i>
    <i t="grand">
      <x/>
    </i>
  </colItems>
  <dataFields count="1">
    <dataField name="Count of CAMSSA Count" fld="13" subtotal="count" baseField="7"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A4161-FDC5-4CF0-863C-7F314542B77B}">
  <dimension ref="A3:F9"/>
  <sheetViews>
    <sheetView tabSelected="1" workbookViewId="0">
      <selection activeCell="F16" sqref="F16"/>
    </sheetView>
  </sheetViews>
  <sheetFormatPr baseColWidth="10" defaultColWidth="8.7265625" defaultRowHeight="14.5" x14ac:dyDescent="0.35"/>
  <cols>
    <col min="1" max="1" width="13.1796875" bestFit="1" customWidth="1"/>
    <col min="2" max="2" width="21.1796875" bestFit="1" customWidth="1"/>
    <col min="3" max="3" width="23.453125" bestFit="1" customWidth="1"/>
    <col min="4" max="4" width="15.81640625" bestFit="1" customWidth="1"/>
    <col min="5" max="5" width="24.1796875" bestFit="1" customWidth="1"/>
    <col min="6" max="6" width="19.453125" bestFit="1" customWidth="1"/>
    <col min="7" max="7" width="6.1796875" bestFit="1" customWidth="1"/>
    <col min="8" max="8" width="11.453125" bestFit="1" customWidth="1"/>
    <col min="9" max="9" width="8.453125" bestFit="1" customWidth="1"/>
    <col min="10" max="10" width="26" bestFit="1" customWidth="1"/>
    <col min="11" max="11" width="28.26953125" bestFit="1" customWidth="1"/>
  </cols>
  <sheetData>
    <row r="3" spans="1:6" x14ac:dyDescent="0.35">
      <c r="A3" s="1" t="s">
        <v>0</v>
      </c>
      <c r="B3" t="s">
        <v>1</v>
      </c>
      <c r="C3" t="s">
        <v>2</v>
      </c>
      <c r="D3" t="s">
        <v>3</v>
      </c>
      <c r="E3" t="s">
        <v>4</v>
      </c>
      <c r="F3" t="s">
        <v>5</v>
      </c>
    </row>
    <row r="4" spans="1:6" x14ac:dyDescent="0.35">
      <c r="A4" s="2" t="s">
        <v>6</v>
      </c>
      <c r="B4">
        <v>1096</v>
      </c>
      <c r="C4">
        <v>246</v>
      </c>
      <c r="D4">
        <v>169</v>
      </c>
      <c r="E4">
        <v>136</v>
      </c>
      <c r="F4">
        <v>692</v>
      </c>
    </row>
    <row r="5" spans="1:6" x14ac:dyDescent="0.35">
      <c r="A5" s="3">
        <v>0</v>
      </c>
      <c r="B5">
        <v>894</v>
      </c>
      <c r="C5">
        <v>187</v>
      </c>
      <c r="D5">
        <v>135</v>
      </c>
      <c r="E5">
        <v>108</v>
      </c>
      <c r="F5">
        <v>544</v>
      </c>
    </row>
    <row r="6" spans="1:6" x14ac:dyDescent="0.35">
      <c r="A6" s="3">
        <v>1</v>
      </c>
      <c r="B6">
        <v>132</v>
      </c>
      <c r="C6">
        <v>49</v>
      </c>
      <c r="D6">
        <v>16</v>
      </c>
      <c r="E6">
        <v>23</v>
      </c>
      <c r="F6">
        <v>60</v>
      </c>
    </row>
    <row r="7" spans="1:6" x14ac:dyDescent="0.35">
      <c r="A7" s="3">
        <v>2</v>
      </c>
      <c r="B7">
        <v>64</v>
      </c>
      <c r="C7">
        <v>4</v>
      </c>
      <c r="D7">
        <v>18</v>
      </c>
      <c r="E7">
        <v>5</v>
      </c>
      <c r="F7">
        <v>86</v>
      </c>
    </row>
    <row r="8" spans="1:6" x14ac:dyDescent="0.35">
      <c r="A8" s="3">
        <v>3</v>
      </c>
      <c r="B8">
        <v>6</v>
      </c>
      <c r="C8">
        <v>6</v>
      </c>
      <c r="D8">
        <v>0</v>
      </c>
      <c r="E8">
        <v>0</v>
      </c>
      <c r="F8">
        <v>2</v>
      </c>
    </row>
    <row r="9" spans="1:6" x14ac:dyDescent="0.35">
      <c r="A9" s="2" t="s">
        <v>7</v>
      </c>
      <c r="B9">
        <v>1096</v>
      </c>
      <c r="C9">
        <v>246</v>
      </c>
      <c r="D9">
        <v>169</v>
      </c>
      <c r="E9">
        <v>136</v>
      </c>
      <c r="F9">
        <v>692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37AB-915D-4248-969B-90521EE147C2}">
  <dimension ref="A3:F8"/>
  <sheetViews>
    <sheetView workbookViewId="0">
      <selection activeCell="B16" sqref="B16"/>
    </sheetView>
  </sheetViews>
  <sheetFormatPr baseColWidth="10" defaultColWidth="8.7265625" defaultRowHeight="14.5" x14ac:dyDescent="0.35"/>
  <cols>
    <col min="1" max="1" width="15.54296875" bestFit="1" customWidth="1"/>
    <col min="2" max="2" width="21.1796875" bestFit="1" customWidth="1"/>
    <col min="3" max="3" width="23.453125" bestFit="1" customWidth="1"/>
    <col min="4" max="4" width="15.81640625" bestFit="1" customWidth="1"/>
    <col min="5" max="5" width="24.1796875" bestFit="1" customWidth="1"/>
    <col min="6" max="6" width="19.453125" bestFit="1" customWidth="1"/>
    <col min="7" max="7" width="6.1796875" bestFit="1" customWidth="1"/>
    <col min="8" max="8" width="11.453125" bestFit="1" customWidth="1"/>
    <col min="9" max="9" width="8.453125" bestFit="1" customWidth="1"/>
    <col min="10" max="10" width="26" bestFit="1" customWidth="1"/>
    <col min="11" max="11" width="28.26953125" bestFit="1" customWidth="1"/>
  </cols>
  <sheetData>
    <row r="3" spans="1:6" x14ac:dyDescent="0.35">
      <c r="A3" s="1" t="s">
        <v>0</v>
      </c>
      <c r="B3" t="s">
        <v>1</v>
      </c>
      <c r="C3" t="s">
        <v>2</v>
      </c>
      <c r="D3" t="s">
        <v>3</v>
      </c>
      <c r="E3" t="s">
        <v>4</v>
      </c>
      <c r="F3" t="s">
        <v>5</v>
      </c>
    </row>
    <row r="4" spans="1:6" x14ac:dyDescent="0.35">
      <c r="A4" s="2" t="s">
        <v>8</v>
      </c>
      <c r="B4">
        <v>19</v>
      </c>
      <c r="C4">
        <v>0</v>
      </c>
      <c r="D4">
        <v>0</v>
      </c>
      <c r="E4">
        <v>2</v>
      </c>
      <c r="F4">
        <v>44</v>
      </c>
    </row>
    <row r="5" spans="1:6" x14ac:dyDescent="0.35">
      <c r="A5" s="2" t="s">
        <v>9</v>
      </c>
      <c r="B5">
        <v>2</v>
      </c>
      <c r="C5">
        <v>3</v>
      </c>
      <c r="D5">
        <v>0</v>
      </c>
      <c r="E5">
        <v>2</v>
      </c>
      <c r="F5">
        <v>9</v>
      </c>
    </row>
    <row r="6" spans="1:6" x14ac:dyDescent="0.35">
      <c r="A6" s="2" t="s">
        <v>6</v>
      </c>
      <c r="B6">
        <v>1096</v>
      </c>
      <c r="C6">
        <v>246</v>
      </c>
      <c r="D6">
        <v>169</v>
      </c>
      <c r="E6">
        <v>136</v>
      </c>
      <c r="F6">
        <v>692</v>
      </c>
    </row>
    <row r="7" spans="1:6" x14ac:dyDescent="0.35">
      <c r="A7" s="2" t="s">
        <v>10</v>
      </c>
      <c r="B7">
        <v>42</v>
      </c>
      <c r="C7">
        <v>2</v>
      </c>
      <c r="D7">
        <v>10</v>
      </c>
      <c r="E7">
        <v>4</v>
      </c>
      <c r="F7">
        <v>34</v>
      </c>
    </row>
    <row r="8" spans="1:6" x14ac:dyDescent="0.35">
      <c r="A8" s="2" t="s">
        <v>7</v>
      </c>
      <c r="B8">
        <v>1159</v>
      </c>
      <c r="C8">
        <v>251</v>
      </c>
      <c r="D8">
        <v>179</v>
      </c>
      <c r="E8">
        <v>144</v>
      </c>
      <c r="F8">
        <v>779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0BAF-EC0E-48CF-A870-03C0E0C8AE29}">
  <dimension ref="A3:D8"/>
  <sheetViews>
    <sheetView workbookViewId="0">
      <selection activeCell="C16" sqref="C16"/>
    </sheetView>
  </sheetViews>
  <sheetFormatPr baseColWidth="10" defaultColWidth="8.7265625" defaultRowHeight="14.5" x14ac:dyDescent="0.35"/>
  <cols>
    <col min="1" max="1" width="15.54296875" bestFit="1" customWidth="1"/>
    <col min="2" max="2" width="12.1796875" bestFit="1" customWidth="1"/>
    <col min="3" max="3" width="18" bestFit="1" customWidth="1"/>
    <col min="4" max="4" width="16.1796875" bestFit="1" customWidth="1"/>
  </cols>
  <sheetData>
    <row r="3" spans="1:4" x14ac:dyDescent="0.35">
      <c r="A3" s="1" t="s">
        <v>0</v>
      </c>
      <c r="B3" t="s">
        <v>11</v>
      </c>
      <c r="C3" t="s">
        <v>12</v>
      </c>
      <c r="D3" t="s">
        <v>13</v>
      </c>
    </row>
    <row r="4" spans="1:4" x14ac:dyDescent="0.35">
      <c r="A4" s="2" t="s">
        <v>8</v>
      </c>
      <c r="B4">
        <v>6</v>
      </c>
      <c r="D4">
        <v>5</v>
      </c>
    </row>
    <row r="5" spans="1:4" x14ac:dyDescent="0.35">
      <c r="A5" s="2" t="s">
        <v>9</v>
      </c>
      <c r="B5">
        <v>5</v>
      </c>
      <c r="C5">
        <v>1</v>
      </c>
      <c r="D5">
        <v>2</v>
      </c>
    </row>
    <row r="6" spans="1:4" x14ac:dyDescent="0.35">
      <c r="A6" s="2" t="s">
        <v>6</v>
      </c>
      <c r="B6">
        <v>810</v>
      </c>
      <c r="C6">
        <v>267</v>
      </c>
      <c r="D6">
        <v>389</v>
      </c>
    </row>
    <row r="7" spans="1:4" x14ac:dyDescent="0.35">
      <c r="A7" s="2" t="s">
        <v>10</v>
      </c>
      <c r="B7">
        <v>45</v>
      </c>
      <c r="C7">
        <v>19</v>
      </c>
      <c r="D7">
        <v>23</v>
      </c>
    </row>
    <row r="8" spans="1:4" x14ac:dyDescent="0.35">
      <c r="A8" s="2" t="s">
        <v>7</v>
      </c>
      <c r="B8">
        <v>866</v>
      </c>
      <c r="C8">
        <v>287</v>
      </c>
      <c r="D8">
        <v>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E19C-B4EC-40C7-BFB9-E67854C06515}">
  <dimension ref="A4:F27"/>
  <sheetViews>
    <sheetView topLeftCell="A4" workbookViewId="0">
      <selection activeCell="A15" sqref="A15"/>
    </sheetView>
  </sheetViews>
  <sheetFormatPr baseColWidth="10" defaultColWidth="8.7265625" defaultRowHeight="14.5" x14ac:dyDescent="0.35"/>
  <cols>
    <col min="1" max="1" width="55.453125" bestFit="1" customWidth="1"/>
    <col min="2" max="2" width="15.81640625" bestFit="1" customWidth="1"/>
    <col min="3" max="3" width="6.1796875" bestFit="1" customWidth="1"/>
    <col min="4" max="4" width="11.453125" bestFit="1" customWidth="1"/>
    <col min="5" max="5" width="8.453125" bestFit="1" customWidth="1"/>
    <col min="6" max="6" width="10.7265625" bestFit="1" customWidth="1"/>
    <col min="7" max="9" width="1.81640625" bestFit="1" customWidth="1"/>
    <col min="10" max="10" width="10.7265625" bestFit="1" customWidth="1"/>
    <col min="11" max="13" width="1.81640625" bestFit="1" customWidth="1"/>
    <col min="14" max="14" width="6.54296875" bestFit="1" customWidth="1"/>
    <col min="15" max="15" width="3.54296875" bestFit="1" customWidth="1"/>
    <col min="16" max="18" width="1.81640625" bestFit="1" customWidth="1"/>
    <col min="19" max="19" width="6.54296875" bestFit="1" customWidth="1"/>
    <col min="20" max="20" width="3.54296875" bestFit="1" customWidth="1"/>
    <col min="21" max="21" width="1.81640625" bestFit="1" customWidth="1"/>
    <col min="22" max="22" width="6.54296875" bestFit="1" customWidth="1"/>
    <col min="23" max="23" width="3.54296875" bestFit="1" customWidth="1"/>
    <col min="24" max="27" width="1.81640625" bestFit="1" customWidth="1"/>
    <col min="28" max="28" width="6.54296875" bestFit="1" customWidth="1"/>
    <col min="29" max="29" width="3.54296875" bestFit="1" customWidth="1"/>
    <col min="30" max="30" width="1.81640625" bestFit="1" customWidth="1"/>
    <col min="31" max="31" width="6.54296875" bestFit="1" customWidth="1"/>
    <col min="32" max="32" width="3.54296875" bestFit="1" customWidth="1"/>
    <col min="33" max="34" width="1.81640625" bestFit="1" customWidth="1"/>
    <col min="35" max="35" width="6.54296875" bestFit="1" customWidth="1"/>
    <col min="36" max="36" width="3.54296875" bestFit="1" customWidth="1"/>
    <col min="37" max="37" width="6.54296875" bestFit="1" customWidth="1"/>
    <col min="38" max="38" width="3.54296875" bestFit="1" customWidth="1"/>
    <col min="39" max="39" width="6.54296875" bestFit="1" customWidth="1"/>
    <col min="40" max="40" width="4.54296875" bestFit="1" customWidth="1"/>
    <col min="41" max="41" width="7.54296875" bestFit="1" customWidth="1"/>
    <col min="42" max="42" width="10.7265625" bestFit="1" customWidth="1"/>
  </cols>
  <sheetData>
    <row r="4" spans="1:6" x14ac:dyDescent="0.35">
      <c r="A4" s="1" t="s">
        <v>14</v>
      </c>
      <c r="B4" s="1" t="s">
        <v>15</v>
      </c>
    </row>
    <row r="5" spans="1:6" x14ac:dyDescent="0.35">
      <c r="A5" s="1" t="s">
        <v>0</v>
      </c>
      <c r="B5" t="s">
        <v>8</v>
      </c>
      <c r="C5" t="s">
        <v>9</v>
      </c>
      <c r="D5" t="s">
        <v>6</v>
      </c>
      <c r="E5" t="s">
        <v>10</v>
      </c>
      <c r="F5" t="s">
        <v>7</v>
      </c>
    </row>
    <row r="6" spans="1:6" x14ac:dyDescent="0.35">
      <c r="A6" s="2" t="s">
        <v>16</v>
      </c>
      <c r="D6">
        <v>1</v>
      </c>
      <c r="F6">
        <v>1</v>
      </c>
    </row>
    <row r="7" spans="1:6" x14ac:dyDescent="0.35">
      <c r="A7" s="2" t="s">
        <v>17</v>
      </c>
      <c r="D7">
        <v>1</v>
      </c>
      <c r="F7">
        <v>1</v>
      </c>
    </row>
    <row r="8" spans="1:6" x14ac:dyDescent="0.35">
      <c r="A8" s="2" t="s">
        <v>18</v>
      </c>
      <c r="D8">
        <v>2</v>
      </c>
      <c r="F8">
        <v>2</v>
      </c>
    </row>
    <row r="9" spans="1:6" x14ac:dyDescent="0.35">
      <c r="A9" s="2" t="s">
        <v>19</v>
      </c>
      <c r="D9">
        <v>2</v>
      </c>
      <c r="F9">
        <v>2</v>
      </c>
    </row>
    <row r="10" spans="1:6" x14ac:dyDescent="0.35">
      <c r="A10" s="2" t="s">
        <v>20</v>
      </c>
      <c r="D10">
        <v>3</v>
      </c>
      <c r="F10">
        <v>3</v>
      </c>
    </row>
    <row r="11" spans="1:6" x14ac:dyDescent="0.35">
      <c r="A11" s="2" t="s">
        <v>21</v>
      </c>
      <c r="D11">
        <v>3</v>
      </c>
      <c r="F11">
        <v>3</v>
      </c>
    </row>
    <row r="12" spans="1:6" x14ac:dyDescent="0.35">
      <c r="A12" s="2" t="s">
        <v>22</v>
      </c>
      <c r="D12">
        <v>3</v>
      </c>
      <c r="F12">
        <v>3</v>
      </c>
    </row>
    <row r="13" spans="1:6" x14ac:dyDescent="0.35">
      <c r="A13" s="2" t="s">
        <v>23</v>
      </c>
      <c r="D13">
        <v>7</v>
      </c>
      <c r="F13">
        <v>7</v>
      </c>
    </row>
    <row r="14" spans="1:6" x14ac:dyDescent="0.35">
      <c r="A14" s="2" t="s">
        <v>24</v>
      </c>
      <c r="D14">
        <v>7</v>
      </c>
      <c r="F14">
        <v>7</v>
      </c>
    </row>
    <row r="15" spans="1:6" x14ac:dyDescent="0.35">
      <c r="A15" s="2" t="s">
        <v>25</v>
      </c>
      <c r="C15">
        <v>1</v>
      </c>
      <c r="D15">
        <v>6</v>
      </c>
      <c r="F15">
        <v>7</v>
      </c>
    </row>
    <row r="16" spans="1:6" x14ac:dyDescent="0.35">
      <c r="A16" s="2" t="s">
        <v>26</v>
      </c>
      <c r="B16">
        <v>2</v>
      </c>
      <c r="D16">
        <v>6</v>
      </c>
      <c r="F16">
        <v>8</v>
      </c>
    </row>
    <row r="17" spans="1:6" x14ac:dyDescent="0.35">
      <c r="A17" s="2" t="s">
        <v>27</v>
      </c>
      <c r="D17">
        <v>9</v>
      </c>
      <c r="F17">
        <v>9</v>
      </c>
    </row>
    <row r="18" spans="1:6" x14ac:dyDescent="0.35">
      <c r="A18" s="2" t="s">
        <v>28</v>
      </c>
      <c r="D18">
        <v>23</v>
      </c>
      <c r="F18">
        <v>23</v>
      </c>
    </row>
    <row r="19" spans="1:6" x14ac:dyDescent="0.35">
      <c r="A19" s="2" t="s">
        <v>29</v>
      </c>
      <c r="D19">
        <v>29</v>
      </c>
      <c r="E19">
        <v>3</v>
      </c>
      <c r="F19">
        <v>32</v>
      </c>
    </row>
    <row r="20" spans="1:6" x14ac:dyDescent="0.35">
      <c r="A20" s="2" t="s">
        <v>30</v>
      </c>
      <c r="D20">
        <v>48</v>
      </c>
      <c r="E20">
        <v>2</v>
      </c>
      <c r="F20">
        <v>50</v>
      </c>
    </row>
    <row r="21" spans="1:6" x14ac:dyDescent="0.35">
      <c r="A21" s="2" t="s">
        <v>31</v>
      </c>
      <c r="D21">
        <v>58</v>
      </c>
      <c r="F21">
        <v>58</v>
      </c>
    </row>
    <row r="22" spans="1:6" x14ac:dyDescent="0.35">
      <c r="A22" s="2" t="s">
        <v>32</v>
      </c>
      <c r="B22">
        <v>2</v>
      </c>
      <c r="C22">
        <v>1</v>
      </c>
      <c r="D22">
        <v>63</v>
      </c>
      <c r="E22">
        <v>2</v>
      </c>
      <c r="F22">
        <v>68</v>
      </c>
    </row>
    <row r="23" spans="1:6" x14ac:dyDescent="0.35">
      <c r="A23" s="2"/>
      <c r="D23">
        <v>57</v>
      </c>
      <c r="E23">
        <v>12</v>
      </c>
      <c r="F23">
        <v>69</v>
      </c>
    </row>
    <row r="24" spans="1:6" x14ac:dyDescent="0.35">
      <c r="A24" s="2" t="s">
        <v>33</v>
      </c>
      <c r="C24">
        <v>1</v>
      </c>
      <c r="D24">
        <v>74</v>
      </c>
      <c r="E24">
        <v>2</v>
      </c>
      <c r="F24">
        <v>77</v>
      </c>
    </row>
    <row r="25" spans="1:6" x14ac:dyDescent="0.35">
      <c r="A25" s="2" t="s">
        <v>34</v>
      </c>
      <c r="B25">
        <v>1</v>
      </c>
      <c r="C25">
        <v>1</v>
      </c>
      <c r="D25">
        <v>148</v>
      </c>
      <c r="E25">
        <v>10</v>
      </c>
      <c r="F25">
        <v>160</v>
      </c>
    </row>
    <row r="26" spans="1:6" x14ac:dyDescent="0.35">
      <c r="A26" s="2" t="s">
        <v>35</v>
      </c>
      <c r="B26">
        <v>1</v>
      </c>
      <c r="C26">
        <v>1</v>
      </c>
      <c r="D26">
        <v>260</v>
      </c>
      <c r="E26">
        <v>14</v>
      </c>
      <c r="F26">
        <v>276</v>
      </c>
    </row>
    <row r="27" spans="1:6" x14ac:dyDescent="0.35">
      <c r="A27" s="2" t="s">
        <v>7</v>
      </c>
      <c r="B27">
        <v>6</v>
      </c>
      <c r="C27">
        <v>5</v>
      </c>
      <c r="D27">
        <v>810</v>
      </c>
      <c r="E27">
        <v>45</v>
      </c>
      <c r="F27">
        <v>866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FC51-EA54-4DD6-BA47-8B5A291495DE}">
  <dimension ref="A1"/>
  <sheetViews>
    <sheetView workbookViewId="0"/>
  </sheetViews>
  <sheetFormatPr baseColWidth="10"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7"/>
  <sheetViews>
    <sheetView workbookViewId="0">
      <selection activeCell="I4" sqref="I4"/>
    </sheetView>
  </sheetViews>
  <sheetFormatPr baseColWidth="10" defaultColWidth="8.7265625" defaultRowHeight="14.5" x14ac:dyDescent="0.35"/>
  <sheetData>
    <row r="1" spans="1:14" x14ac:dyDescent="0.35">
      <c r="A1" t="s">
        <v>36</v>
      </c>
      <c r="B1" t="s">
        <v>37</v>
      </c>
      <c r="C1" t="s">
        <v>38</v>
      </c>
      <c r="D1" t="s">
        <v>39</v>
      </c>
      <c r="E1" t="s">
        <v>40</v>
      </c>
      <c r="F1" t="s">
        <v>41</v>
      </c>
      <c r="G1" t="s">
        <v>42</v>
      </c>
      <c r="H1" t="s">
        <v>43</v>
      </c>
      <c r="I1" t="s">
        <v>33</v>
      </c>
      <c r="J1" t="s">
        <v>35</v>
      </c>
      <c r="K1" t="s">
        <v>30</v>
      </c>
      <c r="L1" t="s">
        <v>29</v>
      </c>
      <c r="M1" t="s">
        <v>34</v>
      </c>
      <c r="N1" t="s">
        <v>44</v>
      </c>
    </row>
    <row r="2" spans="1:14" x14ac:dyDescent="0.35">
      <c r="A2" t="s">
        <v>6</v>
      </c>
      <c r="B2" t="s">
        <v>45</v>
      </c>
      <c r="E2" t="s">
        <v>46</v>
      </c>
      <c r="F2" t="s">
        <v>47</v>
      </c>
      <c r="H2" t="str" cm="1">
        <f t="array" ref="H2">_xlfn.TEXTJOIN(", ", TRUE, IF(I2:M2&gt;0, I$1:M$1, ""))</f>
        <v>Semantic View</v>
      </c>
      <c r="I2">
        <v>0</v>
      </c>
      <c r="J2">
        <v>0</v>
      </c>
      <c r="K2">
        <v>0</v>
      </c>
      <c r="L2">
        <v>0</v>
      </c>
      <c r="M2">
        <v>1</v>
      </c>
      <c r="N2">
        <v>0</v>
      </c>
    </row>
    <row r="3" spans="1:14" x14ac:dyDescent="0.35">
      <c r="A3" t="s">
        <v>6</v>
      </c>
      <c r="B3" t="s">
        <v>48</v>
      </c>
      <c r="D3" t="s">
        <v>49</v>
      </c>
      <c r="E3" t="s">
        <v>50</v>
      </c>
      <c r="F3" t="s">
        <v>51</v>
      </c>
      <c r="H3" t="str" cm="1">
        <f t="array" ref="H3">_xlfn.TEXTJOIN(", ", TRUE, IF(I3:M3&gt;0, I$1:M$1, ""))</f>
        <v>Tech Infrastructure</v>
      </c>
      <c r="I3">
        <v>1</v>
      </c>
      <c r="J3">
        <v>0</v>
      </c>
      <c r="K3">
        <v>0</v>
      </c>
      <c r="L3">
        <v>0</v>
      </c>
      <c r="M3">
        <v>0</v>
      </c>
      <c r="N3">
        <v>0</v>
      </c>
    </row>
    <row r="4" spans="1:14" x14ac:dyDescent="0.35">
      <c r="A4" t="s">
        <v>6</v>
      </c>
      <c r="B4" t="s">
        <v>52</v>
      </c>
      <c r="C4" t="s">
        <v>53</v>
      </c>
      <c r="D4" t="s">
        <v>54</v>
      </c>
      <c r="E4" t="s">
        <v>50</v>
      </c>
      <c r="F4" t="s">
        <v>55</v>
      </c>
      <c r="H4" t="str" cm="1">
        <f t="array" ref="H4">_xlfn.TEXTJOIN(", ", TRUE, IF(I4:M4&gt;0, I$1:M$1, ""))</f>
        <v>Semantic View</v>
      </c>
      <c r="I4">
        <v>0</v>
      </c>
      <c r="J4">
        <v>0</v>
      </c>
      <c r="K4">
        <v>0</v>
      </c>
      <c r="L4">
        <v>0</v>
      </c>
      <c r="M4">
        <v>2</v>
      </c>
      <c r="N4">
        <v>0</v>
      </c>
    </row>
    <row r="5" spans="1:14" x14ac:dyDescent="0.35">
      <c r="A5" t="s">
        <v>6</v>
      </c>
      <c r="B5" t="s">
        <v>56</v>
      </c>
      <c r="C5" t="s">
        <v>57</v>
      </c>
      <c r="D5" t="s">
        <v>58</v>
      </c>
      <c r="E5" t="s">
        <v>59</v>
      </c>
      <c r="F5" t="s">
        <v>60</v>
      </c>
      <c r="H5" t="str" cm="1">
        <f t="array" ref="H5">_xlfn.TEXTJOIN(", ", TRUE, IF(I5:M5&gt;0, I$1:M$1, ""))</f>
        <v>Tech Infrastructure</v>
      </c>
      <c r="I5">
        <v>2</v>
      </c>
      <c r="J5">
        <v>0</v>
      </c>
      <c r="K5">
        <v>0</v>
      </c>
      <c r="L5">
        <v>0</v>
      </c>
      <c r="M5">
        <v>0</v>
      </c>
      <c r="N5">
        <v>0</v>
      </c>
    </row>
    <row r="6" spans="1:14" x14ac:dyDescent="0.35">
      <c r="A6" t="s">
        <v>6</v>
      </c>
      <c r="B6" t="s">
        <v>61</v>
      </c>
      <c r="E6" t="s">
        <v>62</v>
      </c>
      <c r="F6" t="s">
        <v>55</v>
      </c>
      <c r="H6" t="str" cm="1">
        <f t="array" ref="H6">_xlfn.TEXTJOIN(", ", TRUE, IF(I6:M6&gt;0, I$1:M$1, ""))</f>
        <v>Organisational View</v>
      </c>
      <c r="I6">
        <v>0</v>
      </c>
      <c r="J6">
        <v>0</v>
      </c>
      <c r="K6">
        <v>0</v>
      </c>
      <c r="L6">
        <v>1</v>
      </c>
      <c r="M6">
        <v>0</v>
      </c>
      <c r="N6">
        <v>0</v>
      </c>
    </row>
    <row r="7" spans="1:14" x14ac:dyDescent="0.35">
      <c r="A7" t="s">
        <v>6</v>
      </c>
      <c r="B7" t="s">
        <v>63</v>
      </c>
      <c r="D7" t="s">
        <v>64</v>
      </c>
      <c r="E7" t="s">
        <v>50</v>
      </c>
      <c r="F7" t="s">
        <v>55</v>
      </c>
      <c r="H7" t="str" cm="1">
        <f t="array" ref="H7">_xlfn.TEXTJOIN(", ", TRUE, IF(I7:M7&gt;0, I$1:M$1, ""))</f>
        <v>Tech Infrastructure</v>
      </c>
      <c r="I7">
        <v>1</v>
      </c>
      <c r="J7">
        <v>0</v>
      </c>
      <c r="K7">
        <v>0</v>
      </c>
      <c r="L7">
        <v>0</v>
      </c>
      <c r="M7">
        <v>0</v>
      </c>
      <c r="N7">
        <v>0</v>
      </c>
    </row>
    <row r="8" spans="1:14" x14ac:dyDescent="0.35">
      <c r="A8" t="s">
        <v>6</v>
      </c>
      <c r="B8" t="s">
        <v>65</v>
      </c>
      <c r="E8" t="s">
        <v>66</v>
      </c>
      <c r="F8" t="s">
        <v>55</v>
      </c>
      <c r="H8" t="str" cm="1">
        <f t="array" ref="H8">_xlfn.TEXTJOIN(", ", TRUE, IF(I8:M8&gt;0, I$1:M$1, ""))</f>
        <v>Legal View, Organisational View</v>
      </c>
      <c r="I8">
        <v>0</v>
      </c>
      <c r="J8">
        <v>0</v>
      </c>
      <c r="K8">
        <v>2</v>
      </c>
      <c r="L8">
        <v>1</v>
      </c>
      <c r="M8">
        <v>0</v>
      </c>
      <c r="N8">
        <v>0</v>
      </c>
    </row>
    <row r="9" spans="1:14" x14ac:dyDescent="0.35">
      <c r="A9" t="s">
        <v>6</v>
      </c>
      <c r="B9" t="s">
        <v>67</v>
      </c>
      <c r="D9" t="s">
        <v>68</v>
      </c>
      <c r="E9" t="s">
        <v>69</v>
      </c>
      <c r="F9" t="s">
        <v>55</v>
      </c>
      <c r="H9" t="str" cm="1">
        <f t="array" ref="H9">_xlfn.TEXTJOIN(", ", TRUE, IF(I9:M9&gt;0, I$1:M$1, ""))</f>
        <v>Tech Infrastructure, Organisational View</v>
      </c>
      <c r="I9">
        <v>1</v>
      </c>
      <c r="J9">
        <v>0</v>
      </c>
      <c r="K9">
        <v>0</v>
      </c>
      <c r="L9">
        <v>1</v>
      </c>
      <c r="M9">
        <v>0</v>
      </c>
      <c r="N9">
        <v>0</v>
      </c>
    </row>
    <row r="10" spans="1:14" x14ac:dyDescent="0.35">
      <c r="A10" t="s">
        <v>6</v>
      </c>
      <c r="B10" t="s">
        <v>70</v>
      </c>
      <c r="C10" t="s">
        <v>71</v>
      </c>
      <c r="E10" t="s">
        <v>71</v>
      </c>
      <c r="F10" t="s">
        <v>55</v>
      </c>
      <c r="H10" t="str" cm="1">
        <f t="array" ref="H10">_xlfn.TEXTJOIN(", ", TRUE, IF(I10:M10&gt;0, I$1:M$1, ""))</f>
        <v>Tech Application, Semantic View</v>
      </c>
      <c r="I10">
        <v>0</v>
      </c>
      <c r="J10">
        <v>2</v>
      </c>
      <c r="K10">
        <v>0</v>
      </c>
      <c r="L10">
        <v>0</v>
      </c>
      <c r="M10">
        <v>1</v>
      </c>
      <c r="N10">
        <v>0</v>
      </c>
    </row>
    <row r="11" spans="1:14" x14ac:dyDescent="0.35">
      <c r="A11" t="s">
        <v>6</v>
      </c>
      <c r="B11" t="s">
        <v>72</v>
      </c>
      <c r="C11" t="s">
        <v>73</v>
      </c>
      <c r="E11" t="s">
        <v>50</v>
      </c>
      <c r="F11" t="s">
        <v>74</v>
      </c>
      <c r="H11" t="str" cm="1">
        <f t="array" ref="H11">_xlfn.TEXTJOIN(", ", TRUE, IF(I11:M11&gt;0, I$1:M$1, ""))</f>
        <v>Tech Infrastructure, Tech Application</v>
      </c>
      <c r="I11">
        <v>7</v>
      </c>
      <c r="J11">
        <v>4</v>
      </c>
      <c r="K11">
        <v>0</v>
      </c>
      <c r="L11">
        <v>0</v>
      </c>
      <c r="M11">
        <v>0</v>
      </c>
      <c r="N11">
        <v>1</v>
      </c>
    </row>
    <row r="12" spans="1:14" x14ac:dyDescent="0.35">
      <c r="A12" t="s">
        <v>6</v>
      </c>
      <c r="B12" t="s">
        <v>75</v>
      </c>
      <c r="C12" t="s">
        <v>76</v>
      </c>
      <c r="E12" t="s">
        <v>77</v>
      </c>
      <c r="F12" t="s">
        <v>55</v>
      </c>
      <c r="H12" t="str" cm="1">
        <f t="array" ref="H12">_xlfn.TEXTJOIN(", ", TRUE, IF(I12:M12&gt;0, I$1:M$1, ""))</f>
        <v>Semantic View</v>
      </c>
      <c r="I12">
        <v>0</v>
      </c>
      <c r="J12">
        <v>0</v>
      </c>
      <c r="K12">
        <v>0</v>
      </c>
      <c r="L12">
        <v>0</v>
      </c>
      <c r="M12">
        <v>4</v>
      </c>
      <c r="N12">
        <v>0</v>
      </c>
    </row>
    <row r="13" spans="1:14" x14ac:dyDescent="0.35">
      <c r="A13" t="s">
        <v>6</v>
      </c>
      <c r="B13" t="s">
        <v>78</v>
      </c>
      <c r="D13" t="s">
        <v>79</v>
      </c>
      <c r="E13" t="s">
        <v>50</v>
      </c>
      <c r="F13" t="s">
        <v>80</v>
      </c>
      <c r="H13" t="str" cm="1">
        <f t="array" ref="H13">_xlfn.TEXTJOIN(", ", TRUE, IF(I13:M13&gt;0, I$1:M$1, ""))</f>
        <v>Tech Application</v>
      </c>
      <c r="I13">
        <v>0</v>
      </c>
      <c r="J13">
        <v>4</v>
      </c>
      <c r="K13">
        <v>0</v>
      </c>
      <c r="L13">
        <v>0</v>
      </c>
      <c r="M13">
        <v>0</v>
      </c>
      <c r="N13">
        <v>1</v>
      </c>
    </row>
    <row r="14" spans="1:14" x14ac:dyDescent="0.35">
      <c r="A14" t="s">
        <v>6</v>
      </c>
      <c r="B14" t="s">
        <v>81</v>
      </c>
      <c r="C14" t="s">
        <v>82</v>
      </c>
      <c r="D14" t="s">
        <v>83</v>
      </c>
      <c r="E14" t="s">
        <v>59</v>
      </c>
      <c r="F14" t="s">
        <v>60</v>
      </c>
      <c r="H14" t="str" cm="1">
        <f t="array" ref="H14">_xlfn.TEXTJOIN(", ", TRUE, IF(I14:M14&gt;0, I$1:M$1, ""))</f>
        <v>Tech Infrastructure, Semantic View</v>
      </c>
      <c r="I14">
        <v>2</v>
      </c>
      <c r="J14">
        <v>0</v>
      </c>
      <c r="K14">
        <v>0</v>
      </c>
      <c r="L14">
        <v>0</v>
      </c>
      <c r="M14">
        <v>1</v>
      </c>
      <c r="N14">
        <v>1</v>
      </c>
    </row>
    <row r="15" spans="1:14" x14ac:dyDescent="0.35">
      <c r="A15" t="s">
        <v>6</v>
      </c>
      <c r="B15" t="s">
        <v>84</v>
      </c>
      <c r="D15" t="s">
        <v>85</v>
      </c>
      <c r="E15" t="s">
        <v>86</v>
      </c>
      <c r="F15" t="s">
        <v>55</v>
      </c>
      <c r="H15" t="str" cm="1">
        <f t="array" ref="H15">_xlfn.TEXTJOIN(", ", TRUE, IF(I15:M15&gt;0, I$1:M$1, ""))</f>
        <v>Tech Application</v>
      </c>
      <c r="I15">
        <v>0</v>
      </c>
      <c r="J15">
        <v>3</v>
      </c>
      <c r="K15">
        <v>0</v>
      </c>
      <c r="L15">
        <v>0</v>
      </c>
      <c r="M15">
        <v>0</v>
      </c>
      <c r="N15">
        <v>0</v>
      </c>
    </row>
    <row r="16" spans="1:14" x14ac:dyDescent="0.35">
      <c r="A16" t="s">
        <v>6</v>
      </c>
      <c r="B16" t="s">
        <v>87</v>
      </c>
      <c r="D16" t="s">
        <v>88</v>
      </c>
      <c r="E16" t="s">
        <v>69</v>
      </c>
      <c r="F16" t="s">
        <v>55</v>
      </c>
      <c r="H16" t="str" cm="1">
        <f t="array" ref="H16">_xlfn.TEXTJOIN(", ", TRUE, IF(I16:M16&gt;0, I$1:M$1, ""))</f>
        <v>Tech Application</v>
      </c>
      <c r="I16">
        <v>0</v>
      </c>
      <c r="J16">
        <v>2</v>
      </c>
      <c r="K16">
        <v>0</v>
      </c>
      <c r="L16">
        <v>0</v>
      </c>
      <c r="M16">
        <v>0</v>
      </c>
      <c r="N16">
        <v>0</v>
      </c>
    </row>
    <row r="17" spans="1:14" x14ac:dyDescent="0.35">
      <c r="A17" t="s">
        <v>6</v>
      </c>
      <c r="B17" t="s">
        <v>89</v>
      </c>
      <c r="C17" t="s">
        <v>90</v>
      </c>
      <c r="E17" t="s">
        <v>91</v>
      </c>
      <c r="F17" t="s">
        <v>92</v>
      </c>
      <c r="H17" t="str" cm="1">
        <f t="array" ref="H17">_xlfn.TEXTJOIN(", ", TRUE, IF(I17:M17&gt;0, I$1:M$1, ""))</f>
        <v>Tech Application</v>
      </c>
      <c r="I17">
        <v>0</v>
      </c>
      <c r="J17">
        <v>6</v>
      </c>
      <c r="K17">
        <v>0</v>
      </c>
      <c r="L17">
        <v>0</v>
      </c>
      <c r="M17">
        <v>0</v>
      </c>
      <c r="N17">
        <v>0</v>
      </c>
    </row>
    <row r="18" spans="1:14" x14ac:dyDescent="0.35">
      <c r="A18" t="s">
        <v>6</v>
      </c>
      <c r="B18" t="s">
        <v>93</v>
      </c>
      <c r="E18" t="s">
        <v>62</v>
      </c>
      <c r="F18" t="s">
        <v>55</v>
      </c>
      <c r="H18" t="str" cm="1">
        <f t="array" ref="H18">_xlfn.TEXTJOIN(", ", TRUE, IF(I18:M18&gt;0, I$1:M$1, ""))</f>
        <v>Organisational View</v>
      </c>
      <c r="I18">
        <v>0</v>
      </c>
      <c r="J18">
        <v>0</v>
      </c>
      <c r="K18">
        <v>0</v>
      </c>
      <c r="L18">
        <v>1</v>
      </c>
      <c r="M18">
        <v>0</v>
      </c>
      <c r="N18">
        <v>0</v>
      </c>
    </row>
    <row r="19" spans="1:14" x14ac:dyDescent="0.35">
      <c r="A19" t="s">
        <v>6</v>
      </c>
      <c r="B19" t="s">
        <v>94</v>
      </c>
      <c r="C19" t="s">
        <v>95</v>
      </c>
      <c r="E19" t="s">
        <v>96</v>
      </c>
      <c r="F19" t="s">
        <v>97</v>
      </c>
      <c r="H19" t="str" cm="1">
        <f t="array" ref="H19">_xlfn.TEXTJOIN(", ", TRUE, IF(I19:M19&gt;0, I$1:M$1, ""))</f>
        <v>Tech Application</v>
      </c>
      <c r="I19">
        <v>0</v>
      </c>
      <c r="J19">
        <v>2</v>
      </c>
      <c r="K19">
        <v>0</v>
      </c>
      <c r="L19">
        <v>0</v>
      </c>
      <c r="M19">
        <v>0</v>
      </c>
      <c r="N19">
        <v>1</v>
      </c>
    </row>
    <row r="20" spans="1:14" x14ac:dyDescent="0.35">
      <c r="A20" t="s">
        <v>6</v>
      </c>
      <c r="B20" t="s">
        <v>98</v>
      </c>
      <c r="E20" t="s">
        <v>99</v>
      </c>
      <c r="F20" t="s">
        <v>100</v>
      </c>
      <c r="H20" t="str" cm="1">
        <f t="array" ref="H20">_xlfn.TEXTJOIN(", ", TRUE, IF(I20:M20&gt;0, I$1:M$1, ""))</f>
        <v>Tech Application</v>
      </c>
      <c r="I20">
        <v>0</v>
      </c>
      <c r="J20">
        <v>1</v>
      </c>
      <c r="K20">
        <v>0</v>
      </c>
      <c r="L20">
        <v>0</v>
      </c>
      <c r="M20">
        <v>0</v>
      </c>
      <c r="N20">
        <v>0</v>
      </c>
    </row>
    <row r="21" spans="1:14" x14ac:dyDescent="0.35">
      <c r="A21" t="s">
        <v>6</v>
      </c>
      <c r="B21" t="s">
        <v>101</v>
      </c>
      <c r="C21" t="s">
        <v>102</v>
      </c>
      <c r="E21" t="s">
        <v>103</v>
      </c>
      <c r="F21" t="s">
        <v>51</v>
      </c>
      <c r="H21" t="str" cm="1">
        <f t="array" ref="H21">_xlfn.TEXTJOIN(", ", TRUE, IF(I21:M21&gt;0, I$1:M$1, ""))</f>
        <v>Tech Application</v>
      </c>
      <c r="I21">
        <v>0</v>
      </c>
      <c r="J21">
        <v>3</v>
      </c>
      <c r="K21">
        <v>0</v>
      </c>
      <c r="L21">
        <v>0</v>
      </c>
      <c r="M21">
        <v>0</v>
      </c>
      <c r="N21">
        <v>0</v>
      </c>
    </row>
    <row r="22" spans="1:14" x14ac:dyDescent="0.35">
      <c r="A22" t="s">
        <v>6</v>
      </c>
      <c r="B22" t="s">
        <v>104</v>
      </c>
      <c r="E22" t="s">
        <v>66</v>
      </c>
      <c r="F22" t="s">
        <v>105</v>
      </c>
      <c r="H22" t="str" cm="1">
        <f t="array" ref="H22">_xlfn.TEXTJOIN(", ", TRUE, IF(I22:M22&gt;0, I$1:M$1, ""))</f>
        <v>Legal View</v>
      </c>
      <c r="I22">
        <v>0</v>
      </c>
      <c r="J22">
        <v>0</v>
      </c>
      <c r="K22">
        <v>1</v>
      </c>
      <c r="L22">
        <v>0</v>
      </c>
      <c r="M22">
        <v>0</v>
      </c>
      <c r="N22">
        <v>0</v>
      </c>
    </row>
    <row r="23" spans="1:14" x14ac:dyDescent="0.35">
      <c r="A23" t="s">
        <v>6</v>
      </c>
      <c r="B23" t="s">
        <v>106</v>
      </c>
      <c r="D23" t="s">
        <v>107</v>
      </c>
      <c r="E23" t="s">
        <v>59</v>
      </c>
      <c r="F23" t="s">
        <v>100</v>
      </c>
      <c r="H23" t="str" cm="1">
        <f t="array" ref="H23">_xlfn.TEXTJOIN(", ", TRUE, IF(I23:M23&gt;0, I$1:M$1, ""))</f>
        <v>Tech Application</v>
      </c>
      <c r="I23">
        <v>0</v>
      </c>
      <c r="J23">
        <v>4</v>
      </c>
      <c r="K23">
        <v>0</v>
      </c>
      <c r="L23">
        <v>0</v>
      </c>
      <c r="M23">
        <v>0</v>
      </c>
      <c r="N23">
        <v>0</v>
      </c>
    </row>
    <row r="24" spans="1:14" x14ac:dyDescent="0.35">
      <c r="A24" t="s">
        <v>6</v>
      </c>
      <c r="B24" t="s">
        <v>108</v>
      </c>
      <c r="C24" t="s">
        <v>109</v>
      </c>
      <c r="E24" t="s">
        <v>110</v>
      </c>
      <c r="F24" t="s">
        <v>111</v>
      </c>
      <c r="H24" t="str" cm="1">
        <f t="array" ref="H24">_xlfn.TEXTJOIN(", ", TRUE, IF(I24:M24&gt;0, I$1:M$1, ""))</f>
        <v>Tech Application</v>
      </c>
      <c r="I24">
        <v>0</v>
      </c>
      <c r="J24">
        <v>2</v>
      </c>
      <c r="K24">
        <v>0</v>
      </c>
      <c r="L24">
        <v>0</v>
      </c>
      <c r="M24">
        <v>0</v>
      </c>
      <c r="N24">
        <v>0</v>
      </c>
    </row>
    <row r="25" spans="1:14" x14ac:dyDescent="0.35">
      <c r="A25" t="s">
        <v>6</v>
      </c>
      <c r="B25" t="s">
        <v>112</v>
      </c>
      <c r="E25" t="s">
        <v>62</v>
      </c>
      <c r="F25" t="s">
        <v>55</v>
      </c>
      <c r="H25" t="str" cm="1">
        <f t="array" ref="H25">_xlfn.TEXTJOIN(", ", TRUE, IF(I25:M25&gt;0, I$1:M$1, ""))</f>
        <v>Organisational View</v>
      </c>
      <c r="I25">
        <v>0</v>
      </c>
      <c r="J25">
        <v>0</v>
      </c>
      <c r="K25">
        <v>0</v>
      </c>
      <c r="L25">
        <v>1</v>
      </c>
      <c r="M25">
        <v>0</v>
      </c>
      <c r="N25">
        <v>0</v>
      </c>
    </row>
    <row r="26" spans="1:14" x14ac:dyDescent="0.35">
      <c r="A26" t="s">
        <v>6</v>
      </c>
      <c r="B26" t="s">
        <v>113</v>
      </c>
      <c r="C26" t="s">
        <v>114</v>
      </c>
      <c r="D26" t="s">
        <v>115</v>
      </c>
      <c r="E26" t="s">
        <v>62</v>
      </c>
      <c r="F26" t="s">
        <v>116</v>
      </c>
      <c r="H26" t="str" cm="1">
        <f t="array" ref="H26">_xlfn.TEXTJOIN(", ", TRUE, IF(I26:M26&gt;0, I$1:M$1, ""))</f>
        <v>Tech Application, Organisational View, Semantic View</v>
      </c>
      <c r="I26">
        <v>0</v>
      </c>
      <c r="J26">
        <v>3</v>
      </c>
      <c r="K26">
        <v>0</v>
      </c>
      <c r="L26">
        <v>1</v>
      </c>
      <c r="M26">
        <v>3</v>
      </c>
      <c r="N26">
        <v>0</v>
      </c>
    </row>
    <row r="27" spans="1:14" x14ac:dyDescent="0.35">
      <c r="A27" t="s">
        <v>6</v>
      </c>
      <c r="B27" t="s">
        <v>117</v>
      </c>
      <c r="D27" t="s">
        <v>118</v>
      </c>
      <c r="E27" t="s">
        <v>119</v>
      </c>
      <c r="F27" t="s">
        <v>92</v>
      </c>
      <c r="H27" t="str" cm="1">
        <f t="array" ref="H27">_xlfn.TEXTJOIN(", ", TRUE, IF(I27:M27&gt;0, I$1:M$1, ""))</f>
        <v>Tech Application</v>
      </c>
      <c r="I27">
        <v>0</v>
      </c>
      <c r="J27">
        <v>2</v>
      </c>
      <c r="K27">
        <v>0</v>
      </c>
      <c r="L27">
        <v>0</v>
      </c>
      <c r="M27">
        <v>0</v>
      </c>
      <c r="N27">
        <v>0</v>
      </c>
    </row>
    <row r="28" spans="1:14" x14ac:dyDescent="0.35">
      <c r="A28" t="s">
        <v>6</v>
      </c>
      <c r="B28" t="s">
        <v>120</v>
      </c>
      <c r="C28" t="s">
        <v>120</v>
      </c>
      <c r="E28" t="s">
        <v>121</v>
      </c>
      <c r="F28" t="s">
        <v>92</v>
      </c>
      <c r="H28" t="str" cm="1">
        <f t="array" ref="H28">_xlfn.TEXTJOIN(", ", TRUE, IF(I28:M28&gt;0, I$1:M$1, ""))</f>
        <v>Tech Application</v>
      </c>
      <c r="I28">
        <v>0</v>
      </c>
      <c r="J28">
        <v>2</v>
      </c>
      <c r="K28">
        <v>0</v>
      </c>
      <c r="L28">
        <v>0</v>
      </c>
      <c r="M28">
        <v>0</v>
      </c>
      <c r="N28">
        <v>2</v>
      </c>
    </row>
    <row r="29" spans="1:14" x14ac:dyDescent="0.35">
      <c r="A29" t="s">
        <v>6</v>
      </c>
      <c r="B29" t="s">
        <v>122</v>
      </c>
      <c r="D29" t="s">
        <v>123</v>
      </c>
      <c r="E29" t="s">
        <v>124</v>
      </c>
      <c r="F29" t="s">
        <v>125</v>
      </c>
      <c r="H29" t="str" cm="1">
        <f t="array" ref="H29">_xlfn.TEXTJOIN(", ", TRUE, IF(I29:M29&gt;0, I$1:M$1, ""))</f>
        <v>Tech Application, Semantic View</v>
      </c>
      <c r="I29">
        <v>0</v>
      </c>
      <c r="J29">
        <v>3</v>
      </c>
      <c r="K29">
        <v>0</v>
      </c>
      <c r="L29">
        <v>0</v>
      </c>
      <c r="M29">
        <v>1</v>
      </c>
      <c r="N29">
        <v>0</v>
      </c>
    </row>
    <row r="30" spans="1:14" x14ac:dyDescent="0.35">
      <c r="A30" t="s">
        <v>6</v>
      </c>
      <c r="B30" t="s">
        <v>126</v>
      </c>
      <c r="D30" t="s">
        <v>127</v>
      </c>
      <c r="E30" t="s">
        <v>69</v>
      </c>
      <c r="F30" t="s">
        <v>55</v>
      </c>
      <c r="H30" t="str" cm="1">
        <f t="array" ref="H30">_xlfn.TEXTJOIN(", ", TRUE, IF(I30:M30&gt;0, I$1:M$1, ""))</f>
        <v>Tech Application</v>
      </c>
      <c r="I30">
        <v>0</v>
      </c>
      <c r="J30">
        <v>6</v>
      </c>
      <c r="K30">
        <v>0</v>
      </c>
      <c r="L30">
        <v>0</v>
      </c>
      <c r="M30">
        <v>0</v>
      </c>
      <c r="N30">
        <v>0</v>
      </c>
    </row>
    <row r="31" spans="1:14" x14ac:dyDescent="0.35">
      <c r="A31" t="s">
        <v>6</v>
      </c>
      <c r="B31" t="s">
        <v>128</v>
      </c>
      <c r="C31" t="s">
        <v>129</v>
      </c>
      <c r="D31" t="s">
        <v>130</v>
      </c>
      <c r="E31" t="s">
        <v>59</v>
      </c>
      <c r="F31" t="s">
        <v>100</v>
      </c>
      <c r="H31" t="str" cm="1">
        <f t="array" ref="H31">_xlfn.TEXTJOIN(", ", TRUE, IF(I31:M31&gt;0, I$1:M$1, ""))</f>
        <v>Tech Application</v>
      </c>
      <c r="I31">
        <v>0</v>
      </c>
      <c r="J31">
        <v>4</v>
      </c>
      <c r="K31">
        <v>0</v>
      </c>
      <c r="L31">
        <v>0</v>
      </c>
      <c r="M31">
        <v>0</v>
      </c>
      <c r="N31">
        <v>0</v>
      </c>
    </row>
    <row r="32" spans="1:14" x14ac:dyDescent="0.35">
      <c r="A32" t="s">
        <v>6</v>
      </c>
      <c r="B32" t="s">
        <v>131</v>
      </c>
      <c r="C32" t="s">
        <v>132</v>
      </c>
      <c r="D32" t="s">
        <v>133</v>
      </c>
      <c r="E32" t="s">
        <v>134</v>
      </c>
      <c r="F32" t="s">
        <v>51</v>
      </c>
      <c r="H32" t="str" cm="1">
        <f t="array" ref="H32">_xlfn.TEXTJOIN(", ", TRUE, IF(I32:M32&gt;0, I$1:M$1, ""))</f>
        <v>Semantic View</v>
      </c>
      <c r="I32">
        <v>0</v>
      </c>
      <c r="J32">
        <v>0</v>
      </c>
      <c r="K32">
        <v>0</v>
      </c>
      <c r="L32">
        <v>0</v>
      </c>
      <c r="M32">
        <v>2</v>
      </c>
      <c r="N32">
        <v>2</v>
      </c>
    </row>
    <row r="33" spans="1:14" x14ac:dyDescent="0.35">
      <c r="A33" t="s">
        <v>6</v>
      </c>
      <c r="B33" t="s">
        <v>135</v>
      </c>
      <c r="D33" t="s">
        <v>136</v>
      </c>
      <c r="E33" t="s">
        <v>50</v>
      </c>
      <c r="F33" t="s">
        <v>51</v>
      </c>
      <c r="H33" t="str" cm="1">
        <f t="array" ref="H33">_xlfn.TEXTJOIN(", ", TRUE, IF(I33:M33&gt;0, I$1:M$1, ""))</f>
        <v>Tech Infrastructure, Tech Application</v>
      </c>
      <c r="I33">
        <v>1</v>
      </c>
      <c r="J33">
        <v>3</v>
      </c>
      <c r="K33">
        <v>0</v>
      </c>
      <c r="L33">
        <v>0</v>
      </c>
      <c r="M33">
        <v>0</v>
      </c>
      <c r="N33">
        <v>0</v>
      </c>
    </row>
    <row r="34" spans="1:14" x14ac:dyDescent="0.35">
      <c r="A34" t="s">
        <v>6</v>
      </c>
      <c r="B34" t="s">
        <v>137</v>
      </c>
      <c r="D34" t="s">
        <v>138</v>
      </c>
      <c r="E34" t="s">
        <v>59</v>
      </c>
      <c r="F34" t="s">
        <v>100</v>
      </c>
      <c r="H34" t="str" cm="1">
        <f t="array" ref="H34">_xlfn.TEXTJOIN(", ", TRUE, IF(I34:M34&gt;0, I$1:M$1, ""))</f>
        <v>Tech Infrastructure, Tech Application, Semantic View</v>
      </c>
      <c r="I34">
        <v>1</v>
      </c>
      <c r="J34">
        <v>2</v>
      </c>
      <c r="K34">
        <v>0</v>
      </c>
      <c r="L34">
        <v>0</v>
      </c>
      <c r="M34">
        <v>1</v>
      </c>
      <c r="N34">
        <v>0</v>
      </c>
    </row>
    <row r="35" spans="1:14" x14ac:dyDescent="0.35">
      <c r="A35" t="s">
        <v>6</v>
      </c>
      <c r="B35" t="s">
        <v>139</v>
      </c>
      <c r="C35" t="s">
        <v>140</v>
      </c>
      <c r="E35" t="s">
        <v>62</v>
      </c>
      <c r="F35" t="s">
        <v>51</v>
      </c>
      <c r="H35" t="str" cm="1">
        <f t="array" ref="H35">_xlfn.TEXTJOIN(", ", TRUE, IF(I35:M35&gt;0, I$1:M$1, ""))</f>
        <v>Semantic View</v>
      </c>
      <c r="I35">
        <v>0</v>
      </c>
      <c r="J35">
        <v>0</v>
      </c>
      <c r="K35">
        <v>0</v>
      </c>
      <c r="L35">
        <v>0</v>
      </c>
      <c r="M35">
        <v>2</v>
      </c>
      <c r="N35">
        <v>2</v>
      </c>
    </row>
    <row r="36" spans="1:14" x14ac:dyDescent="0.35">
      <c r="A36" t="s">
        <v>6</v>
      </c>
      <c r="B36" t="s">
        <v>141</v>
      </c>
      <c r="C36" t="s">
        <v>142</v>
      </c>
      <c r="D36" t="s">
        <v>143</v>
      </c>
      <c r="E36" t="s">
        <v>59</v>
      </c>
      <c r="F36" t="s">
        <v>100</v>
      </c>
      <c r="H36" t="str" cm="1">
        <f t="array" ref="H36">_xlfn.TEXTJOIN(", ", TRUE, IF(I36:M36&gt;0, I$1:M$1, ""))</f>
        <v>Tech Application</v>
      </c>
      <c r="I36">
        <v>0</v>
      </c>
      <c r="J36">
        <v>2</v>
      </c>
      <c r="K36">
        <v>0</v>
      </c>
      <c r="L36">
        <v>0</v>
      </c>
      <c r="M36">
        <v>0</v>
      </c>
      <c r="N36">
        <v>0</v>
      </c>
    </row>
    <row r="37" spans="1:14" x14ac:dyDescent="0.35">
      <c r="A37" t="s">
        <v>6</v>
      </c>
      <c r="B37" t="s">
        <v>144</v>
      </c>
      <c r="C37" t="s">
        <v>145</v>
      </c>
      <c r="D37" t="s">
        <v>146</v>
      </c>
      <c r="E37" t="s">
        <v>50</v>
      </c>
      <c r="F37" t="s">
        <v>55</v>
      </c>
      <c r="H37" t="str" cm="1">
        <f t="array" ref="H37">_xlfn.TEXTJOIN(", ", TRUE, IF(I37:M37&gt;0, I$1:M$1, ""))</f>
        <v>Tech Application</v>
      </c>
      <c r="I37">
        <v>0</v>
      </c>
      <c r="J37">
        <v>2</v>
      </c>
      <c r="K37">
        <v>0</v>
      </c>
      <c r="L37">
        <v>0</v>
      </c>
      <c r="M37">
        <v>0</v>
      </c>
      <c r="N37">
        <v>0</v>
      </c>
    </row>
    <row r="38" spans="1:14" x14ac:dyDescent="0.35">
      <c r="A38" t="s">
        <v>6</v>
      </c>
      <c r="B38" t="s">
        <v>147</v>
      </c>
      <c r="E38" t="s">
        <v>148</v>
      </c>
      <c r="F38" t="s">
        <v>149</v>
      </c>
      <c r="H38" t="str" cm="1">
        <f t="array" ref="H38">_xlfn.TEXTJOIN(", ", TRUE, IF(I38:M38&gt;0, I$1:M$1, ""))</f>
        <v>Semantic View</v>
      </c>
      <c r="I38">
        <v>0</v>
      </c>
      <c r="J38">
        <v>0</v>
      </c>
      <c r="K38">
        <v>0</v>
      </c>
      <c r="L38">
        <v>0</v>
      </c>
      <c r="M38">
        <v>2</v>
      </c>
      <c r="N38">
        <v>0</v>
      </c>
    </row>
    <row r="39" spans="1:14" x14ac:dyDescent="0.35">
      <c r="A39" t="s">
        <v>6</v>
      </c>
      <c r="B39" t="s">
        <v>150</v>
      </c>
      <c r="C39" t="s">
        <v>151</v>
      </c>
      <c r="E39" t="s">
        <v>62</v>
      </c>
      <c r="F39" t="s">
        <v>152</v>
      </c>
      <c r="H39" t="str" cm="1">
        <f t="array" ref="H39">_xlfn.TEXTJOIN(", ", TRUE, IF(I39:M39&gt;0, I$1:M$1, ""))</f>
        <v>Tech Infrastructure, Tech Application</v>
      </c>
      <c r="I39">
        <v>1</v>
      </c>
      <c r="J39">
        <v>5</v>
      </c>
      <c r="K39">
        <v>0</v>
      </c>
      <c r="L39">
        <v>0</v>
      </c>
      <c r="M39">
        <v>0</v>
      </c>
      <c r="N39">
        <v>0</v>
      </c>
    </row>
    <row r="40" spans="1:14" x14ac:dyDescent="0.35">
      <c r="A40" t="s">
        <v>6</v>
      </c>
      <c r="B40" t="s">
        <v>153</v>
      </c>
      <c r="E40" t="s">
        <v>154</v>
      </c>
      <c r="F40" t="s">
        <v>155</v>
      </c>
      <c r="H40" t="str" cm="1">
        <f t="array" ref="H40">_xlfn.TEXTJOIN(", ", TRUE, IF(I40:M40&gt;0, I$1:M$1, ""))</f>
        <v>Tech Application</v>
      </c>
      <c r="I40">
        <v>0</v>
      </c>
      <c r="J40">
        <v>3</v>
      </c>
      <c r="K40">
        <v>0</v>
      </c>
      <c r="L40">
        <v>0</v>
      </c>
      <c r="M40">
        <v>0</v>
      </c>
      <c r="N40">
        <v>0</v>
      </c>
    </row>
    <row r="41" spans="1:14" x14ac:dyDescent="0.35">
      <c r="A41" t="s">
        <v>6</v>
      </c>
      <c r="B41" t="s">
        <v>156</v>
      </c>
      <c r="E41" t="s">
        <v>157</v>
      </c>
      <c r="F41" t="s">
        <v>158</v>
      </c>
      <c r="H41" t="str" cm="1">
        <f t="array" ref="H41">_xlfn.TEXTJOIN(", ", TRUE, IF(I41:M41&gt;0, I$1:M$1, ""))</f>
        <v>Semantic View</v>
      </c>
      <c r="I41">
        <v>0</v>
      </c>
      <c r="J41">
        <v>0</v>
      </c>
      <c r="K41">
        <v>0</v>
      </c>
      <c r="L41">
        <v>0</v>
      </c>
      <c r="M41">
        <v>1</v>
      </c>
      <c r="N41">
        <v>0</v>
      </c>
    </row>
    <row r="42" spans="1:14" x14ac:dyDescent="0.35">
      <c r="A42" t="s">
        <v>6</v>
      </c>
      <c r="B42" t="s">
        <v>159</v>
      </c>
      <c r="C42" t="s">
        <v>160</v>
      </c>
      <c r="E42" t="s">
        <v>161</v>
      </c>
      <c r="F42" t="s">
        <v>162</v>
      </c>
      <c r="H42" t="str" cm="1">
        <f t="array" ref="H42">_xlfn.TEXTJOIN(", ", TRUE, IF(I42:M42&gt;0, I$1:M$1, ""))</f>
        <v>Tech Application</v>
      </c>
      <c r="I42">
        <v>0</v>
      </c>
      <c r="J42">
        <v>1</v>
      </c>
      <c r="K42">
        <v>0</v>
      </c>
      <c r="L42">
        <v>0</v>
      </c>
      <c r="M42">
        <v>0</v>
      </c>
      <c r="N42">
        <v>0</v>
      </c>
    </row>
    <row r="43" spans="1:14" x14ac:dyDescent="0.35">
      <c r="A43" t="s">
        <v>6</v>
      </c>
      <c r="B43" t="s">
        <v>163</v>
      </c>
      <c r="D43" t="s">
        <v>164</v>
      </c>
      <c r="E43" t="s">
        <v>62</v>
      </c>
      <c r="F43" t="s">
        <v>165</v>
      </c>
      <c r="H43" t="str" cm="1">
        <f t="array" ref="H43">_xlfn.TEXTJOIN(", ", TRUE, IF(I43:M43&gt;0, I$1:M$1, ""))</f>
        <v>Legal View</v>
      </c>
      <c r="I43">
        <v>0</v>
      </c>
      <c r="J43">
        <v>0</v>
      </c>
      <c r="K43">
        <v>5</v>
      </c>
      <c r="L43">
        <v>0</v>
      </c>
      <c r="M43">
        <v>0</v>
      </c>
      <c r="N43">
        <v>0</v>
      </c>
    </row>
    <row r="44" spans="1:14" x14ac:dyDescent="0.35">
      <c r="A44" t="s">
        <v>6</v>
      </c>
      <c r="B44" t="s">
        <v>166</v>
      </c>
      <c r="C44" t="s">
        <v>167</v>
      </c>
      <c r="E44" t="s">
        <v>96</v>
      </c>
      <c r="F44" t="s">
        <v>55</v>
      </c>
      <c r="H44" t="str" cm="1">
        <f t="array" ref="H44">_xlfn.TEXTJOIN(", ", TRUE, IF(I44:M44&gt;0, I$1:M$1, ""))</f>
        <v>Tech Application</v>
      </c>
      <c r="I44">
        <v>0</v>
      </c>
      <c r="J44">
        <v>2</v>
      </c>
      <c r="K44">
        <v>0</v>
      </c>
      <c r="L44">
        <v>0</v>
      </c>
      <c r="M44">
        <v>0</v>
      </c>
      <c r="N44">
        <v>0</v>
      </c>
    </row>
    <row r="45" spans="1:14" x14ac:dyDescent="0.35">
      <c r="A45" t="s">
        <v>6</v>
      </c>
      <c r="B45" t="s">
        <v>168</v>
      </c>
      <c r="E45" t="s">
        <v>169</v>
      </c>
      <c r="F45" t="s">
        <v>170</v>
      </c>
      <c r="H45" t="str" cm="1">
        <f t="array" ref="H45">_xlfn.TEXTJOIN(", ", TRUE, IF(I45:M45&gt;0, I$1:M$1, ""))</f>
        <v>Tech Application</v>
      </c>
      <c r="I45">
        <v>0</v>
      </c>
      <c r="J45">
        <v>2</v>
      </c>
      <c r="K45">
        <v>0</v>
      </c>
      <c r="L45">
        <v>0</v>
      </c>
      <c r="M45">
        <v>0</v>
      </c>
      <c r="N45">
        <v>0</v>
      </c>
    </row>
    <row r="46" spans="1:14" x14ac:dyDescent="0.35">
      <c r="A46" t="s">
        <v>6</v>
      </c>
      <c r="B46" t="s">
        <v>171</v>
      </c>
      <c r="C46" t="s">
        <v>172</v>
      </c>
      <c r="D46" t="s">
        <v>173</v>
      </c>
      <c r="E46" t="s">
        <v>59</v>
      </c>
      <c r="F46" t="s">
        <v>100</v>
      </c>
      <c r="H46" t="str" cm="1">
        <f t="array" ref="H46">_xlfn.TEXTJOIN(", ", TRUE, IF(I46:M46&gt;0, I$1:M$1, ""))</f>
        <v>Tech Application</v>
      </c>
      <c r="I46">
        <v>0</v>
      </c>
      <c r="J46">
        <v>2</v>
      </c>
      <c r="K46">
        <v>0</v>
      </c>
      <c r="L46">
        <v>0</v>
      </c>
      <c r="M46">
        <v>0</v>
      </c>
      <c r="N46">
        <v>0</v>
      </c>
    </row>
    <row r="47" spans="1:14" x14ac:dyDescent="0.35">
      <c r="A47" t="s">
        <v>6</v>
      </c>
      <c r="B47" t="s">
        <v>174</v>
      </c>
      <c r="E47" t="s">
        <v>99</v>
      </c>
      <c r="F47" t="s">
        <v>152</v>
      </c>
      <c r="H47" t="str" cm="1">
        <f t="array" ref="H47">_xlfn.TEXTJOIN(", ", TRUE, IF(I47:M47&gt;0, I$1:M$1, ""))</f>
        <v/>
      </c>
      <c r="I47">
        <v>0</v>
      </c>
      <c r="J47">
        <v>0</v>
      </c>
      <c r="K47">
        <v>0</v>
      </c>
      <c r="L47">
        <v>0</v>
      </c>
      <c r="M47">
        <v>0</v>
      </c>
      <c r="N47">
        <v>0</v>
      </c>
    </row>
    <row r="48" spans="1:14" x14ac:dyDescent="0.35">
      <c r="A48" t="s">
        <v>6</v>
      </c>
      <c r="B48" t="s">
        <v>175</v>
      </c>
      <c r="D48" t="s">
        <v>176</v>
      </c>
      <c r="E48" t="s">
        <v>69</v>
      </c>
      <c r="F48" t="s">
        <v>55</v>
      </c>
      <c r="H48" t="str" cm="1">
        <f t="array" ref="H48">_xlfn.TEXTJOIN(", ", TRUE, IF(I48:M48&gt;0, I$1:M$1, ""))</f>
        <v>Tech Infrastructure, Organisational View</v>
      </c>
      <c r="I48">
        <v>1</v>
      </c>
      <c r="J48">
        <v>0</v>
      </c>
      <c r="K48">
        <v>0</v>
      </c>
      <c r="L48">
        <v>1</v>
      </c>
      <c r="M48">
        <v>0</v>
      </c>
      <c r="N48">
        <v>0</v>
      </c>
    </row>
    <row r="49" spans="1:14" x14ac:dyDescent="0.35">
      <c r="A49" t="s">
        <v>6</v>
      </c>
      <c r="B49" t="s">
        <v>177</v>
      </c>
      <c r="C49" t="s">
        <v>178</v>
      </c>
      <c r="D49" t="s">
        <v>179</v>
      </c>
      <c r="E49" t="s">
        <v>124</v>
      </c>
      <c r="F49" t="s">
        <v>180</v>
      </c>
      <c r="H49" t="str" cm="1">
        <f t="array" ref="H49">_xlfn.TEXTJOIN(", ", TRUE, IF(I49:M49&gt;0, I$1:M$1, ""))</f>
        <v>Tech Application</v>
      </c>
      <c r="I49">
        <v>0</v>
      </c>
      <c r="J49">
        <v>3</v>
      </c>
      <c r="K49">
        <v>0</v>
      </c>
      <c r="L49">
        <v>0</v>
      </c>
      <c r="M49">
        <v>0</v>
      </c>
      <c r="N49">
        <v>0</v>
      </c>
    </row>
    <row r="50" spans="1:14" x14ac:dyDescent="0.35">
      <c r="A50" t="s">
        <v>6</v>
      </c>
      <c r="B50" t="s">
        <v>181</v>
      </c>
      <c r="E50" t="s">
        <v>182</v>
      </c>
      <c r="F50" t="s">
        <v>183</v>
      </c>
      <c r="H50" t="str" cm="1">
        <f t="array" ref="H50">_xlfn.TEXTJOIN(", ", TRUE, IF(I50:M50&gt;0, I$1:M$1, ""))</f>
        <v>Tech Application</v>
      </c>
      <c r="I50">
        <v>0</v>
      </c>
      <c r="J50">
        <v>2</v>
      </c>
      <c r="K50">
        <v>0</v>
      </c>
      <c r="L50">
        <v>0</v>
      </c>
      <c r="M50">
        <v>0</v>
      </c>
      <c r="N50">
        <v>0</v>
      </c>
    </row>
    <row r="51" spans="1:14" x14ac:dyDescent="0.35">
      <c r="A51" t="s">
        <v>6</v>
      </c>
      <c r="B51" t="s">
        <v>184</v>
      </c>
      <c r="C51" t="s">
        <v>185</v>
      </c>
      <c r="D51" t="s">
        <v>186</v>
      </c>
      <c r="E51" t="s">
        <v>50</v>
      </c>
      <c r="F51" t="s">
        <v>55</v>
      </c>
      <c r="H51" t="str" cm="1">
        <f t="array" ref="H51">_xlfn.TEXTJOIN(", ", TRUE, IF(I51:M51&gt;0, I$1:M$1, ""))</f>
        <v>Tech Application</v>
      </c>
      <c r="I51">
        <v>0</v>
      </c>
      <c r="J51">
        <v>2</v>
      </c>
      <c r="K51">
        <v>0</v>
      </c>
      <c r="L51">
        <v>0</v>
      </c>
      <c r="M51">
        <v>0</v>
      </c>
      <c r="N51">
        <v>0</v>
      </c>
    </row>
    <row r="52" spans="1:14" x14ac:dyDescent="0.35">
      <c r="A52" t="s">
        <v>6</v>
      </c>
      <c r="B52" t="s">
        <v>187</v>
      </c>
      <c r="C52" t="s">
        <v>172</v>
      </c>
      <c r="D52" t="s">
        <v>188</v>
      </c>
      <c r="E52" t="s">
        <v>59</v>
      </c>
      <c r="F52" t="s">
        <v>189</v>
      </c>
      <c r="H52" t="str" cm="1">
        <f t="array" ref="H52">_xlfn.TEXTJOIN(", ", TRUE, IF(I52:M52&gt;0, I$1:M$1, ""))</f>
        <v>Tech Application</v>
      </c>
      <c r="I52">
        <v>0</v>
      </c>
      <c r="J52">
        <v>2</v>
      </c>
      <c r="K52">
        <v>0</v>
      </c>
      <c r="L52">
        <v>0</v>
      </c>
      <c r="M52">
        <v>0</v>
      </c>
      <c r="N52">
        <v>0</v>
      </c>
    </row>
    <row r="53" spans="1:14" x14ac:dyDescent="0.35">
      <c r="A53" t="s">
        <v>6</v>
      </c>
      <c r="B53" t="s">
        <v>190</v>
      </c>
      <c r="C53" t="s">
        <v>191</v>
      </c>
      <c r="E53" t="s">
        <v>96</v>
      </c>
      <c r="F53" t="s">
        <v>51</v>
      </c>
      <c r="H53" t="str" cm="1">
        <f t="array" ref="H53">_xlfn.TEXTJOIN(", ", TRUE, IF(I53:M53&gt;0, I$1:M$1, ""))</f>
        <v/>
      </c>
      <c r="I53">
        <v>0</v>
      </c>
      <c r="J53">
        <v>0</v>
      </c>
      <c r="K53">
        <v>0</v>
      </c>
      <c r="L53">
        <v>0</v>
      </c>
      <c r="M53">
        <v>0</v>
      </c>
      <c r="N53">
        <v>0</v>
      </c>
    </row>
    <row r="54" spans="1:14" x14ac:dyDescent="0.35">
      <c r="A54" t="s">
        <v>6</v>
      </c>
      <c r="B54" t="s">
        <v>192</v>
      </c>
      <c r="C54" t="s">
        <v>193</v>
      </c>
      <c r="E54" t="s">
        <v>121</v>
      </c>
      <c r="F54" t="s">
        <v>55</v>
      </c>
      <c r="H54" t="str" cm="1">
        <f t="array" ref="H54">_xlfn.TEXTJOIN(", ", TRUE, IF(I54:M54&gt;0, I$1:M$1, ""))</f>
        <v>Semantic View</v>
      </c>
      <c r="I54">
        <v>0</v>
      </c>
      <c r="J54">
        <v>0</v>
      </c>
      <c r="K54">
        <v>0</v>
      </c>
      <c r="L54">
        <v>0</v>
      </c>
      <c r="M54">
        <v>8</v>
      </c>
      <c r="N54">
        <v>1</v>
      </c>
    </row>
    <row r="55" spans="1:14" x14ac:dyDescent="0.35">
      <c r="A55" t="s">
        <v>6</v>
      </c>
      <c r="B55" t="s">
        <v>194</v>
      </c>
      <c r="C55" t="s">
        <v>195</v>
      </c>
      <c r="E55" t="s">
        <v>96</v>
      </c>
      <c r="F55" t="s">
        <v>55</v>
      </c>
      <c r="H55" t="str" cm="1">
        <f t="array" ref="H55">_xlfn.TEXTJOIN(", ", TRUE, IF(I55:M55&gt;0, I$1:M$1, ""))</f>
        <v>Tech Application, Organisational View, Semantic View</v>
      </c>
      <c r="I55">
        <v>0</v>
      </c>
      <c r="J55">
        <v>4</v>
      </c>
      <c r="K55">
        <v>0</v>
      </c>
      <c r="L55">
        <v>1</v>
      </c>
      <c r="M55">
        <v>1</v>
      </c>
      <c r="N55">
        <v>0</v>
      </c>
    </row>
    <row r="56" spans="1:14" x14ac:dyDescent="0.35">
      <c r="A56" t="s">
        <v>6</v>
      </c>
      <c r="B56" t="s">
        <v>196</v>
      </c>
      <c r="D56" t="s">
        <v>197</v>
      </c>
      <c r="E56" t="s">
        <v>62</v>
      </c>
      <c r="F56" t="s">
        <v>198</v>
      </c>
      <c r="H56" t="str" cm="1">
        <f t="array" ref="H56">_xlfn.TEXTJOIN(", ", TRUE, IF(I56:M56&gt;0, I$1:M$1, ""))</f>
        <v>Organisational View</v>
      </c>
      <c r="I56">
        <v>0</v>
      </c>
      <c r="J56">
        <v>0</v>
      </c>
      <c r="K56">
        <v>0</v>
      </c>
      <c r="L56">
        <v>1</v>
      </c>
      <c r="M56">
        <v>0</v>
      </c>
      <c r="N56">
        <v>0</v>
      </c>
    </row>
    <row r="57" spans="1:14" x14ac:dyDescent="0.35">
      <c r="A57" t="s">
        <v>6</v>
      </c>
      <c r="B57" t="s">
        <v>199</v>
      </c>
      <c r="C57" t="s">
        <v>200</v>
      </c>
      <c r="E57" t="s">
        <v>66</v>
      </c>
      <c r="F57" t="s">
        <v>55</v>
      </c>
      <c r="H57" t="str" cm="1">
        <f t="array" ref="H57">_xlfn.TEXTJOIN(", ", TRUE, IF(I57:M57&gt;0, I$1:M$1, ""))</f>
        <v>Semantic View</v>
      </c>
      <c r="I57">
        <v>0</v>
      </c>
      <c r="J57">
        <v>0</v>
      </c>
      <c r="K57">
        <v>0</v>
      </c>
      <c r="L57">
        <v>0</v>
      </c>
      <c r="M57">
        <v>1</v>
      </c>
      <c r="N57">
        <v>0</v>
      </c>
    </row>
    <row r="58" spans="1:14" x14ac:dyDescent="0.35">
      <c r="A58" t="s">
        <v>6</v>
      </c>
      <c r="B58" t="s">
        <v>201</v>
      </c>
      <c r="E58" t="s">
        <v>66</v>
      </c>
      <c r="F58" t="s">
        <v>202</v>
      </c>
      <c r="H58" t="str" cm="1">
        <f t="array" ref="H58">_xlfn.TEXTJOIN(", ", TRUE, IF(I58:M58&gt;0, I$1:M$1, ""))</f>
        <v>Legal View</v>
      </c>
      <c r="I58">
        <v>0</v>
      </c>
      <c r="J58">
        <v>0</v>
      </c>
      <c r="K58">
        <v>9</v>
      </c>
      <c r="L58">
        <v>0</v>
      </c>
      <c r="M58">
        <v>0</v>
      </c>
      <c r="N58">
        <v>2</v>
      </c>
    </row>
    <row r="59" spans="1:14" x14ac:dyDescent="0.35">
      <c r="A59" t="s">
        <v>6</v>
      </c>
      <c r="B59" t="s">
        <v>203</v>
      </c>
      <c r="C59" t="s">
        <v>204</v>
      </c>
      <c r="D59" t="s">
        <v>205</v>
      </c>
      <c r="E59" t="s">
        <v>59</v>
      </c>
      <c r="F59" t="s">
        <v>206</v>
      </c>
      <c r="H59" t="str" cm="1">
        <f t="array" ref="H59">_xlfn.TEXTJOIN(", ", TRUE, IF(I59:M59&gt;0, I$1:M$1, ""))</f>
        <v>Tech Application</v>
      </c>
      <c r="I59">
        <v>0</v>
      </c>
      <c r="J59">
        <v>1</v>
      </c>
      <c r="K59">
        <v>0</v>
      </c>
      <c r="L59">
        <v>0</v>
      </c>
      <c r="M59">
        <v>0</v>
      </c>
      <c r="N59">
        <v>0</v>
      </c>
    </row>
    <row r="60" spans="1:14" x14ac:dyDescent="0.35">
      <c r="A60" t="s">
        <v>6</v>
      </c>
      <c r="B60" t="s">
        <v>207</v>
      </c>
      <c r="D60" t="s">
        <v>208</v>
      </c>
      <c r="E60" t="s">
        <v>69</v>
      </c>
      <c r="F60" t="s">
        <v>55</v>
      </c>
      <c r="H60" t="str" cm="1">
        <f t="array" ref="H60">_xlfn.TEXTJOIN(", ", TRUE, IF(I60:M60&gt;0, I$1:M$1, ""))</f>
        <v>Tech Application, Organisational View</v>
      </c>
      <c r="I60">
        <v>0</v>
      </c>
      <c r="J60">
        <v>2</v>
      </c>
      <c r="K60">
        <v>0</v>
      </c>
      <c r="L60">
        <v>1</v>
      </c>
      <c r="M60">
        <v>0</v>
      </c>
      <c r="N60">
        <v>0</v>
      </c>
    </row>
    <row r="61" spans="1:14" x14ac:dyDescent="0.35">
      <c r="A61" t="s">
        <v>6</v>
      </c>
      <c r="B61" t="s">
        <v>209</v>
      </c>
      <c r="E61" t="s">
        <v>62</v>
      </c>
      <c r="F61" t="s">
        <v>55</v>
      </c>
      <c r="H61" t="str" cm="1">
        <f t="array" ref="H61">_xlfn.TEXTJOIN(", ", TRUE, IF(I61:M61&gt;0, I$1:M$1, ""))</f>
        <v>Tech Application</v>
      </c>
      <c r="I61">
        <v>0</v>
      </c>
      <c r="J61">
        <v>1</v>
      </c>
      <c r="K61">
        <v>0</v>
      </c>
      <c r="L61">
        <v>0</v>
      </c>
      <c r="M61">
        <v>0</v>
      </c>
      <c r="N61">
        <v>0</v>
      </c>
    </row>
    <row r="62" spans="1:14" x14ac:dyDescent="0.35">
      <c r="A62" t="s">
        <v>6</v>
      </c>
      <c r="B62" t="s">
        <v>210</v>
      </c>
      <c r="C62" t="s">
        <v>211</v>
      </c>
      <c r="E62" t="s">
        <v>62</v>
      </c>
      <c r="F62" t="s">
        <v>51</v>
      </c>
      <c r="H62" t="str" cm="1">
        <f t="array" ref="H62">_xlfn.TEXTJOIN(", ", TRUE, IF(I62:M62&gt;0, I$1:M$1, ""))</f>
        <v>Semantic View</v>
      </c>
      <c r="I62">
        <v>0</v>
      </c>
      <c r="J62">
        <v>0</v>
      </c>
      <c r="K62">
        <v>0</v>
      </c>
      <c r="L62">
        <v>0</v>
      </c>
      <c r="M62">
        <v>6</v>
      </c>
      <c r="N62">
        <v>0</v>
      </c>
    </row>
    <row r="63" spans="1:14" x14ac:dyDescent="0.35">
      <c r="A63" t="s">
        <v>6</v>
      </c>
      <c r="B63" t="s">
        <v>212</v>
      </c>
      <c r="C63" t="s">
        <v>213</v>
      </c>
      <c r="E63" t="s">
        <v>214</v>
      </c>
      <c r="F63" t="s">
        <v>215</v>
      </c>
      <c r="H63" t="str" cm="1">
        <f t="array" ref="H63">_xlfn.TEXTJOIN(", ", TRUE, IF(I63:M63&gt;0, I$1:M$1, ""))</f>
        <v>Tech Application</v>
      </c>
      <c r="I63">
        <v>0</v>
      </c>
      <c r="J63">
        <v>2</v>
      </c>
      <c r="K63">
        <v>0</v>
      </c>
      <c r="L63">
        <v>0</v>
      </c>
      <c r="M63">
        <v>0</v>
      </c>
      <c r="N63">
        <v>0</v>
      </c>
    </row>
    <row r="64" spans="1:14" x14ac:dyDescent="0.35">
      <c r="A64" t="s">
        <v>6</v>
      </c>
      <c r="B64" t="s">
        <v>216</v>
      </c>
      <c r="C64" t="s">
        <v>217</v>
      </c>
      <c r="D64" t="s">
        <v>218</v>
      </c>
      <c r="E64" t="s">
        <v>62</v>
      </c>
      <c r="F64" t="s">
        <v>55</v>
      </c>
      <c r="H64" t="str" cm="1">
        <f t="array" ref="H64">_xlfn.TEXTJOIN(", ", TRUE, IF(I64:M64&gt;0, I$1:M$1, ""))</f>
        <v>Legal View</v>
      </c>
      <c r="I64">
        <v>0</v>
      </c>
      <c r="J64">
        <v>0</v>
      </c>
      <c r="K64">
        <v>4</v>
      </c>
      <c r="L64">
        <v>0</v>
      </c>
      <c r="M64">
        <v>0</v>
      </c>
      <c r="N64">
        <v>0</v>
      </c>
    </row>
    <row r="65" spans="1:14" x14ac:dyDescent="0.35">
      <c r="A65" t="s">
        <v>6</v>
      </c>
      <c r="B65" t="s">
        <v>219</v>
      </c>
      <c r="E65" t="s">
        <v>220</v>
      </c>
      <c r="F65" t="s">
        <v>51</v>
      </c>
      <c r="H65" t="str" cm="1">
        <f t="array" ref="H65">_xlfn.TEXTJOIN(", ", TRUE, IF(I65:M65&gt;0, I$1:M$1, ""))</f>
        <v>Semantic View</v>
      </c>
      <c r="I65">
        <v>0</v>
      </c>
      <c r="J65">
        <v>0</v>
      </c>
      <c r="K65">
        <v>0</v>
      </c>
      <c r="L65">
        <v>0</v>
      </c>
      <c r="M65">
        <v>2</v>
      </c>
      <c r="N65">
        <v>0</v>
      </c>
    </row>
    <row r="66" spans="1:14" x14ac:dyDescent="0.35">
      <c r="A66" t="s">
        <v>6</v>
      </c>
      <c r="B66" t="s">
        <v>221</v>
      </c>
      <c r="E66" t="s">
        <v>222</v>
      </c>
      <c r="F66" t="s">
        <v>55</v>
      </c>
      <c r="H66" t="str" cm="1">
        <f t="array" ref="H66">_xlfn.TEXTJOIN(", ", TRUE, IF(I66:M66&gt;0, I$1:M$1, ""))</f>
        <v>Tech Application</v>
      </c>
      <c r="I66">
        <v>0</v>
      </c>
      <c r="J66">
        <v>2</v>
      </c>
      <c r="K66">
        <v>0</v>
      </c>
      <c r="L66">
        <v>0</v>
      </c>
      <c r="M66">
        <v>0</v>
      </c>
      <c r="N66">
        <v>0</v>
      </c>
    </row>
    <row r="67" spans="1:14" x14ac:dyDescent="0.35">
      <c r="A67" t="s">
        <v>6</v>
      </c>
      <c r="B67" t="s">
        <v>223</v>
      </c>
      <c r="C67" t="s">
        <v>224</v>
      </c>
      <c r="E67" t="s">
        <v>96</v>
      </c>
      <c r="F67" t="s">
        <v>92</v>
      </c>
      <c r="H67" t="str" cm="1">
        <f t="array" ref="H67">_xlfn.TEXTJOIN(", ", TRUE, IF(I67:M67&gt;0, I$1:M$1, ""))</f>
        <v>Tech Application, Legal View, Organisational View</v>
      </c>
      <c r="I67">
        <v>0</v>
      </c>
      <c r="J67">
        <v>3</v>
      </c>
      <c r="K67">
        <v>2</v>
      </c>
      <c r="L67">
        <v>1</v>
      </c>
      <c r="M67">
        <v>0</v>
      </c>
      <c r="N67">
        <v>2</v>
      </c>
    </row>
    <row r="68" spans="1:14" x14ac:dyDescent="0.35">
      <c r="A68" t="s">
        <v>6</v>
      </c>
      <c r="B68" t="s">
        <v>225</v>
      </c>
      <c r="D68" t="s">
        <v>226</v>
      </c>
      <c r="E68" t="s">
        <v>69</v>
      </c>
      <c r="F68" t="s">
        <v>55</v>
      </c>
      <c r="H68" t="str" cm="1">
        <f t="array" ref="H68">_xlfn.TEXTJOIN(", ", TRUE, IF(I68:M68&gt;0, I$1:M$1, ""))</f>
        <v>Tech Infrastructure</v>
      </c>
      <c r="I68">
        <v>2</v>
      </c>
      <c r="J68">
        <v>0</v>
      </c>
      <c r="K68">
        <v>0</v>
      </c>
      <c r="L68">
        <v>0</v>
      </c>
      <c r="M68">
        <v>0</v>
      </c>
      <c r="N68">
        <v>0</v>
      </c>
    </row>
    <row r="69" spans="1:14" x14ac:dyDescent="0.35">
      <c r="A69" t="s">
        <v>6</v>
      </c>
      <c r="B69" t="s">
        <v>227</v>
      </c>
      <c r="C69" t="s">
        <v>228</v>
      </c>
      <c r="D69" t="s">
        <v>229</v>
      </c>
      <c r="E69" t="s">
        <v>230</v>
      </c>
      <c r="F69" t="s">
        <v>55</v>
      </c>
      <c r="H69" t="str" cm="1">
        <f t="array" ref="H69">_xlfn.TEXTJOIN(", ", TRUE, IF(I69:M69&gt;0, I$1:M$1, ""))</f>
        <v>Tech Infrastructure</v>
      </c>
      <c r="I69">
        <v>1</v>
      </c>
      <c r="J69">
        <v>0</v>
      </c>
      <c r="K69">
        <v>0</v>
      </c>
      <c r="L69">
        <v>0</v>
      </c>
      <c r="M69">
        <v>0</v>
      </c>
      <c r="N69">
        <v>0</v>
      </c>
    </row>
    <row r="70" spans="1:14" x14ac:dyDescent="0.35">
      <c r="A70" t="s">
        <v>6</v>
      </c>
      <c r="B70" t="s">
        <v>231</v>
      </c>
      <c r="E70" t="s">
        <v>232</v>
      </c>
      <c r="F70" t="s">
        <v>92</v>
      </c>
      <c r="H70" t="str" cm="1">
        <f t="array" ref="H70">_xlfn.TEXTJOIN(", ", TRUE, IF(I70:M70&gt;0, I$1:M$1, ""))</f>
        <v>Tech Application</v>
      </c>
      <c r="I70">
        <v>0</v>
      </c>
      <c r="J70">
        <v>1</v>
      </c>
      <c r="K70">
        <v>0</v>
      </c>
      <c r="L70">
        <v>0</v>
      </c>
      <c r="M70">
        <v>0</v>
      </c>
      <c r="N70">
        <v>0</v>
      </c>
    </row>
    <row r="71" spans="1:14" x14ac:dyDescent="0.35">
      <c r="A71" t="s">
        <v>6</v>
      </c>
      <c r="B71" t="s">
        <v>233</v>
      </c>
      <c r="E71" t="s">
        <v>69</v>
      </c>
      <c r="F71" t="s">
        <v>55</v>
      </c>
      <c r="H71" t="str" cm="1">
        <f t="array" ref="H71">_xlfn.TEXTJOIN(", ", TRUE, IF(I71:M71&gt;0, I$1:M$1, ""))</f>
        <v>Tech Application</v>
      </c>
      <c r="I71">
        <v>0</v>
      </c>
      <c r="J71">
        <v>4</v>
      </c>
      <c r="K71">
        <v>0</v>
      </c>
      <c r="L71">
        <v>0</v>
      </c>
      <c r="M71">
        <v>0</v>
      </c>
      <c r="N71">
        <v>0</v>
      </c>
    </row>
    <row r="72" spans="1:14" x14ac:dyDescent="0.35">
      <c r="A72" t="s">
        <v>6</v>
      </c>
      <c r="B72" t="s">
        <v>234</v>
      </c>
      <c r="E72" t="s">
        <v>99</v>
      </c>
      <c r="F72" t="s">
        <v>235</v>
      </c>
      <c r="H72" t="str" cm="1">
        <f t="array" ref="H72">_xlfn.TEXTJOIN(", ", TRUE, IF(I72:M72&gt;0, I$1:M$1, ""))</f>
        <v>Semantic View</v>
      </c>
      <c r="I72">
        <v>0</v>
      </c>
      <c r="J72">
        <v>0</v>
      </c>
      <c r="K72">
        <v>0</v>
      </c>
      <c r="L72">
        <v>0</v>
      </c>
      <c r="M72">
        <v>1</v>
      </c>
      <c r="N72">
        <v>0</v>
      </c>
    </row>
    <row r="73" spans="1:14" x14ac:dyDescent="0.35">
      <c r="A73" t="s">
        <v>6</v>
      </c>
      <c r="B73" t="s">
        <v>236</v>
      </c>
      <c r="C73" t="s">
        <v>237</v>
      </c>
      <c r="E73" t="s">
        <v>86</v>
      </c>
      <c r="F73" t="s">
        <v>55</v>
      </c>
      <c r="H73" t="str" cm="1">
        <f t="array" ref="H73">_xlfn.TEXTJOIN(", ", TRUE, IF(I73:M73&gt;0, I$1:M$1, ""))</f>
        <v>Tech Application</v>
      </c>
      <c r="I73">
        <v>0</v>
      </c>
      <c r="J73">
        <v>3</v>
      </c>
      <c r="K73">
        <v>0</v>
      </c>
      <c r="L73">
        <v>0</v>
      </c>
      <c r="M73">
        <v>0</v>
      </c>
      <c r="N73">
        <v>0</v>
      </c>
    </row>
    <row r="74" spans="1:14" x14ac:dyDescent="0.35">
      <c r="A74" t="s">
        <v>6</v>
      </c>
      <c r="B74" t="s">
        <v>238</v>
      </c>
      <c r="D74" t="s">
        <v>239</v>
      </c>
      <c r="E74" t="s">
        <v>230</v>
      </c>
      <c r="F74" t="s">
        <v>55</v>
      </c>
      <c r="H74" t="str" cm="1">
        <f t="array" ref="H74">_xlfn.TEXTJOIN(", ", TRUE, IF(I74:M74&gt;0, I$1:M$1, ""))</f>
        <v>Organisational View</v>
      </c>
      <c r="I74">
        <v>0</v>
      </c>
      <c r="J74">
        <v>0</v>
      </c>
      <c r="K74">
        <v>0</v>
      </c>
      <c r="L74">
        <v>1</v>
      </c>
      <c r="M74">
        <v>0</v>
      </c>
      <c r="N74">
        <v>0</v>
      </c>
    </row>
    <row r="75" spans="1:14" x14ac:dyDescent="0.35">
      <c r="A75" t="s">
        <v>6</v>
      </c>
      <c r="B75" t="s">
        <v>240</v>
      </c>
      <c r="C75" t="s">
        <v>241</v>
      </c>
      <c r="E75" t="s">
        <v>91</v>
      </c>
      <c r="F75" t="s">
        <v>180</v>
      </c>
      <c r="H75" t="str" cm="1">
        <f t="array" ref="H75">_xlfn.TEXTJOIN(", ", TRUE, IF(I75:M75&gt;0, I$1:M$1, ""))</f>
        <v>Tech Application</v>
      </c>
      <c r="I75">
        <v>0</v>
      </c>
      <c r="J75">
        <v>1</v>
      </c>
      <c r="K75">
        <v>0</v>
      </c>
      <c r="L75">
        <v>0</v>
      </c>
      <c r="M75">
        <v>0</v>
      </c>
      <c r="N75">
        <v>0</v>
      </c>
    </row>
    <row r="76" spans="1:14" x14ac:dyDescent="0.35">
      <c r="A76" t="s">
        <v>6</v>
      </c>
      <c r="B76" t="s">
        <v>242</v>
      </c>
      <c r="D76" t="s">
        <v>243</v>
      </c>
      <c r="E76" t="s">
        <v>244</v>
      </c>
      <c r="F76" t="s">
        <v>55</v>
      </c>
      <c r="H76" t="str" cm="1">
        <f t="array" ref="H76">_xlfn.TEXTJOIN(", ", TRUE, IF(I76:M76&gt;0, I$1:M$1, ""))</f>
        <v>Organisational View</v>
      </c>
      <c r="I76">
        <v>0</v>
      </c>
      <c r="J76">
        <v>0</v>
      </c>
      <c r="K76">
        <v>0</v>
      </c>
      <c r="L76">
        <v>1</v>
      </c>
      <c r="M76">
        <v>0</v>
      </c>
      <c r="N76">
        <v>1</v>
      </c>
    </row>
    <row r="77" spans="1:14" x14ac:dyDescent="0.35">
      <c r="A77" t="s">
        <v>6</v>
      </c>
      <c r="B77" t="s">
        <v>245</v>
      </c>
      <c r="C77" t="s">
        <v>246</v>
      </c>
      <c r="E77" t="s">
        <v>121</v>
      </c>
      <c r="F77" t="s">
        <v>55</v>
      </c>
      <c r="H77" t="str" cm="1">
        <f t="array" ref="H77">_xlfn.TEXTJOIN(", ", TRUE, IF(I77:M77&gt;0, I$1:M$1, ""))</f>
        <v>Tech Application</v>
      </c>
      <c r="I77">
        <v>0</v>
      </c>
      <c r="J77">
        <v>2</v>
      </c>
      <c r="K77">
        <v>0</v>
      </c>
      <c r="L77">
        <v>0</v>
      </c>
      <c r="M77">
        <v>0</v>
      </c>
      <c r="N77">
        <v>0</v>
      </c>
    </row>
    <row r="78" spans="1:14" x14ac:dyDescent="0.35">
      <c r="A78" t="s">
        <v>6</v>
      </c>
      <c r="B78" t="s">
        <v>247</v>
      </c>
      <c r="D78" t="s">
        <v>248</v>
      </c>
      <c r="E78" t="s">
        <v>59</v>
      </c>
      <c r="F78" t="s">
        <v>249</v>
      </c>
      <c r="H78" t="str" cm="1">
        <f t="array" ref="H78">_xlfn.TEXTJOIN(", ", TRUE, IF(I78:M78&gt;0, I$1:M$1, ""))</f>
        <v>Tech Application</v>
      </c>
      <c r="I78">
        <v>0</v>
      </c>
      <c r="J78">
        <v>4</v>
      </c>
      <c r="K78">
        <v>0</v>
      </c>
      <c r="L78">
        <v>0</v>
      </c>
      <c r="M78">
        <v>0</v>
      </c>
      <c r="N78">
        <v>0</v>
      </c>
    </row>
    <row r="79" spans="1:14" x14ac:dyDescent="0.35">
      <c r="A79" t="s">
        <v>6</v>
      </c>
      <c r="B79" t="s">
        <v>250</v>
      </c>
      <c r="C79" t="s">
        <v>251</v>
      </c>
      <c r="E79" t="s">
        <v>252</v>
      </c>
      <c r="F79" t="s">
        <v>55</v>
      </c>
      <c r="H79" t="str" cm="1">
        <f t="array" ref="H79">_xlfn.TEXTJOIN(", ", TRUE, IF(I79:M79&gt;0, I$1:M$1, ""))</f>
        <v>Tech Application, Semantic View</v>
      </c>
      <c r="I79">
        <v>0</v>
      </c>
      <c r="J79">
        <v>2</v>
      </c>
      <c r="K79">
        <v>0</v>
      </c>
      <c r="L79">
        <v>0</v>
      </c>
      <c r="M79">
        <v>4</v>
      </c>
      <c r="N79">
        <v>0</v>
      </c>
    </row>
    <row r="80" spans="1:14" x14ac:dyDescent="0.35">
      <c r="A80" t="s">
        <v>6</v>
      </c>
      <c r="B80" t="s">
        <v>253</v>
      </c>
      <c r="C80" t="s">
        <v>254</v>
      </c>
      <c r="E80" t="s">
        <v>50</v>
      </c>
      <c r="F80" t="s">
        <v>255</v>
      </c>
      <c r="H80" t="str" cm="1">
        <f t="array" ref="H80">_xlfn.TEXTJOIN(", ", TRUE, IF(I80:M80&gt;0, I$1:M$1, ""))</f>
        <v>Tech Application</v>
      </c>
      <c r="I80">
        <v>0</v>
      </c>
      <c r="J80">
        <v>2</v>
      </c>
      <c r="K80">
        <v>0</v>
      </c>
      <c r="L80">
        <v>0</v>
      </c>
      <c r="M80">
        <v>0</v>
      </c>
      <c r="N80">
        <v>0</v>
      </c>
    </row>
    <row r="81" spans="1:14" x14ac:dyDescent="0.35">
      <c r="A81" t="s">
        <v>6</v>
      </c>
      <c r="B81" t="s">
        <v>256</v>
      </c>
      <c r="E81" t="s">
        <v>62</v>
      </c>
      <c r="F81" t="s">
        <v>55</v>
      </c>
      <c r="H81" t="str" cm="1">
        <f t="array" ref="H81">_xlfn.TEXTJOIN(", ", TRUE, IF(I81:M81&gt;0, I$1:M$1, ""))</f>
        <v>Tech Application, Organisational View</v>
      </c>
      <c r="I81">
        <v>0</v>
      </c>
      <c r="J81">
        <v>1</v>
      </c>
      <c r="K81">
        <v>0</v>
      </c>
      <c r="L81">
        <v>1</v>
      </c>
      <c r="M81">
        <v>0</v>
      </c>
      <c r="N81">
        <v>0</v>
      </c>
    </row>
    <row r="82" spans="1:14" x14ac:dyDescent="0.35">
      <c r="A82" t="s">
        <v>6</v>
      </c>
      <c r="B82" t="s">
        <v>257</v>
      </c>
      <c r="D82" t="s">
        <v>258</v>
      </c>
      <c r="E82" t="s">
        <v>59</v>
      </c>
      <c r="F82" t="s">
        <v>100</v>
      </c>
      <c r="H82" t="str" cm="1">
        <f t="array" ref="H82">_xlfn.TEXTJOIN(", ", TRUE, IF(I82:M82&gt;0, I$1:M$1, ""))</f>
        <v>Tech Application, Organisational View, Semantic View</v>
      </c>
      <c r="I82">
        <v>0</v>
      </c>
      <c r="J82">
        <v>2</v>
      </c>
      <c r="K82">
        <v>0</v>
      </c>
      <c r="L82">
        <v>1</v>
      </c>
      <c r="M82">
        <v>1</v>
      </c>
      <c r="N82">
        <v>0</v>
      </c>
    </row>
    <row r="83" spans="1:14" x14ac:dyDescent="0.35">
      <c r="A83" t="s">
        <v>6</v>
      </c>
      <c r="B83" t="s">
        <v>259</v>
      </c>
      <c r="C83" t="s">
        <v>260</v>
      </c>
      <c r="E83" t="s">
        <v>261</v>
      </c>
      <c r="F83" t="s">
        <v>55</v>
      </c>
      <c r="H83" t="str" cm="1">
        <f t="array" ref="H83">_xlfn.TEXTJOIN(", ", TRUE, IF(I83:M83&gt;0, I$1:M$1, ""))</f>
        <v>Tech Application, Semantic View</v>
      </c>
      <c r="I83">
        <v>0</v>
      </c>
      <c r="J83">
        <v>2</v>
      </c>
      <c r="K83">
        <v>0</v>
      </c>
      <c r="L83">
        <v>0</v>
      </c>
      <c r="M83">
        <v>7</v>
      </c>
      <c r="N83">
        <v>0</v>
      </c>
    </row>
    <row r="84" spans="1:14" x14ac:dyDescent="0.35">
      <c r="A84" t="s">
        <v>6</v>
      </c>
      <c r="B84" t="s">
        <v>262</v>
      </c>
      <c r="D84" t="s">
        <v>262</v>
      </c>
      <c r="E84" t="s">
        <v>59</v>
      </c>
      <c r="F84" t="s">
        <v>189</v>
      </c>
      <c r="H84" t="str" cm="1">
        <f t="array" ref="H84">_xlfn.TEXTJOIN(", ", TRUE, IF(I84:M84&gt;0, I$1:M$1, ""))</f>
        <v>Tech Application, Semantic View</v>
      </c>
      <c r="I84">
        <v>0</v>
      </c>
      <c r="J84">
        <v>3</v>
      </c>
      <c r="K84">
        <v>0</v>
      </c>
      <c r="L84">
        <v>0</v>
      </c>
      <c r="M84">
        <v>2</v>
      </c>
      <c r="N84">
        <v>0</v>
      </c>
    </row>
    <row r="85" spans="1:14" x14ac:dyDescent="0.35">
      <c r="A85" t="s">
        <v>6</v>
      </c>
      <c r="B85" t="s">
        <v>263</v>
      </c>
      <c r="C85" t="s">
        <v>172</v>
      </c>
      <c r="D85" t="s">
        <v>264</v>
      </c>
      <c r="E85" t="s">
        <v>59</v>
      </c>
      <c r="F85" t="s">
        <v>100</v>
      </c>
      <c r="H85" t="str" cm="1">
        <f t="array" ref="H85">_xlfn.TEXTJOIN(", ", TRUE, IF(I85:M85&gt;0, I$1:M$1, ""))</f>
        <v>Tech Infrastructure</v>
      </c>
      <c r="I85">
        <v>1</v>
      </c>
      <c r="J85">
        <v>0</v>
      </c>
      <c r="K85">
        <v>0</v>
      </c>
      <c r="L85">
        <v>0</v>
      </c>
      <c r="M85">
        <v>0</v>
      </c>
      <c r="N85">
        <v>0</v>
      </c>
    </row>
    <row r="86" spans="1:14" x14ac:dyDescent="0.35">
      <c r="A86" t="s">
        <v>6</v>
      </c>
      <c r="B86" t="s">
        <v>265</v>
      </c>
      <c r="C86" t="s">
        <v>266</v>
      </c>
      <c r="E86" t="s">
        <v>50</v>
      </c>
      <c r="F86" t="s">
        <v>267</v>
      </c>
      <c r="H86" t="str" cm="1">
        <f t="array" ref="H86">_xlfn.TEXTJOIN(", ", TRUE, IF(I86:M86&gt;0, I$1:M$1, ""))</f>
        <v>Tech Infrastructure</v>
      </c>
      <c r="I86">
        <v>1</v>
      </c>
      <c r="J86">
        <v>0</v>
      </c>
      <c r="K86">
        <v>0</v>
      </c>
      <c r="L86">
        <v>0</v>
      </c>
      <c r="M86">
        <v>0</v>
      </c>
      <c r="N86">
        <v>0</v>
      </c>
    </row>
    <row r="87" spans="1:14" x14ac:dyDescent="0.35">
      <c r="A87" t="s">
        <v>6</v>
      </c>
      <c r="B87" t="s">
        <v>268</v>
      </c>
      <c r="D87" t="s">
        <v>269</v>
      </c>
      <c r="E87" t="s">
        <v>66</v>
      </c>
      <c r="F87" t="s">
        <v>270</v>
      </c>
      <c r="H87" t="str" cm="1">
        <f t="array" ref="H87">_xlfn.TEXTJOIN(", ", TRUE, IF(I87:M87&gt;0, I$1:M$1, ""))</f>
        <v>Legal View</v>
      </c>
      <c r="I87">
        <v>0</v>
      </c>
      <c r="J87">
        <v>0</v>
      </c>
      <c r="K87">
        <v>1</v>
      </c>
      <c r="L87">
        <v>0</v>
      </c>
      <c r="M87">
        <v>0</v>
      </c>
      <c r="N87">
        <v>0</v>
      </c>
    </row>
    <row r="88" spans="1:14" x14ac:dyDescent="0.35">
      <c r="A88" t="s">
        <v>6</v>
      </c>
      <c r="B88" t="s">
        <v>271</v>
      </c>
      <c r="D88" t="s">
        <v>272</v>
      </c>
      <c r="E88" t="s">
        <v>62</v>
      </c>
      <c r="F88" t="s">
        <v>273</v>
      </c>
      <c r="H88" t="str" cm="1">
        <f t="array" ref="H88">_xlfn.TEXTJOIN(", ", TRUE, IF(I88:M88&gt;0, I$1:M$1, ""))</f>
        <v>Legal View</v>
      </c>
      <c r="I88">
        <v>0</v>
      </c>
      <c r="J88">
        <v>0</v>
      </c>
      <c r="K88">
        <v>1</v>
      </c>
      <c r="L88">
        <v>0</v>
      </c>
      <c r="M88">
        <v>0</v>
      </c>
      <c r="N88">
        <v>0</v>
      </c>
    </row>
    <row r="89" spans="1:14" x14ac:dyDescent="0.35">
      <c r="A89" t="s">
        <v>6</v>
      </c>
      <c r="B89" t="s">
        <v>274</v>
      </c>
      <c r="C89" t="s">
        <v>275</v>
      </c>
      <c r="E89" t="s">
        <v>121</v>
      </c>
      <c r="F89" t="s">
        <v>276</v>
      </c>
      <c r="H89" t="str" cm="1">
        <f t="array" ref="H89">_xlfn.TEXTJOIN(", ", TRUE, IF(I89:M89&gt;0, I$1:M$1, ""))</f>
        <v>Tech Application</v>
      </c>
      <c r="I89">
        <v>0</v>
      </c>
      <c r="J89">
        <v>2</v>
      </c>
      <c r="K89">
        <v>0</v>
      </c>
      <c r="L89">
        <v>0</v>
      </c>
      <c r="M89">
        <v>0</v>
      </c>
      <c r="N89">
        <v>1</v>
      </c>
    </row>
    <row r="90" spans="1:14" x14ac:dyDescent="0.35">
      <c r="A90" t="s">
        <v>6</v>
      </c>
      <c r="B90" t="s">
        <v>277</v>
      </c>
      <c r="D90" t="s">
        <v>278</v>
      </c>
      <c r="E90" t="s">
        <v>124</v>
      </c>
      <c r="F90" t="s">
        <v>180</v>
      </c>
      <c r="H90" t="str" cm="1">
        <f t="array" ref="H90">_xlfn.TEXTJOIN(", ", TRUE, IF(I90:M90&gt;0, I$1:M$1, ""))</f>
        <v>Tech Application</v>
      </c>
      <c r="I90">
        <v>0</v>
      </c>
      <c r="J90">
        <v>2</v>
      </c>
      <c r="K90">
        <v>0</v>
      </c>
      <c r="L90">
        <v>0</v>
      </c>
      <c r="M90">
        <v>0</v>
      </c>
      <c r="N90">
        <v>0</v>
      </c>
    </row>
    <row r="91" spans="1:14" x14ac:dyDescent="0.35">
      <c r="A91" t="s">
        <v>6</v>
      </c>
      <c r="B91" t="s">
        <v>279</v>
      </c>
      <c r="C91" t="s">
        <v>280</v>
      </c>
      <c r="E91" t="s">
        <v>121</v>
      </c>
      <c r="F91" t="s">
        <v>281</v>
      </c>
      <c r="H91" t="str" cm="1">
        <f t="array" ref="H91">_xlfn.TEXTJOIN(", ", TRUE, IF(I91:M91&gt;0, I$1:M$1, ""))</f>
        <v>Semantic View</v>
      </c>
      <c r="I91">
        <v>0</v>
      </c>
      <c r="J91">
        <v>0</v>
      </c>
      <c r="K91">
        <v>0</v>
      </c>
      <c r="L91">
        <v>0</v>
      </c>
      <c r="M91">
        <v>4</v>
      </c>
      <c r="N91">
        <v>0</v>
      </c>
    </row>
    <row r="92" spans="1:14" x14ac:dyDescent="0.35">
      <c r="A92" t="s">
        <v>6</v>
      </c>
      <c r="B92" t="s">
        <v>282</v>
      </c>
      <c r="C92" t="s">
        <v>283</v>
      </c>
      <c r="E92" t="s">
        <v>96</v>
      </c>
      <c r="F92" t="s">
        <v>55</v>
      </c>
      <c r="H92" t="str" cm="1">
        <f t="array" ref="H92">_xlfn.TEXTJOIN(", ", TRUE, IF(I92:M92&gt;0, I$1:M$1, ""))</f>
        <v>Tech Application, Organisational View</v>
      </c>
      <c r="I92">
        <v>0</v>
      </c>
      <c r="J92">
        <v>2</v>
      </c>
      <c r="K92">
        <v>0</v>
      </c>
      <c r="L92">
        <v>1</v>
      </c>
      <c r="M92">
        <v>0</v>
      </c>
      <c r="N92">
        <v>0</v>
      </c>
    </row>
    <row r="93" spans="1:14" x14ac:dyDescent="0.35">
      <c r="A93" t="s">
        <v>6</v>
      </c>
      <c r="B93" t="s">
        <v>284</v>
      </c>
      <c r="E93" t="s">
        <v>62</v>
      </c>
      <c r="F93" t="s">
        <v>285</v>
      </c>
      <c r="H93" t="str" cm="1">
        <f t="array" ref="H93">_xlfn.TEXTJOIN(", ", TRUE, IF(I93:M93&gt;0, I$1:M$1, ""))</f>
        <v/>
      </c>
      <c r="I93">
        <v>0</v>
      </c>
      <c r="J93">
        <v>0</v>
      </c>
      <c r="K93">
        <v>0</v>
      </c>
      <c r="L93">
        <v>0</v>
      </c>
      <c r="M93">
        <v>0</v>
      </c>
      <c r="N93">
        <v>0</v>
      </c>
    </row>
    <row r="94" spans="1:14" x14ac:dyDescent="0.35">
      <c r="A94" t="s">
        <v>6</v>
      </c>
      <c r="B94" t="s">
        <v>286</v>
      </c>
      <c r="D94" t="s">
        <v>287</v>
      </c>
      <c r="E94" t="s">
        <v>230</v>
      </c>
      <c r="F94" t="s">
        <v>55</v>
      </c>
      <c r="H94" t="str" cm="1">
        <f t="array" ref="H94">_xlfn.TEXTJOIN(", ", TRUE, IF(I94:M94&gt;0, I$1:M$1, ""))</f>
        <v>Tech Infrastructure</v>
      </c>
      <c r="I94">
        <v>2</v>
      </c>
      <c r="J94">
        <v>0</v>
      </c>
      <c r="K94">
        <v>0</v>
      </c>
      <c r="L94">
        <v>0</v>
      </c>
      <c r="M94">
        <v>0</v>
      </c>
      <c r="N94">
        <v>0</v>
      </c>
    </row>
    <row r="95" spans="1:14" x14ac:dyDescent="0.35">
      <c r="A95" t="s">
        <v>6</v>
      </c>
      <c r="B95" t="s">
        <v>288</v>
      </c>
      <c r="C95" t="s">
        <v>289</v>
      </c>
      <c r="E95" t="s">
        <v>290</v>
      </c>
      <c r="F95" t="s">
        <v>291</v>
      </c>
      <c r="H95" t="str" cm="1">
        <f t="array" ref="H95">_xlfn.TEXTJOIN(", ", TRUE, IF(I95:M95&gt;0, I$1:M$1, ""))</f>
        <v>Tech Infrastructure</v>
      </c>
      <c r="I95">
        <v>6</v>
      </c>
      <c r="J95">
        <v>0</v>
      </c>
      <c r="K95">
        <v>0</v>
      </c>
      <c r="L95">
        <v>0</v>
      </c>
      <c r="M95">
        <v>0</v>
      </c>
      <c r="N95">
        <v>0</v>
      </c>
    </row>
    <row r="96" spans="1:14" x14ac:dyDescent="0.35">
      <c r="A96" t="s">
        <v>6</v>
      </c>
      <c r="B96" t="s">
        <v>292</v>
      </c>
      <c r="E96" t="s">
        <v>293</v>
      </c>
      <c r="F96" t="s">
        <v>55</v>
      </c>
      <c r="H96" t="str" cm="1">
        <f t="array" ref="H96">_xlfn.TEXTJOIN(", ", TRUE, IF(I96:M96&gt;0, I$1:M$1, ""))</f>
        <v/>
      </c>
      <c r="I96">
        <v>0</v>
      </c>
      <c r="J96">
        <v>0</v>
      </c>
      <c r="K96">
        <v>0</v>
      </c>
      <c r="L96">
        <v>0</v>
      </c>
      <c r="M96">
        <v>0</v>
      </c>
      <c r="N96">
        <v>0</v>
      </c>
    </row>
    <row r="97" spans="1:14" x14ac:dyDescent="0.35">
      <c r="A97" t="s">
        <v>6</v>
      </c>
      <c r="B97" t="s">
        <v>294</v>
      </c>
      <c r="D97" t="s">
        <v>295</v>
      </c>
      <c r="E97" t="s">
        <v>124</v>
      </c>
      <c r="F97" t="s">
        <v>100</v>
      </c>
      <c r="H97" t="str" cm="1">
        <f t="array" ref="H97">_xlfn.TEXTJOIN(", ", TRUE, IF(I97:M97&gt;0, I$1:M$1, ""))</f>
        <v>Tech Application</v>
      </c>
      <c r="I97">
        <v>0</v>
      </c>
      <c r="J97">
        <v>4</v>
      </c>
      <c r="K97">
        <v>0</v>
      </c>
      <c r="L97">
        <v>0</v>
      </c>
      <c r="M97">
        <v>0</v>
      </c>
      <c r="N97">
        <v>0</v>
      </c>
    </row>
    <row r="98" spans="1:14" x14ac:dyDescent="0.35">
      <c r="A98" t="s">
        <v>6</v>
      </c>
      <c r="B98" t="s">
        <v>296</v>
      </c>
      <c r="C98" t="s">
        <v>297</v>
      </c>
      <c r="E98" t="s">
        <v>121</v>
      </c>
      <c r="F98" t="s">
        <v>55</v>
      </c>
      <c r="H98" t="str" cm="1">
        <f t="array" ref="H98">_xlfn.TEXTJOIN(", ", TRUE, IF(I98:M98&gt;0, I$1:M$1, ""))</f>
        <v>Semantic View</v>
      </c>
      <c r="I98">
        <v>0</v>
      </c>
      <c r="J98">
        <v>0</v>
      </c>
      <c r="K98">
        <v>0</v>
      </c>
      <c r="L98">
        <v>0</v>
      </c>
      <c r="M98">
        <v>1</v>
      </c>
      <c r="N98">
        <v>0</v>
      </c>
    </row>
    <row r="99" spans="1:14" x14ac:dyDescent="0.35">
      <c r="A99" t="s">
        <v>6</v>
      </c>
      <c r="B99" t="s">
        <v>298</v>
      </c>
      <c r="E99" t="s">
        <v>62</v>
      </c>
      <c r="F99" t="s">
        <v>51</v>
      </c>
      <c r="H99" t="str" cm="1">
        <f t="array" ref="H99">_xlfn.TEXTJOIN(", ", TRUE, IF(I99:M99&gt;0, I$1:M$1, ""))</f>
        <v>Tech Application</v>
      </c>
      <c r="I99">
        <v>0</v>
      </c>
      <c r="J99">
        <v>2</v>
      </c>
      <c r="K99">
        <v>0</v>
      </c>
      <c r="L99">
        <v>0</v>
      </c>
      <c r="M99">
        <v>0</v>
      </c>
      <c r="N99">
        <v>0</v>
      </c>
    </row>
    <row r="100" spans="1:14" x14ac:dyDescent="0.35">
      <c r="A100" t="s">
        <v>6</v>
      </c>
      <c r="B100" t="s">
        <v>299</v>
      </c>
      <c r="C100" t="s">
        <v>300</v>
      </c>
      <c r="E100" t="s">
        <v>301</v>
      </c>
      <c r="F100" t="s">
        <v>97</v>
      </c>
      <c r="H100" t="str" cm="1">
        <f t="array" ref="H100">_xlfn.TEXTJOIN(", ", TRUE, IF(I100:M100&gt;0, I$1:M$1, ""))</f>
        <v>Tech Infrastructure</v>
      </c>
      <c r="I100">
        <v>1</v>
      </c>
      <c r="J100">
        <v>0</v>
      </c>
      <c r="K100">
        <v>0</v>
      </c>
      <c r="L100">
        <v>0</v>
      </c>
      <c r="M100">
        <v>0</v>
      </c>
      <c r="N100">
        <v>0</v>
      </c>
    </row>
    <row r="101" spans="1:14" x14ac:dyDescent="0.35">
      <c r="A101" t="s">
        <v>6</v>
      </c>
      <c r="B101" t="s">
        <v>302</v>
      </c>
      <c r="C101" t="s">
        <v>303</v>
      </c>
      <c r="E101" t="s">
        <v>304</v>
      </c>
      <c r="F101" t="s">
        <v>305</v>
      </c>
      <c r="H101" t="str" cm="1">
        <f t="array" ref="H101">_xlfn.TEXTJOIN(", ", TRUE, IF(I101:M101&gt;0, I$1:M$1, ""))</f>
        <v>Tech Infrastructure</v>
      </c>
      <c r="I101">
        <v>1</v>
      </c>
      <c r="J101">
        <v>0</v>
      </c>
      <c r="K101">
        <v>0</v>
      </c>
      <c r="L101">
        <v>0</v>
      </c>
      <c r="M101">
        <v>0</v>
      </c>
      <c r="N101">
        <v>0</v>
      </c>
    </row>
    <row r="102" spans="1:14" x14ac:dyDescent="0.35">
      <c r="A102" t="s">
        <v>6</v>
      </c>
      <c r="B102" t="s">
        <v>306</v>
      </c>
      <c r="C102" t="s">
        <v>307</v>
      </c>
      <c r="E102" t="s">
        <v>308</v>
      </c>
      <c r="F102" t="s">
        <v>55</v>
      </c>
      <c r="H102" t="str" cm="1">
        <f t="array" ref="H102">_xlfn.TEXTJOIN(", ", TRUE, IF(I102:M102&gt;0, I$1:M$1, ""))</f>
        <v>Tech Infrastructure</v>
      </c>
      <c r="I102">
        <v>6</v>
      </c>
      <c r="J102">
        <v>0</v>
      </c>
      <c r="K102">
        <v>0</v>
      </c>
      <c r="L102">
        <v>0</v>
      </c>
      <c r="M102">
        <v>0</v>
      </c>
      <c r="N102">
        <v>0</v>
      </c>
    </row>
    <row r="103" spans="1:14" x14ac:dyDescent="0.35">
      <c r="A103" t="s">
        <v>6</v>
      </c>
      <c r="B103" t="s">
        <v>309</v>
      </c>
      <c r="C103" t="s">
        <v>310</v>
      </c>
      <c r="E103" t="s">
        <v>311</v>
      </c>
      <c r="F103" t="s">
        <v>152</v>
      </c>
      <c r="H103" t="str" cm="1">
        <f t="array" ref="H103">_xlfn.TEXTJOIN(", ", TRUE, IF(I103:M103&gt;0, I$1:M$1, ""))</f>
        <v>Semantic View</v>
      </c>
      <c r="I103">
        <v>0</v>
      </c>
      <c r="J103">
        <v>0</v>
      </c>
      <c r="K103">
        <v>0</v>
      </c>
      <c r="L103">
        <v>0</v>
      </c>
      <c r="M103">
        <v>2</v>
      </c>
      <c r="N103">
        <v>0</v>
      </c>
    </row>
    <row r="104" spans="1:14" x14ac:dyDescent="0.35">
      <c r="A104" t="s">
        <v>6</v>
      </c>
      <c r="B104" t="s">
        <v>312</v>
      </c>
      <c r="C104" t="s">
        <v>313</v>
      </c>
      <c r="E104" t="s">
        <v>230</v>
      </c>
      <c r="F104" t="s">
        <v>314</v>
      </c>
      <c r="H104" t="str" cm="1">
        <f t="array" ref="H104">_xlfn.TEXTJOIN(", ", TRUE, IF(I104:M104&gt;0, I$1:M$1, ""))</f>
        <v/>
      </c>
      <c r="I104">
        <v>0</v>
      </c>
      <c r="J104">
        <v>0</v>
      </c>
      <c r="K104">
        <v>0</v>
      </c>
      <c r="L104">
        <v>0</v>
      </c>
      <c r="M104">
        <v>0</v>
      </c>
      <c r="N104">
        <v>0</v>
      </c>
    </row>
    <row r="105" spans="1:14" x14ac:dyDescent="0.35">
      <c r="A105" t="s">
        <v>6</v>
      </c>
      <c r="B105" t="s">
        <v>315</v>
      </c>
      <c r="D105" t="s">
        <v>316</v>
      </c>
      <c r="E105" t="s">
        <v>230</v>
      </c>
      <c r="F105" t="s">
        <v>55</v>
      </c>
      <c r="H105" t="str" cm="1">
        <f t="array" ref="H105">_xlfn.TEXTJOIN(", ", TRUE, IF(I105:M105&gt;0, I$1:M$1, ""))</f>
        <v>Organisational View</v>
      </c>
      <c r="I105">
        <v>0</v>
      </c>
      <c r="J105">
        <v>0</v>
      </c>
      <c r="K105">
        <v>0</v>
      </c>
      <c r="L105">
        <v>2</v>
      </c>
      <c r="M105">
        <v>0</v>
      </c>
      <c r="N105">
        <v>0</v>
      </c>
    </row>
    <row r="106" spans="1:14" x14ac:dyDescent="0.35">
      <c r="A106" t="s">
        <v>6</v>
      </c>
      <c r="B106" t="s">
        <v>317</v>
      </c>
      <c r="C106" t="s">
        <v>318</v>
      </c>
      <c r="E106" t="s">
        <v>96</v>
      </c>
      <c r="F106" t="s">
        <v>51</v>
      </c>
      <c r="H106" t="str" cm="1">
        <f t="array" ref="H106">_xlfn.TEXTJOIN(", ", TRUE, IF(I106:M106&gt;0, I$1:M$1, ""))</f>
        <v>Organisational View</v>
      </c>
      <c r="I106">
        <v>0</v>
      </c>
      <c r="J106">
        <v>0</v>
      </c>
      <c r="K106">
        <v>0</v>
      </c>
      <c r="L106">
        <v>14</v>
      </c>
      <c r="M106">
        <v>0</v>
      </c>
      <c r="N106">
        <v>1</v>
      </c>
    </row>
    <row r="107" spans="1:14" x14ac:dyDescent="0.35">
      <c r="A107" t="s">
        <v>6</v>
      </c>
      <c r="B107" t="s">
        <v>319</v>
      </c>
      <c r="C107" t="s">
        <v>320</v>
      </c>
      <c r="D107" t="s">
        <v>321</v>
      </c>
      <c r="E107" t="s">
        <v>230</v>
      </c>
      <c r="F107" t="s">
        <v>55</v>
      </c>
      <c r="H107" t="str" cm="1">
        <f t="array" ref="H107">_xlfn.TEXTJOIN(", ", TRUE, IF(I107:M107&gt;0, I$1:M$1, ""))</f>
        <v>Tech Application, Organisational View</v>
      </c>
      <c r="I107">
        <v>0</v>
      </c>
      <c r="J107">
        <v>3</v>
      </c>
      <c r="K107">
        <v>0</v>
      </c>
      <c r="L107">
        <v>2</v>
      </c>
      <c r="M107">
        <v>0</v>
      </c>
      <c r="N107">
        <v>2</v>
      </c>
    </row>
    <row r="108" spans="1:14" x14ac:dyDescent="0.35">
      <c r="A108" t="s">
        <v>6</v>
      </c>
      <c r="B108" t="s">
        <v>322</v>
      </c>
      <c r="C108" t="s">
        <v>323</v>
      </c>
      <c r="E108" t="s">
        <v>62</v>
      </c>
      <c r="F108" t="s">
        <v>324</v>
      </c>
      <c r="H108" t="str" cm="1">
        <f t="array" ref="H108">_xlfn.TEXTJOIN(", ", TRUE, IF(I108:M108&gt;0, I$1:M$1, ""))</f>
        <v>Semantic View</v>
      </c>
      <c r="I108">
        <v>0</v>
      </c>
      <c r="J108">
        <v>0</v>
      </c>
      <c r="K108">
        <v>0</v>
      </c>
      <c r="L108">
        <v>0</v>
      </c>
      <c r="M108">
        <v>8</v>
      </c>
      <c r="N108">
        <v>0</v>
      </c>
    </row>
    <row r="109" spans="1:14" x14ac:dyDescent="0.35">
      <c r="A109" t="s">
        <v>6</v>
      </c>
      <c r="B109" t="s">
        <v>325</v>
      </c>
      <c r="C109" t="s">
        <v>326</v>
      </c>
      <c r="E109" t="s">
        <v>50</v>
      </c>
      <c r="F109" t="s">
        <v>55</v>
      </c>
      <c r="H109" t="str" cm="1">
        <f t="array" ref="H109">_xlfn.TEXTJOIN(", ", TRUE, IF(I109:M109&gt;0, I$1:M$1, ""))</f>
        <v>Tech Infrastructure</v>
      </c>
      <c r="I109">
        <v>1</v>
      </c>
      <c r="J109">
        <v>0</v>
      </c>
      <c r="K109">
        <v>0</v>
      </c>
      <c r="L109">
        <v>0</v>
      </c>
      <c r="M109">
        <v>0</v>
      </c>
      <c r="N109">
        <v>0</v>
      </c>
    </row>
    <row r="110" spans="1:14" x14ac:dyDescent="0.35">
      <c r="A110" t="s">
        <v>6</v>
      </c>
      <c r="B110" t="s">
        <v>327</v>
      </c>
      <c r="E110" t="s">
        <v>62</v>
      </c>
      <c r="F110" t="s">
        <v>55</v>
      </c>
      <c r="H110" t="str" cm="1">
        <f t="array" ref="H110">_xlfn.TEXTJOIN(", ", TRUE, IF(I110:M110&gt;0, I$1:M$1, ""))</f>
        <v>Legal View</v>
      </c>
      <c r="I110">
        <v>0</v>
      </c>
      <c r="J110">
        <v>0</v>
      </c>
      <c r="K110">
        <v>2</v>
      </c>
      <c r="L110">
        <v>0</v>
      </c>
      <c r="M110">
        <v>0</v>
      </c>
      <c r="N110">
        <v>0</v>
      </c>
    </row>
    <row r="111" spans="1:14" x14ac:dyDescent="0.35">
      <c r="A111" t="s">
        <v>6</v>
      </c>
      <c r="B111" t="s">
        <v>328</v>
      </c>
      <c r="C111" t="s">
        <v>329</v>
      </c>
      <c r="E111" t="s">
        <v>59</v>
      </c>
      <c r="F111" t="s">
        <v>330</v>
      </c>
      <c r="H111" t="str" cm="1">
        <f t="array" ref="H111">_xlfn.TEXTJOIN(", ", TRUE, IF(I111:M111&gt;0, I$1:M$1, ""))</f>
        <v>Tech Application</v>
      </c>
      <c r="I111">
        <v>0</v>
      </c>
      <c r="J111">
        <v>2</v>
      </c>
      <c r="K111">
        <v>0</v>
      </c>
      <c r="L111">
        <v>0</v>
      </c>
      <c r="M111">
        <v>0</v>
      </c>
      <c r="N111">
        <v>0</v>
      </c>
    </row>
    <row r="112" spans="1:14" x14ac:dyDescent="0.35">
      <c r="A112" t="s">
        <v>6</v>
      </c>
      <c r="B112" t="s">
        <v>331</v>
      </c>
      <c r="D112" t="s">
        <v>332</v>
      </c>
      <c r="E112" t="s">
        <v>66</v>
      </c>
      <c r="F112" t="s">
        <v>333</v>
      </c>
      <c r="H112" t="str" cm="1">
        <f t="array" ref="H112">_xlfn.TEXTJOIN(", ", TRUE, IF(I112:M112&gt;0, I$1:M$1, ""))</f>
        <v>Legal View</v>
      </c>
      <c r="I112">
        <v>0</v>
      </c>
      <c r="J112">
        <v>0</v>
      </c>
      <c r="K112">
        <v>1</v>
      </c>
      <c r="L112">
        <v>0</v>
      </c>
      <c r="M112">
        <v>0</v>
      </c>
      <c r="N112">
        <v>0</v>
      </c>
    </row>
    <row r="113" spans="1:14" x14ac:dyDescent="0.35">
      <c r="A113" t="s">
        <v>6</v>
      </c>
      <c r="B113" t="s">
        <v>334</v>
      </c>
      <c r="D113" t="s">
        <v>335</v>
      </c>
      <c r="E113" t="s">
        <v>336</v>
      </c>
      <c r="F113" t="s">
        <v>276</v>
      </c>
      <c r="H113" t="str" cm="1">
        <f t="array" ref="H113">_xlfn.TEXTJOIN(", ", TRUE, IF(I113:M113&gt;0, I$1:M$1, ""))</f>
        <v>Tech Application</v>
      </c>
      <c r="I113">
        <v>0</v>
      </c>
      <c r="J113">
        <v>1</v>
      </c>
      <c r="K113">
        <v>0</v>
      </c>
      <c r="L113">
        <v>0</v>
      </c>
      <c r="M113">
        <v>0</v>
      </c>
      <c r="N113">
        <v>0</v>
      </c>
    </row>
    <row r="114" spans="1:14" x14ac:dyDescent="0.35">
      <c r="A114" t="s">
        <v>6</v>
      </c>
      <c r="B114" t="s">
        <v>337</v>
      </c>
      <c r="C114" t="s">
        <v>338</v>
      </c>
      <c r="E114" t="s">
        <v>50</v>
      </c>
      <c r="F114" t="s">
        <v>111</v>
      </c>
      <c r="H114" t="str" cm="1">
        <f t="array" ref="H114">_xlfn.TEXTJOIN(", ", TRUE, IF(I114:M114&gt;0, I$1:M$1, ""))</f>
        <v>Tech Infrastructure</v>
      </c>
      <c r="I114">
        <v>1</v>
      </c>
      <c r="J114">
        <v>0</v>
      </c>
      <c r="K114">
        <v>0</v>
      </c>
      <c r="L114">
        <v>0</v>
      </c>
      <c r="M114">
        <v>0</v>
      </c>
      <c r="N114">
        <v>0</v>
      </c>
    </row>
    <row r="115" spans="1:14" x14ac:dyDescent="0.35">
      <c r="A115" t="s">
        <v>6</v>
      </c>
      <c r="B115" t="s">
        <v>339</v>
      </c>
      <c r="C115" t="s">
        <v>340</v>
      </c>
      <c r="E115" t="s">
        <v>230</v>
      </c>
      <c r="F115" t="s">
        <v>55</v>
      </c>
      <c r="H115" t="str" cm="1">
        <f t="array" ref="H115">_xlfn.TEXTJOIN(", ", TRUE, IF(I115:M115&gt;0, I$1:M$1, ""))</f>
        <v/>
      </c>
      <c r="I115">
        <v>0</v>
      </c>
      <c r="J115">
        <v>0</v>
      </c>
      <c r="K115">
        <v>0</v>
      </c>
      <c r="L115">
        <v>0</v>
      </c>
      <c r="M115">
        <v>0</v>
      </c>
      <c r="N115">
        <v>0</v>
      </c>
    </row>
    <row r="116" spans="1:14" x14ac:dyDescent="0.35">
      <c r="A116" t="s">
        <v>6</v>
      </c>
      <c r="B116" t="s">
        <v>341</v>
      </c>
      <c r="E116" t="s">
        <v>91</v>
      </c>
      <c r="F116" t="s">
        <v>342</v>
      </c>
      <c r="H116" t="str" cm="1">
        <f t="array" ref="H116">_xlfn.TEXTJOIN(", ", TRUE, IF(I116:M116&gt;0, I$1:M$1, ""))</f>
        <v>Tech Application</v>
      </c>
      <c r="I116">
        <v>0</v>
      </c>
      <c r="J116">
        <v>2</v>
      </c>
      <c r="K116">
        <v>0</v>
      </c>
      <c r="L116">
        <v>0</v>
      </c>
      <c r="M116">
        <v>0</v>
      </c>
      <c r="N116">
        <v>0</v>
      </c>
    </row>
    <row r="117" spans="1:14" x14ac:dyDescent="0.35">
      <c r="A117" t="s">
        <v>6</v>
      </c>
      <c r="B117" t="s">
        <v>343</v>
      </c>
      <c r="C117" t="s">
        <v>344</v>
      </c>
      <c r="E117" t="s">
        <v>345</v>
      </c>
      <c r="F117" t="s">
        <v>51</v>
      </c>
      <c r="H117" t="str" cm="1">
        <f t="array" ref="H117">_xlfn.TEXTJOIN(", ", TRUE, IF(I117:M117&gt;0, I$1:M$1, ""))</f>
        <v>Tech Infrastructure</v>
      </c>
      <c r="I117">
        <v>2</v>
      </c>
      <c r="J117">
        <v>0</v>
      </c>
      <c r="K117">
        <v>0</v>
      </c>
      <c r="L117">
        <v>0</v>
      </c>
      <c r="M117">
        <v>0</v>
      </c>
      <c r="N117">
        <v>0</v>
      </c>
    </row>
    <row r="118" spans="1:14" x14ac:dyDescent="0.35">
      <c r="A118" t="s">
        <v>6</v>
      </c>
      <c r="B118" t="s">
        <v>346</v>
      </c>
      <c r="D118" t="s">
        <v>347</v>
      </c>
      <c r="E118" t="s">
        <v>50</v>
      </c>
      <c r="F118" t="s">
        <v>55</v>
      </c>
      <c r="H118" t="str" cm="1">
        <f t="array" ref="H118">_xlfn.TEXTJOIN(", ", TRUE, IF(I118:M118&gt;0, I$1:M$1, ""))</f>
        <v>Tech Infrastructure, Semantic View</v>
      </c>
      <c r="I118">
        <v>1</v>
      </c>
      <c r="J118">
        <v>0</v>
      </c>
      <c r="K118">
        <v>0</v>
      </c>
      <c r="L118">
        <v>0</v>
      </c>
      <c r="M118">
        <v>2</v>
      </c>
      <c r="N118">
        <v>0</v>
      </c>
    </row>
    <row r="119" spans="1:14" x14ac:dyDescent="0.35">
      <c r="A119" t="s">
        <v>6</v>
      </c>
      <c r="B119" t="s">
        <v>348</v>
      </c>
      <c r="D119" t="s">
        <v>349</v>
      </c>
      <c r="E119" t="s">
        <v>69</v>
      </c>
      <c r="F119" t="s">
        <v>55</v>
      </c>
      <c r="H119" t="str" cm="1">
        <f t="array" ref="H119">_xlfn.TEXTJOIN(", ", TRUE, IF(I119:M119&gt;0, I$1:M$1, ""))</f>
        <v>Tech Infrastructure, Tech Application</v>
      </c>
      <c r="I119">
        <v>1</v>
      </c>
      <c r="J119">
        <v>3</v>
      </c>
      <c r="K119">
        <v>0</v>
      </c>
      <c r="L119">
        <v>0</v>
      </c>
      <c r="M119">
        <v>0</v>
      </c>
      <c r="N119">
        <v>0</v>
      </c>
    </row>
    <row r="120" spans="1:14" x14ac:dyDescent="0.35">
      <c r="A120" t="s">
        <v>6</v>
      </c>
      <c r="B120" t="s">
        <v>350</v>
      </c>
      <c r="C120" t="s">
        <v>351</v>
      </c>
      <c r="D120" t="s">
        <v>352</v>
      </c>
      <c r="E120" t="s">
        <v>50</v>
      </c>
      <c r="F120" t="s">
        <v>55</v>
      </c>
      <c r="H120" t="str" cm="1">
        <f t="array" ref="H120">_xlfn.TEXTJOIN(", ", TRUE, IF(I120:M120&gt;0, I$1:M$1, ""))</f>
        <v>Semantic View</v>
      </c>
      <c r="I120">
        <v>0</v>
      </c>
      <c r="J120">
        <v>0</v>
      </c>
      <c r="K120">
        <v>0</v>
      </c>
      <c r="L120">
        <v>0</v>
      </c>
      <c r="M120">
        <v>2</v>
      </c>
      <c r="N120">
        <v>0</v>
      </c>
    </row>
    <row r="121" spans="1:14" x14ac:dyDescent="0.35">
      <c r="A121" t="s">
        <v>6</v>
      </c>
      <c r="B121" t="s">
        <v>353</v>
      </c>
      <c r="C121" t="s">
        <v>354</v>
      </c>
      <c r="D121" t="s">
        <v>355</v>
      </c>
      <c r="E121" t="s">
        <v>230</v>
      </c>
      <c r="F121" t="s">
        <v>276</v>
      </c>
      <c r="H121" t="str" cm="1">
        <f t="array" ref="H121">_xlfn.TEXTJOIN(", ", TRUE, IF(I121:M121&gt;0, I$1:M$1, ""))</f>
        <v>Semantic View</v>
      </c>
      <c r="I121">
        <v>0</v>
      </c>
      <c r="J121">
        <v>0</v>
      </c>
      <c r="K121">
        <v>0</v>
      </c>
      <c r="L121">
        <v>0</v>
      </c>
      <c r="M121">
        <v>1</v>
      </c>
      <c r="N121">
        <v>0</v>
      </c>
    </row>
    <row r="122" spans="1:14" x14ac:dyDescent="0.35">
      <c r="A122" t="s">
        <v>6</v>
      </c>
      <c r="B122" t="s">
        <v>356</v>
      </c>
      <c r="E122" t="s">
        <v>66</v>
      </c>
      <c r="F122" t="s">
        <v>55</v>
      </c>
      <c r="H122" t="str" cm="1">
        <f t="array" ref="H122">_xlfn.TEXTJOIN(", ", TRUE, IF(I122:M122&gt;0, I$1:M$1, ""))</f>
        <v>Semantic View</v>
      </c>
      <c r="I122">
        <v>0</v>
      </c>
      <c r="J122">
        <v>0</v>
      </c>
      <c r="K122">
        <v>0</v>
      </c>
      <c r="L122">
        <v>0</v>
      </c>
      <c r="M122">
        <v>2</v>
      </c>
      <c r="N122">
        <v>0</v>
      </c>
    </row>
    <row r="123" spans="1:14" x14ac:dyDescent="0.35">
      <c r="A123" t="s">
        <v>6</v>
      </c>
      <c r="B123" t="s">
        <v>357</v>
      </c>
      <c r="D123" t="s">
        <v>358</v>
      </c>
      <c r="E123" t="s">
        <v>69</v>
      </c>
      <c r="F123" t="s">
        <v>55</v>
      </c>
      <c r="H123" t="str" cm="1">
        <f t="array" ref="H123">_xlfn.TEXTJOIN(", ", TRUE, IF(I123:M123&gt;0, I$1:M$1, ""))</f>
        <v>Tech Application, Organisational View</v>
      </c>
      <c r="I123">
        <v>0</v>
      </c>
      <c r="J123">
        <v>2</v>
      </c>
      <c r="K123">
        <v>0</v>
      </c>
      <c r="L123">
        <v>1</v>
      </c>
      <c r="M123">
        <v>0</v>
      </c>
      <c r="N123">
        <v>0</v>
      </c>
    </row>
    <row r="124" spans="1:14" x14ac:dyDescent="0.35">
      <c r="A124" t="s">
        <v>6</v>
      </c>
      <c r="B124" t="s">
        <v>359</v>
      </c>
      <c r="E124" t="s">
        <v>360</v>
      </c>
      <c r="F124" t="s">
        <v>342</v>
      </c>
      <c r="H124" t="str" cm="1">
        <f t="array" ref="H124">_xlfn.TEXTJOIN(", ", TRUE, IF(I124:M124&gt;0, I$1:M$1, ""))</f>
        <v>Tech Infrastructure, Semantic View</v>
      </c>
      <c r="I124">
        <v>1</v>
      </c>
      <c r="J124">
        <v>0</v>
      </c>
      <c r="K124">
        <v>0</v>
      </c>
      <c r="L124">
        <v>0</v>
      </c>
      <c r="M124">
        <v>1</v>
      </c>
      <c r="N124">
        <v>0</v>
      </c>
    </row>
    <row r="125" spans="1:14" x14ac:dyDescent="0.35">
      <c r="A125" t="s">
        <v>6</v>
      </c>
      <c r="B125" t="s">
        <v>361</v>
      </c>
      <c r="C125" t="s">
        <v>362</v>
      </c>
      <c r="E125" t="s">
        <v>311</v>
      </c>
      <c r="F125" t="s">
        <v>55</v>
      </c>
      <c r="H125" t="str" cm="1">
        <f t="array" ref="H125">_xlfn.TEXTJOIN(", ", TRUE, IF(I125:M125&gt;0, I$1:M$1, ""))</f>
        <v>Tech Infrastructure</v>
      </c>
      <c r="I125">
        <v>1</v>
      </c>
      <c r="J125">
        <v>0</v>
      </c>
      <c r="K125">
        <v>0</v>
      </c>
      <c r="L125">
        <v>0</v>
      </c>
      <c r="M125">
        <v>0</v>
      </c>
      <c r="N125">
        <v>0</v>
      </c>
    </row>
    <row r="126" spans="1:14" x14ac:dyDescent="0.35">
      <c r="A126" t="s">
        <v>6</v>
      </c>
      <c r="B126" t="s">
        <v>363</v>
      </c>
      <c r="E126" t="s">
        <v>124</v>
      </c>
      <c r="F126" t="s">
        <v>180</v>
      </c>
      <c r="H126" t="str" cm="1">
        <f t="array" ref="H126">_xlfn.TEXTJOIN(", ", TRUE, IF(I126:M126&gt;0, I$1:M$1, ""))</f>
        <v>Tech Application</v>
      </c>
      <c r="I126">
        <v>0</v>
      </c>
      <c r="J126">
        <v>1</v>
      </c>
      <c r="K126">
        <v>0</v>
      </c>
      <c r="L126">
        <v>0</v>
      </c>
      <c r="M126">
        <v>0</v>
      </c>
      <c r="N126">
        <v>0</v>
      </c>
    </row>
    <row r="127" spans="1:14" x14ac:dyDescent="0.35">
      <c r="A127" t="s">
        <v>6</v>
      </c>
      <c r="B127" t="s">
        <v>364</v>
      </c>
      <c r="C127" t="s">
        <v>365</v>
      </c>
      <c r="D127" t="s">
        <v>366</v>
      </c>
      <c r="E127" t="s">
        <v>62</v>
      </c>
      <c r="F127" t="s">
        <v>367</v>
      </c>
      <c r="H127" t="str" cm="1">
        <f t="array" ref="H127">_xlfn.TEXTJOIN(", ", TRUE, IF(I127:M127&gt;0, I$1:M$1, ""))</f>
        <v>Tech Infrastructure</v>
      </c>
      <c r="I127">
        <v>4</v>
      </c>
      <c r="J127">
        <v>0</v>
      </c>
      <c r="K127">
        <v>0</v>
      </c>
      <c r="L127">
        <v>0</v>
      </c>
      <c r="M127">
        <v>0</v>
      </c>
      <c r="N127">
        <v>1</v>
      </c>
    </row>
    <row r="128" spans="1:14" x14ac:dyDescent="0.35">
      <c r="A128" t="s">
        <v>6</v>
      </c>
      <c r="B128" t="s">
        <v>368</v>
      </c>
      <c r="C128" t="s">
        <v>369</v>
      </c>
      <c r="D128" t="s">
        <v>370</v>
      </c>
      <c r="E128" t="s">
        <v>230</v>
      </c>
      <c r="F128" t="s">
        <v>92</v>
      </c>
      <c r="H128" t="str" cm="1">
        <f t="array" ref="H128">_xlfn.TEXTJOIN(", ", TRUE, IF(I128:M128&gt;0, I$1:M$1, ""))</f>
        <v>Semantic View</v>
      </c>
      <c r="I128">
        <v>0</v>
      </c>
      <c r="J128">
        <v>0</v>
      </c>
      <c r="K128">
        <v>0</v>
      </c>
      <c r="L128">
        <v>0</v>
      </c>
      <c r="M128">
        <v>1</v>
      </c>
      <c r="N128">
        <v>0</v>
      </c>
    </row>
    <row r="129" spans="1:14" x14ac:dyDescent="0.35">
      <c r="A129" t="s">
        <v>6</v>
      </c>
      <c r="B129" t="s">
        <v>371</v>
      </c>
      <c r="C129" t="s">
        <v>372</v>
      </c>
      <c r="E129" t="s">
        <v>121</v>
      </c>
      <c r="F129" t="s">
        <v>51</v>
      </c>
      <c r="H129" t="str" cm="1">
        <f t="array" ref="H129">_xlfn.TEXTJOIN(", ", TRUE, IF(I129:M129&gt;0, I$1:M$1, ""))</f>
        <v>Semantic View</v>
      </c>
      <c r="I129">
        <v>0</v>
      </c>
      <c r="J129">
        <v>0</v>
      </c>
      <c r="K129">
        <v>0</v>
      </c>
      <c r="L129">
        <v>0</v>
      </c>
      <c r="M129">
        <v>3</v>
      </c>
      <c r="N129">
        <v>1</v>
      </c>
    </row>
    <row r="130" spans="1:14" x14ac:dyDescent="0.35">
      <c r="A130" t="s">
        <v>6</v>
      </c>
      <c r="B130" t="s">
        <v>373</v>
      </c>
      <c r="D130" t="s">
        <v>374</v>
      </c>
      <c r="E130" t="s">
        <v>230</v>
      </c>
      <c r="F130" t="s">
        <v>55</v>
      </c>
      <c r="H130" t="str" cm="1">
        <f t="array" ref="H130">_xlfn.TEXTJOIN(", ", TRUE, IF(I130:M130&gt;0, I$1:M$1, ""))</f>
        <v>Organisational View, Semantic View</v>
      </c>
      <c r="I130">
        <v>0</v>
      </c>
      <c r="J130">
        <v>0</v>
      </c>
      <c r="K130">
        <v>0</v>
      </c>
      <c r="L130">
        <v>2</v>
      </c>
      <c r="M130">
        <v>2</v>
      </c>
      <c r="N130">
        <v>1</v>
      </c>
    </row>
    <row r="131" spans="1:14" x14ac:dyDescent="0.35">
      <c r="A131" t="s">
        <v>6</v>
      </c>
      <c r="B131" t="s">
        <v>375</v>
      </c>
      <c r="D131" t="s">
        <v>376</v>
      </c>
      <c r="E131" t="s">
        <v>59</v>
      </c>
      <c r="F131" t="s">
        <v>305</v>
      </c>
      <c r="H131" t="str" cm="1">
        <f t="array" ref="H131">_xlfn.TEXTJOIN(", ", TRUE, IF(I131:M131&gt;0, I$1:M$1, ""))</f>
        <v>Semantic View</v>
      </c>
      <c r="I131">
        <v>0</v>
      </c>
      <c r="J131">
        <v>0</v>
      </c>
      <c r="K131">
        <v>0</v>
      </c>
      <c r="L131">
        <v>0</v>
      </c>
      <c r="M131">
        <v>3</v>
      </c>
      <c r="N131">
        <v>0</v>
      </c>
    </row>
    <row r="132" spans="1:14" x14ac:dyDescent="0.35">
      <c r="A132" t="s">
        <v>6</v>
      </c>
      <c r="B132" t="s">
        <v>377</v>
      </c>
      <c r="D132" t="s">
        <v>378</v>
      </c>
      <c r="E132" t="s">
        <v>69</v>
      </c>
      <c r="F132" t="s">
        <v>55</v>
      </c>
      <c r="H132" t="str" cm="1">
        <f t="array" ref="H132">_xlfn.TEXTJOIN(", ", TRUE, IF(I132:M132&gt;0, I$1:M$1, ""))</f>
        <v>Tech Application</v>
      </c>
      <c r="I132">
        <v>0</v>
      </c>
      <c r="J132">
        <v>2</v>
      </c>
      <c r="K132">
        <v>0</v>
      </c>
      <c r="L132">
        <v>0</v>
      </c>
      <c r="M132">
        <v>0</v>
      </c>
      <c r="N132">
        <v>0</v>
      </c>
    </row>
    <row r="133" spans="1:14" x14ac:dyDescent="0.35">
      <c r="A133" t="s">
        <v>6</v>
      </c>
      <c r="B133" t="s">
        <v>379</v>
      </c>
      <c r="E133" t="s">
        <v>62</v>
      </c>
      <c r="F133" t="s">
        <v>152</v>
      </c>
      <c r="H133" t="str" cm="1">
        <f t="array" ref="H133">_xlfn.TEXTJOIN(", ", TRUE, IF(I133:M133&gt;0, I$1:M$1, ""))</f>
        <v/>
      </c>
      <c r="I133">
        <v>0</v>
      </c>
      <c r="J133">
        <v>0</v>
      </c>
      <c r="K133">
        <v>0</v>
      </c>
      <c r="L133">
        <v>0</v>
      </c>
      <c r="M133">
        <v>0</v>
      </c>
      <c r="N133">
        <v>0</v>
      </c>
    </row>
    <row r="134" spans="1:14" x14ac:dyDescent="0.35">
      <c r="A134" t="s">
        <v>6</v>
      </c>
      <c r="B134" t="s">
        <v>380</v>
      </c>
      <c r="C134" t="s">
        <v>381</v>
      </c>
      <c r="E134" t="s">
        <v>121</v>
      </c>
      <c r="F134" t="s">
        <v>382</v>
      </c>
      <c r="H134" t="str" cm="1">
        <f t="array" ref="H134">_xlfn.TEXTJOIN(", ", TRUE, IF(I134:M134&gt;0, I$1:M$1, ""))</f>
        <v>Tech Application, Semantic View</v>
      </c>
      <c r="I134">
        <v>0</v>
      </c>
      <c r="J134">
        <v>2</v>
      </c>
      <c r="K134">
        <v>0</v>
      </c>
      <c r="L134">
        <v>0</v>
      </c>
      <c r="M134">
        <v>10</v>
      </c>
      <c r="N134">
        <v>1</v>
      </c>
    </row>
    <row r="135" spans="1:14" x14ac:dyDescent="0.35">
      <c r="A135" t="s">
        <v>6</v>
      </c>
      <c r="B135" t="s">
        <v>383</v>
      </c>
      <c r="C135" t="s">
        <v>384</v>
      </c>
      <c r="D135" t="s">
        <v>385</v>
      </c>
      <c r="E135" t="s">
        <v>50</v>
      </c>
      <c r="F135" t="s">
        <v>97</v>
      </c>
      <c r="H135" t="str" cm="1">
        <f t="array" ref="H135">_xlfn.TEXTJOIN(", ", TRUE, IF(I135:M135&gt;0, I$1:M$1, ""))</f>
        <v>Tech Application</v>
      </c>
      <c r="I135">
        <v>0</v>
      </c>
      <c r="J135">
        <v>2</v>
      </c>
      <c r="K135">
        <v>0</v>
      </c>
      <c r="L135">
        <v>0</v>
      </c>
      <c r="M135">
        <v>0</v>
      </c>
      <c r="N135">
        <v>2</v>
      </c>
    </row>
    <row r="136" spans="1:14" x14ac:dyDescent="0.35">
      <c r="A136" t="s">
        <v>6</v>
      </c>
      <c r="B136" t="s">
        <v>386</v>
      </c>
      <c r="E136" t="s">
        <v>124</v>
      </c>
      <c r="F136" t="s">
        <v>180</v>
      </c>
      <c r="H136" t="str" cm="1">
        <f t="array" ref="H136">_xlfn.TEXTJOIN(", ", TRUE, IF(I136:M136&gt;0, I$1:M$1, ""))</f>
        <v>Tech Application, Organisational View</v>
      </c>
      <c r="I136">
        <v>0</v>
      </c>
      <c r="J136">
        <v>1</v>
      </c>
      <c r="K136">
        <v>0</v>
      </c>
      <c r="L136">
        <v>1</v>
      </c>
      <c r="M136">
        <v>0</v>
      </c>
      <c r="N136">
        <v>0</v>
      </c>
    </row>
    <row r="137" spans="1:14" x14ac:dyDescent="0.35">
      <c r="A137" t="s">
        <v>6</v>
      </c>
      <c r="B137" t="s">
        <v>387</v>
      </c>
      <c r="C137" t="s">
        <v>388</v>
      </c>
      <c r="E137" t="s">
        <v>121</v>
      </c>
      <c r="F137" t="s">
        <v>55</v>
      </c>
      <c r="H137" t="str" cm="1">
        <f t="array" ref="H137">_xlfn.TEXTJOIN(", ", TRUE, IF(I137:M137&gt;0, I$1:M$1, ""))</f>
        <v>Semantic View</v>
      </c>
      <c r="I137">
        <v>0</v>
      </c>
      <c r="J137">
        <v>0</v>
      </c>
      <c r="K137">
        <v>0</v>
      </c>
      <c r="L137">
        <v>0</v>
      </c>
      <c r="M137">
        <v>3</v>
      </c>
      <c r="N137">
        <v>0</v>
      </c>
    </row>
    <row r="138" spans="1:14" x14ac:dyDescent="0.35">
      <c r="A138" t="s">
        <v>6</v>
      </c>
      <c r="B138" t="s">
        <v>389</v>
      </c>
      <c r="D138" t="s">
        <v>390</v>
      </c>
      <c r="E138" t="s">
        <v>59</v>
      </c>
      <c r="F138" t="s">
        <v>100</v>
      </c>
      <c r="H138" t="str" cm="1">
        <f t="array" ref="H138">_xlfn.TEXTJOIN(", ", TRUE, IF(I138:M138&gt;0, I$1:M$1, ""))</f>
        <v>Organisational View</v>
      </c>
      <c r="I138">
        <v>0</v>
      </c>
      <c r="J138">
        <v>0</v>
      </c>
      <c r="K138">
        <v>0</v>
      </c>
      <c r="L138">
        <v>2</v>
      </c>
      <c r="M138">
        <v>0</v>
      </c>
      <c r="N138">
        <v>0</v>
      </c>
    </row>
    <row r="139" spans="1:14" x14ac:dyDescent="0.35">
      <c r="A139" t="s">
        <v>6</v>
      </c>
      <c r="B139" t="s">
        <v>391</v>
      </c>
      <c r="C139" t="s">
        <v>392</v>
      </c>
      <c r="E139" t="s">
        <v>393</v>
      </c>
      <c r="F139" t="s">
        <v>92</v>
      </c>
      <c r="H139" t="str" cm="1">
        <f t="array" ref="H139">_xlfn.TEXTJOIN(", ", TRUE, IF(I139:M139&gt;0, I$1:M$1, ""))</f>
        <v>Tech Application, Semantic View</v>
      </c>
      <c r="I139">
        <v>0</v>
      </c>
      <c r="J139">
        <v>2</v>
      </c>
      <c r="K139">
        <v>0</v>
      </c>
      <c r="L139">
        <v>0</v>
      </c>
      <c r="M139">
        <v>5</v>
      </c>
      <c r="N139">
        <v>0</v>
      </c>
    </row>
    <row r="140" spans="1:14" x14ac:dyDescent="0.35">
      <c r="A140" t="s">
        <v>6</v>
      </c>
      <c r="B140" t="s">
        <v>394</v>
      </c>
      <c r="E140" t="s">
        <v>96</v>
      </c>
      <c r="F140" t="s">
        <v>55</v>
      </c>
      <c r="H140" t="str" cm="1">
        <f t="array" ref="H140">_xlfn.TEXTJOIN(", ", TRUE, IF(I140:M140&gt;0, I$1:M$1, ""))</f>
        <v>Tech Application</v>
      </c>
      <c r="I140">
        <v>0</v>
      </c>
      <c r="J140">
        <v>2</v>
      </c>
      <c r="K140">
        <v>0</v>
      </c>
      <c r="L140">
        <v>0</v>
      </c>
      <c r="M140">
        <v>0</v>
      </c>
      <c r="N140">
        <v>0</v>
      </c>
    </row>
    <row r="141" spans="1:14" x14ac:dyDescent="0.35">
      <c r="A141" t="s">
        <v>6</v>
      </c>
      <c r="B141" t="s">
        <v>395</v>
      </c>
      <c r="C141" t="s">
        <v>396</v>
      </c>
      <c r="E141" t="s">
        <v>66</v>
      </c>
      <c r="F141" t="s">
        <v>55</v>
      </c>
      <c r="H141" t="str" cm="1">
        <f t="array" ref="H141">_xlfn.TEXTJOIN(", ", TRUE, IF(I141:M141&gt;0, I$1:M$1, ""))</f>
        <v>Legal View, Semantic View</v>
      </c>
      <c r="I141">
        <v>0</v>
      </c>
      <c r="J141">
        <v>0</v>
      </c>
      <c r="K141">
        <v>2</v>
      </c>
      <c r="L141">
        <v>0</v>
      </c>
      <c r="M141">
        <v>1</v>
      </c>
      <c r="N141">
        <v>2</v>
      </c>
    </row>
    <row r="142" spans="1:14" x14ac:dyDescent="0.35">
      <c r="A142" t="s">
        <v>6</v>
      </c>
      <c r="B142" t="s">
        <v>397</v>
      </c>
      <c r="D142" t="s">
        <v>398</v>
      </c>
      <c r="E142" t="s">
        <v>69</v>
      </c>
      <c r="F142" t="s">
        <v>55</v>
      </c>
      <c r="H142" t="str" cm="1">
        <f t="array" ref="H142">_xlfn.TEXTJOIN(", ", TRUE, IF(I142:M142&gt;0, I$1:M$1, ""))</f>
        <v>Tech Infrastructure, Tech Application</v>
      </c>
      <c r="I142">
        <v>2</v>
      </c>
      <c r="J142">
        <v>1</v>
      </c>
      <c r="K142">
        <v>0</v>
      </c>
      <c r="L142">
        <v>0</v>
      </c>
      <c r="M142">
        <v>0</v>
      </c>
      <c r="N142">
        <v>0</v>
      </c>
    </row>
    <row r="143" spans="1:14" x14ac:dyDescent="0.35">
      <c r="A143" t="s">
        <v>6</v>
      </c>
      <c r="B143" t="s">
        <v>399</v>
      </c>
      <c r="E143" t="s">
        <v>121</v>
      </c>
      <c r="F143" t="s">
        <v>55</v>
      </c>
      <c r="H143" t="str" cm="1">
        <f t="array" ref="H143">_xlfn.TEXTJOIN(", ", TRUE, IF(I143:M143&gt;0, I$1:M$1, ""))</f>
        <v>Tech Application</v>
      </c>
      <c r="I143">
        <v>0</v>
      </c>
      <c r="J143">
        <v>2</v>
      </c>
      <c r="K143">
        <v>0</v>
      </c>
      <c r="L143">
        <v>0</v>
      </c>
      <c r="M143">
        <v>0</v>
      </c>
      <c r="N143">
        <v>0</v>
      </c>
    </row>
    <row r="144" spans="1:14" x14ac:dyDescent="0.35">
      <c r="A144" t="s">
        <v>6</v>
      </c>
      <c r="B144" t="s">
        <v>400</v>
      </c>
      <c r="D144" t="s">
        <v>401</v>
      </c>
      <c r="E144" t="s">
        <v>402</v>
      </c>
      <c r="F144" t="s">
        <v>55</v>
      </c>
      <c r="H144" t="str" cm="1">
        <f t="array" ref="H144">_xlfn.TEXTJOIN(", ", TRUE, IF(I144:M144&gt;0, I$1:M$1, ""))</f>
        <v>Semantic View</v>
      </c>
      <c r="I144">
        <v>0</v>
      </c>
      <c r="J144">
        <v>0</v>
      </c>
      <c r="K144">
        <v>0</v>
      </c>
      <c r="L144">
        <v>0</v>
      </c>
      <c r="M144">
        <v>1</v>
      </c>
      <c r="N144">
        <v>0</v>
      </c>
    </row>
    <row r="145" spans="1:14" x14ac:dyDescent="0.35">
      <c r="A145" t="s">
        <v>6</v>
      </c>
      <c r="B145" t="s">
        <v>403</v>
      </c>
      <c r="C145" t="s">
        <v>404</v>
      </c>
      <c r="E145" t="s">
        <v>121</v>
      </c>
      <c r="F145" t="s">
        <v>97</v>
      </c>
      <c r="H145" t="str" cm="1">
        <f t="array" ref="H145">_xlfn.TEXTJOIN(", ", TRUE, IF(I145:M145&gt;0, I$1:M$1, ""))</f>
        <v>Semantic View</v>
      </c>
      <c r="I145">
        <v>0</v>
      </c>
      <c r="J145">
        <v>0</v>
      </c>
      <c r="K145">
        <v>0</v>
      </c>
      <c r="L145">
        <v>0</v>
      </c>
      <c r="M145">
        <v>6</v>
      </c>
      <c r="N145">
        <v>0</v>
      </c>
    </row>
    <row r="146" spans="1:14" x14ac:dyDescent="0.35">
      <c r="A146" t="s">
        <v>6</v>
      </c>
      <c r="B146" t="s">
        <v>405</v>
      </c>
      <c r="C146" t="s">
        <v>406</v>
      </c>
      <c r="E146" t="s">
        <v>121</v>
      </c>
      <c r="F146" t="s">
        <v>55</v>
      </c>
      <c r="H146" t="str" cm="1">
        <f t="array" ref="H146">_xlfn.TEXTJOIN(", ", TRUE, IF(I146:M146&gt;0, I$1:M$1, ""))</f>
        <v>Tech Application</v>
      </c>
      <c r="I146">
        <v>0</v>
      </c>
      <c r="J146">
        <v>2</v>
      </c>
      <c r="K146">
        <v>0</v>
      </c>
      <c r="L146">
        <v>0</v>
      </c>
      <c r="M146">
        <v>0</v>
      </c>
      <c r="N146">
        <v>0</v>
      </c>
    </row>
    <row r="147" spans="1:14" x14ac:dyDescent="0.35">
      <c r="A147" t="s">
        <v>6</v>
      </c>
      <c r="B147" t="s">
        <v>407</v>
      </c>
      <c r="C147" t="s">
        <v>408</v>
      </c>
      <c r="E147" t="s">
        <v>62</v>
      </c>
      <c r="F147" t="s">
        <v>409</v>
      </c>
      <c r="H147" t="str" cm="1">
        <f t="array" ref="H147">_xlfn.TEXTJOIN(", ", TRUE, IF(I147:M147&gt;0, I$1:M$1, ""))</f>
        <v>Tech Application, Organisational View, Semantic View</v>
      </c>
      <c r="I147">
        <v>0</v>
      </c>
      <c r="J147">
        <v>3</v>
      </c>
      <c r="K147">
        <v>0</v>
      </c>
      <c r="L147">
        <v>1</v>
      </c>
      <c r="M147">
        <v>14</v>
      </c>
      <c r="N147">
        <v>0</v>
      </c>
    </row>
    <row r="148" spans="1:14" x14ac:dyDescent="0.35">
      <c r="A148" t="s">
        <v>6</v>
      </c>
      <c r="B148" t="s">
        <v>410</v>
      </c>
      <c r="E148" t="s">
        <v>411</v>
      </c>
      <c r="F148" t="s">
        <v>55</v>
      </c>
      <c r="H148" t="str" cm="1">
        <f t="array" ref="H148">_xlfn.TEXTJOIN(", ", TRUE, IF(I148:M148&gt;0, I$1:M$1, ""))</f>
        <v>Semantic View</v>
      </c>
      <c r="I148">
        <v>0</v>
      </c>
      <c r="J148">
        <v>0</v>
      </c>
      <c r="K148">
        <v>0</v>
      </c>
      <c r="L148">
        <v>0</v>
      </c>
      <c r="M148">
        <v>3</v>
      </c>
      <c r="N148">
        <v>0</v>
      </c>
    </row>
    <row r="149" spans="1:14" x14ac:dyDescent="0.35">
      <c r="A149" t="s">
        <v>6</v>
      </c>
      <c r="B149" t="s">
        <v>412</v>
      </c>
      <c r="C149" t="s">
        <v>129</v>
      </c>
      <c r="E149" t="s">
        <v>59</v>
      </c>
      <c r="F149" t="s">
        <v>206</v>
      </c>
      <c r="H149" t="str" cm="1">
        <f t="array" ref="H149">_xlfn.TEXTJOIN(", ", TRUE, IF(I149:M149&gt;0, I$1:M$1, ""))</f>
        <v>Tech Application</v>
      </c>
      <c r="I149">
        <v>0</v>
      </c>
      <c r="J149">
        <v>5</v>
      </c>
      <c r="K149">
        <v>0</v>
      </c>
      <c r="L149">
        <v>0</v>
      </c>
      <c r="M149">
        <v>0</v>
      </c>
      <c r="N149">
        <v>1</v>
      </c>
    </row>
    <row r="150" spans="1:14" x14ac:dyDescent="0.35">
      <c r="A150" t="s">
        <v>6</v>
      </c>
      <c r="B150" t="s">
        <v>413</v>
      </c>
      <c r="D150" t="s">
        <v>414</v>
      </c>
      <c r="E150" t="s">
        <v>66</v>
      </c>
      <c r="F150" t="s">
        <v>415</v>
      </c>
      <c r="H150" t="str" cm="1">
        <f t="array" ref="H150">_xlfn.TEXTJOIN(", ", TRUE, IF(I150:M150&gt;0, I$1:M$1, ""))</f>
        <v>Legal View</v>
      </c>
      <c r="I150">
        <v>0</v>
      </c>
      <c r="J150">
        <v>0</v>
      </c>
      <c r="K150">
        <v>5</v>
      </c>
      <c r="L150">
        <v>0</v>
      </c>
      <c r="M150">
        <v>0</v>
      </c>
      <c r="N150">
        <v>0</v>
      </c>
    </row>
    <row r="151" spans="1:14" x14ac:dyDescent="0.35">
      <c r="A151" t="s">
        <v>6</v>
      </c>
      <c r="B151" t="s">
        <v>416</v>
      </c>
      <c r="C151" t="s">
        <v>417</v>
      </c>
      <c r="E151" t="s">
        <v>121</v>
      </c>
      <c r="F151" t="s">
        <v>281</v>
      </c>
      <c r="H151" t="str" cm="1">
        <f t="array" ref="H151">_xlfn.TEXTJOIN(", ", TRUE, IF(I151:M151&gt;0, I$1:M$1, ""))</f>
        <v>Tech Application, Legal View, Semantic View</v>
      </c>
      <c r="I151">
        <v>0</v>
      </c>
      <c r="J151">
        <v>1</v>
      </c>
      <c r="K151">
        <v>5</v>
      </c>
      <c r="L151">
        <v>0</v>
      </c>
      <c r="M151">
        <v>1</v>
      </c>
      <c r="N151">
        <v>2</v>
      </c>
    </row>
    <row r="152" spans="1:14" x14ac:dyDescent="0.35">
      <c r="A152" t="s">
        <v>6</v>
      </c>
      <c r="B152" t="s">
        <v>418</v>
      </c>
      <c r="E152" t="s">
        <v>419</v>
      </c>
      <c r="F152" t="s">
        <v>420</v>
      </c>
      <c r="H152" t="str" cm="1">
        <f t="array" ref="H152">_xlfn.TEXTJOIN(", ", TRUE, IF(I152:M152&gt;0, I$1:M$1, ""))</f>
        <v>Tech Application, Semantic View</v>
      </c>
      <c r="I152">
        <v>0</v>
      </c>
      <c r="J152">
        <v>3</v>
      </c>
      <c r="K152">
        <v>0</v>
      </c>
      <c r="L152">
        <v>0</v>
      </c>
      <c r="M152">
        <v>1</v>
      </c>
      <c r="N152">
        <v>0</v>
      </c>
    </row>
    <row r="153" spans="1:14" x14ac:dyDescent="0.35">
      <c r="A153" t="s">
        <v>6</v>
      </c>
      <c r="B153" t="s">
        <v>421</v>
      </c>
      <c r="D153" t="s">
        <v>422</v>
      </c>
      <c r="E153" t="s">
        <v>230</v>
      </c>
      <c r="F153" t="s">
        <v>51</v>
      </c>
      <c r="H153" t="str" cm="1">
        <f t="array" ref="H153">_xlfn.TEXTJOIN(", ", TRUE, IF(I153:M153&gt;0, I$1:M$1, ""))</f>
        <v>Tech Application</v>
      </c>
      <c r="I153">
        <v>0</v>
      </c>
      <c r="J153">
        <v>2</v>
      </c>
      <c r="K153">
        <v>0</v>
      </c>
      <c r="L153">
        <v>0</v>
      </c>
      <c r="M153">
        <v>0</v>
      </c>
      <c r="N153">
        <v>0</v>
      </c>
    </row>
    <row r="154" spans="1:14" x14ac:dyDescent="0.35">
      <c r="A154" t="s">
        <v>6</v>
      </c>
      <c r="B154" t="s">
        <v>423</v>
      </c>
      <c r="C154" t="s">
        <v>424</v>
      </c>
      <c r="E154" t="s">
        <v>99</v>
      </c>
      <c r="F154" t="s">
        <v>152</v>
      </c>
      <c r="H154" t="str" cm="1">
        <f t="array" ref="H154">_xlfn.TEXTJOIN(", ", TRUE, IF(I154:M154&gt;0, I$1:M$1, ""))</f>
        <v>Tech Application</v>
      </c>
      <c r="I154">
        <v>0</v>
      </c>
      <c r="J154">
        <v>2</v>
      </c>
      <c r="K154">
        <v>0</v>
      </c>
      <c r="L154">
        <v>0</v>
      </c>
      <c r="M154">
        <v>0</v>
      </c>
      <c r="N154">
        <v>0</v>
      </c>
    </row>
    <row r="155" spans="1:14" x14ac:dyDescent="0.35">
      <c r="A155" t="s">
        <v>6</v>
      </c>
      <c r="B155" t="s">
        <v>425</v>
      </c>
      <c r="E155" t="s">
        <v>99</v>
      </c>
      <c r="F155" t="s">
        <v>97</v>
      </c>
      <c r="H155" t="str" cm="1">
        <f t="array" ref="H155">_xlfn.TEXTJOIN(", ", TRUE, IF(I155:M155&gt;0, I$1:M$1, ""))</f>
        <v>Tech Application</v>
      </c>
      <c r="I155">
        <v>0</v>
      </c>
      <c r="J155">
        <v>1</v>
      </c>
      <c r="K155">
        <v>0</v>
      </c>
      <c r="L155">
        <v>0</v>
      </c>
      <c r="M155">
        <v>0</v>
      </c>
      <c r="N155">
        <v>0</v>
      </c>
    </row>
    <row r="156" spans="1:14" x14ac:dyDescent="0.35">
      <c r="A156" t="s">
        <v>6</v>
      </c>
      <c r="B156" t="s">
        <v>426</v>
      </c>
      <c r="E156" t="s">
        <v>66</v>
      </c>
      <c r="F156" t="s">
        <v>427</v>
      </c>
      <c r="H156" t="str" cm="1">
        <f t="array" ref="H156">_xlfn.TEXTJOIN(", ", TRUE, IF(I156:M156&gt;0, I$1:M$1, ""))</f>
        <v>Legal View</v>
      </c>
      <c r="I156">
        <v>0</v>
      </c>
      <c r="J156">
        <v>0</v>
      </c>
      <c r="K156">
        <v>1</v>
      </c>
      <c r="L156">
        <v>0</v>
      </c>
      <c r="M156">
        <v>0</v>
      </c>
      <c r="N156">
        <v>0</v>
      </c>
    </row>
    <row r="157" spans="1:14" x14ac:dyDescent="0.35">
      <c r="A157" t="s">
        <v>6</v>
      </c>
      <c r="B157" t="s">
        <v>428</v>
      </c>
      <c r="E157" t="s">
        <v>66</v>
      </c>
      <c r="F157" t="s">
        <v>55</v>
      </c>
      <c r="H157" t="str" cm="1">
        <f t="array" ref="H157">_xlfn.TEXTJOIN(", ", TRUE, IF(I157:M157&gt;0, I$1:M$1, ""))</f>
        <v>Legal View, Organisational View, Semantic View</v>
      </c>
      <c r="I157">
        <v>0</v>
      </c>
      <c r="J157">
        <v>0</v>
      </c>
      <c r="K157">
        <v>1</v>
      </c>
      <c r="L157">
        <v>3</v>
      </c>
      <c r="M157">
        <v>6</v>
      </c>
      <c r="N157">
        <v>0</v>
      </c>
    </row>
    <row r="158" spans="1:14" x14ac:dyDescent="0.35">
      <c r="A158" t="s">
        <v>6</v>
      </c>
      <c r="B158" t="s">
        <v>429</v>
      </c>
      <c r="C158" t="s">
        <v>430</v>
      </c>
      <c r="E158" t="s">
        <v>96</v>
      </c>
      <c r="F158" t="s">
        <v>431</v>
      </c>
      <c r="H158" t="str" cm="1">
        <f t="array" ref="H158">_xlfn.TEXTJOIN(", ", TRUE, IF(I158:M158&gt;0, I$1:M$1, ""))</f>
        <v>Tech Application</v>
      </c>
      <c r="I158">
        <v>0</v>
      </c>
      <c r="J158">
        <v>3</v>
      </c>
      <c r="K158">
        <v>0</v>
      </c>
      <c r="L158">
        <v>0</v>
      </c>
      <c r="M158">
        <v>0</v>
      </c>
      <c r="N158">
        <v>1</v>
      </c>
    </row>
    <row r="159" spans="1:14" x14ac:dyDescent="0.35">
      <c r="A159" t="s">
        <v>6</v>
      </c>
      <c r="B159" t="s">
        <v>432</v>
      </c>
      <c r="D159" t="s">
        <v>433</v>
      </c>
      <c r="E159" t="s">
        <v>230</v>
      </c>
      <c r="F159" t="s">
        <v>51</v>
      </c>
      <c r="H159" t="str" cm="1">
        <f t="array" ref="H159">_xlfn.TEXTJOIN(", ", TRUE, IF(I159:M159&gt;0, I$1:M$1, ""))</f>
        <v>Tech Infrastructure</v>
      </c>
      <c r="I159">
        <v>2</v>
      </c>
      <c r="J159">
        <v>0</v>
      </c>
      <c r="K159">
        <v>0</v>
      </c>
      <c r="L159">
        <v>0</v>
      </c>
      <c r="M159">
        <v>0</v>
      </c>
      <c r="N159">
        <v>0</v>
      </c>
    </row>
    <row r="160" spans="1:14" x14ac:dyDescent="0.35">
      <c r="A160" t="s">
        <v>6</v>
      </c>
      <c r="B160" t="s">
        <v>434</v>
      </c>
      <c r="C160" t="s">
        <v>129</v>
      </c>
      <c r="D160" t="s">
        <v>435</v>
      </c>
      <c r="E160" t="s">
        <v>59</v>
      </c>
      <c r="F160" t="s">
        <v>155</v>
      </c>
      <c r="H160" t="str" cm="1">
        <f t="array" ref="H160">_xlfn.TEXTJOIN(", ", TRUE, IF(I160:M160&gt;0, I$1:M$1, ""))</f>
        <v>Tech Application</v>
      </c>
      <c r="I160">
        <v>0</v>
      </c>
      <c r="J160">
        <v>4</v>
      </c>
      <c r="K160">
        <v>0</v>
      </c>
      <c r="L160">
        <v>0</v>
      </c>
      <c r="M160">
        <v>0</v>
      </c>
      <c r="N160">
        <v>0</v>
      </c>
    </row>
    <row r="161" spans="1:14" x14ac:dyDescent="0.35">
      <c r="A161" t="s">
        <v>6</v>
      </c>
      <c r="B161" t="s">
        <v>436</v>
      </c>
      <c r="C161" t="s">
        <v>437</v>
      </c>
      <c r="E161" t="s">
        <v>438</v>
      </c>
      <c r="F161" t="s">
        <v>51</v>
      </c>
      <c r="H161" t="str" cm="1">
        <f t="array" ref="H161">_xlfn.TEXTJOIN(", ", TRUE, IF(I161:M161&gt;0, I$1:M$1, ""))</f>
        <v>Tech Infrastructure, Tech Application</v>
      </c>
      <c r="I161">
        <v>1</v>
      </c>
      <c r="J161">
        <v>1</v>
      </c>
      <c r="K161">
        <v>0</v>
      </c>
      <c r="L161">
        <v>0</v>
      </c>
      <c r="M161">
        <v>0</v>
      </c>
      <c r="N161">
        <v>0</v>
      </c>
    </row>
    <row r="162" spans="1:14" x14ac:dyDescent="0.35">
      <c r="A162" t="s">
        <v>6</v>
      </c>
      <c r="B162" t="s">
        <v>439</v>
      </c>
      <c r="E162" t="s">
        <v>50</v>
      </c>
      <c r="F162" t="s">
        <v>440</v>
      </c>
      <c r="H162" t="str" cm="1">
        <f t="array" ref="H162">_xlfn.TEXTJOIN(", ", TRUE, IF(I162:M162&gt;0, I$1:M$1, ""))</f>
        <v>Tech Infrastructure</v>
      </c>
      <c r="I162">
        <v>4</v>
      </c>
      <c r="J162">
        <v>0</v>
      </c>
      <c r="K162">
        <v>0</v>
      </c>
      <c r="L162">
        <v>0</v>
      </c>
      <c r="M162">
        <v>0</v>
      </c>
      <c r="N162">
        <v>1</v>
      </c>
    </row>
    <row r="163" spans="1:14" x14ac:dyDescent="0.35">
      <c r="A163" t="s">
        <v>6</v>
      </c>
      <c r="B163" t="s">
        <v>441</v>
      </c>
      <c r="C163" t="s">
        <v>442</v>
      </c>
      <c r="E163" t="s">
        <v>121</v>
      </c>
      <c r="F163" t="s">
        <v>152</v>
      </c>
      <c r="H163" t="str" cm="1">
        <f t="array" ref="H163">_xlfn.TEXTJOIN(", ", TRUE, IF(I163:M163&gt;0, I$1:M$1, ""))</f>
        <v>Tech Application</v>
      </c>
      <c r="I163">
        <v>0</v>
      </c>
      <c r="J163">
        <v>4</v>
      </c>
      <c r="K163">
        <v>0</v>
      </c>
      <c r="L163">
        <v>0</v>
      </c>
      <c r="M163">
        <v>0</v>
      </c>
      <c r="N163">
        <v>2</v>
      </c>
    </row>
    <row r="164" spans="1:14" x14ac:dyDescent="0.35">
      <c r="A164" t="s">
        <v>6</v>
      </c>
      <c r="B164" t="s">
        <v>443</v>
      </c>
      <c r="E164" t="s">
        <v>62</v>
      </c>
      <c r="F164" t="s">
        <v>444</v>
      </c>
      <c r="H164" t="str" cm="1">
        <f t="array" ref="H164">_xlfn.TEXTJOIN(", ", TRUE, IF(I164:M164&gt;0, I$1:M$1, ""))</f>
        <v>Semantic View</v>
      </c>
      <c r="I164">
        <v>0</v>
      </c>
      <c r="J164">
        <v>0</v>
      </c>
      <c r="K164">
        <v>0</v>
      </c>
      <c r="L164">
        <v>0</v>
      </c>
      <c r="M164">
        <v>1</v>
      </c>
      <c r="N164">
        <v>0</v>
      </c>
    </row>
    <row r="165" spans="1:14" x14ac:dyDescent="0.35">
      <c r="A165" t="s">
        <v>6</v>
      </c>
      <c r="B165" t="s">
        <v>445</v>
      </c>
      <c r="D165" t="s">
        <v>446</v>
      </c>
      <c r="E165" t="s">
        <v>230</v>
      </c>
      <c r="F165" t="s">
        <v>447</v>
      </c>
      <c r="H165" t="str" cm="1">
        <f t="array" ref="H165">_xlfn.TEXTJOIN(", ", TRUE, IF(I165:M165&gt;0, I$1:M$1, ""))</f>
        <v>Tech Application</v>
      </c>
      <c r="I165">
        <v>0</v>
      </c>
      <c r="J165">
        <v>7</v>
      </c>
      <c r="K165">
        <v>0</v>
      </c>
      <c r="L165">
        <v>0</v>
      </c>
      <c r="M165">
        <v>0</v>
      </c>
      <c r="N165">
        <v>0</v>
      </c>
    </row>
    <row r="166" spans="1:14" x14ac:dyDescent="0.35">
      <c r="A166" t="s">
        <v>6</v>
      </c>
      <c r="B166" t="s">
        <v>448</v>
      </c>
      <c r="D166" t="s">
        <v>449</v>
      </c>
      <c r="E166" t="s">
        <v>62</v>
      </c>
      <c r="F166" t="s">
        <v>450</v>
      </c>
      <c r="H166" t="str" cm="1">
        <f t="array" ref="H166">_xlfn.TEXTJOIN(", ", TRUE, IF(I166:M166&gt;0, I$1:M$1, ""))</f>
        <v>Legal View</v>
      </c>
      <c r="I166">
        <v>0</v>
      </c>
      <c r="J166">
        <v>0</v>
      </c>
      <c r="K166">
        <v>5</v>
      </c>
      <c r="L166">
        <v>0</v>
      </c>
      <c r="M166">
        <v>0</v>
      </c>
      <c r="N166">
        <v>0</v>
      </c>
    </row>
    <row r="167" spans="1:14" x14ac:dyDescent="0.35">
      <c r="A167" t="s">
        <v>6</v>
      </c>
      <c r="B167" t="s">
        <v>451</v>
      </c>
      <c r="D167" t="s">
        <v>452</v>
      </c>
      <c r="E167" t="s">
        <v>69</v>
      </c>
      <c r="F167" t="s">
        <v>55</v>
      </c>
      <c r="H167" t="str" cm="1">
        <f t="array" ref="H167">_xlfn.TEXTJOIN(", ", TRUE, IF(I167:M167&gt;0, I$1:M$1, ""))</f>
        <v>Tech Infrastructure, Tech Application</v>
      </c>
      <c r="I167">
        <v>1</v>
      </c>
      <c r="J167">
        <v>5</v>
      </c>
      <c r="K167">
        <v>0</v>
      </c>
      <c r="L167">
        <v>0</v>
      </c>
      <c r="M167">
        <v>0</v>
      </c>
      <c r="N167">
        <v>0</v>
      </c>
    </row>
    <row r="168" spans="1:14" x14ac:dyDescent="0.35">
      <c r="A168" t="s">
        <v>6</v>
      </c>
      <c r="B168" t="s">
        <v>453</v>
      </c>
      <c r="C168" t="s">
        <v>454</v>
      </c>
      <c r="E168" t="s">
        <v>455</v>
      </c>
      <c r="F168" t="s">
        <v>180</v>
      </c>
      <c r="H168" t="str" cm="1">
        <f t="array" ref="H168">_xlfn.TEXTJOIN(", ", TRUE, IF(I168:M168&gt;0, I$1:M$1, ""))</f>
        <v>Tech Application</v>
      </c>
      <c r="I168">
        <v>0</v>
      </c>
      <c r="J168">
        <v>2</v>
      </c>
      <c r="K168">
        <v>0</v>
      </c>
      <c r="L168">
        <v>0</v>
      </c>
      <c r="M168">
        <v>0</v>
      </c>
      <c r="N168">
        <v>0</v>
      </c>
    </row>
    <row r="169" spans="1:14" x14ac:dyDescent="0.35">
      <c r="A169" t="s">
        <v>6</v>
      </c>
      <c r="B169" t="s">
        <v>456</v>
      </c>
      <c r="E169" t="s">
        <v>121</v>
      </c>
      <c r="F169" t="s">
        <v>97</v>
      </c>
      <c r="H169" t="str" cm="1">
        <f t="array" ref="H169">_xlfn.TEXTJOIN(", ", TRUE, IF(I169:M169&gt;0, I$1:M$1, ""))</f>
        <v>Tech Application</v>
      </c>
      <c r="I169">
        <v>0</v>
      </c>
      <c r="J169">
        <v>1</v>
      </c>
      <c r="K169">
        <v>0</v>
      </c>
      <c r="L169">
        <v>0</v>
      </c>
      <c r="M169">
        <v>0</v>
      </c>
      <c r="N169">
        <v>0</v>
      </c>
    </row>
    <row r="170" spans="1:14" x14ac:dyDescent="0.35">
      <c r="A170" t="s">
        <v>6</v>
      </c>
      <c r="B170" t="s">
        <v>457</v>
      </c>
      <c r="C170" t="s">
        <v>458</v>
      </c>
      <c r="D170" t="s">
        <v>459</v>
      </c>
      <c r="E170" t="s">
        <v>230</v>
      </c>
      <c r="F170" t="s">
        <v>55</v>
      </c>
      <c r="H170" t="str" cm="1">
        <f t="array" ref="H170">_xlfn.TEXTJOIN(", ", TRUE, IF(I170:M170&gt;0, I$1:M$1, ""))</f>
        <v>Semantic View</v>
      </c>
      <c r="I170">
        <v>0</v>
      </c>
      <c r="J170">
        <v>0</v>
      </c>
      <c r="K170">
        <v>0</v>
      </c>
      <c r="L170">
        <v>0</v>
      </c>
      <c r="M170">
        <v>2</v>
      </c>
      <c r="N170">
        <v>0</v>
      </c>
    </row>
    <row r="171" spans="1:14" x14ac:dyDescent="0.35">
      <c r="A171" t="s">
        <v>6</v>
      </c>
      <c r="B171" t="s">
        <v>460</v>
      </c>
      <c r="E171" t="s">
        <v>121</v>
      </c>
      <c r="F171" t="s">
        <v>461</v>
      </c>
      <c r="H171" t="str" cm="1">
        <f t="array" ref="H171">_xlfn.TEXTJOIN(", ", TRUE, IF(I171:M171&gt;0, I$1:M$1, ""))</f>
        <v>Tech Application</v>
      </c>
      <c r="I171">
        <v>0</v>
      </c>
      <c r="J171">
        <v>2</v>
      </c>
      <c r="K171">
        <v>0</v>
      </c>
      <c r="L171">
        <v>0</v>
      </c>
      <c r="M171">
        <v>0</v>
      </c>
      <c r="N171">
        <v>0</v>
      </c>
    </row>
    <row r="172" spans="1:14" x14ac:dyDescent="0.35">
      <c r="A172" t="s">
        <v>6</v>
      </c>
      <c r="B172" t="s">
        <v>462</v>
      </c>
      <c r="D172" t="s">
        <v>463</v>
      </c>
      <c r="E172" t="s">
        <v>464</v>
      </c>
      <c r="F172" t="s">
        <v>55</v>
      </c>
      <c r="H172" t="str" cm="1">
        <f t="array" ref="H172">_xlfn.TEXTJOIN(", ", TRUE, IF(I172:M172&gt;0, I$1:M$1, ""))</f>
        <v>Tech Infrastructure</v>
      </c>
      <c r="I172">
        <v>1</v>
      </c>
      <c r="J172">
        <v>0</v>
      </c>
      <c r="K172">
        <v>0</v>
      </c>
      <c r="L172">
        <v>0</v>
      </c>
      <c r="M172">
        <v>0</v>
      </c>
      <c r="N172">
        <v>0</v>
      </c>
    </row>
    <row r="173" spans="1:14" x14ac:dyDescent="0.35">
      <c r="A173" t="s">
        <v>6</v>
      </c>
      <c r="B173" t="s">
        <v>465</v>
      </c>
      <c r="D173" t="s">
        <v>466</v>
      </c>
      <c r="E173" t="s">
        <v>59</v>
      </c>
      <c r="F173" t="s">
        <v>467</v>
      </c>
      <c r="H173" t="str" cm="1">
        <f t="array" ref="H173">_xlfn.TEXTJOIN(", ", TRUE, IF(I173:M173&gt;0, I$1:M$1, ""))</f>
        <v>Organisational View</v>
      </c>
      <c r="I173">
        <v>0</v>
      </c>
      <c r="J173">
        <v>0</v>
      </c>
      <c r="K173">
        <v>0</v>
      </c>
      <c r="L173">
        <v>2</v>
      </c>
      <c r="M173">
        <v>0</v>
      </c>
      <c r="N173">
        <v>0</v>
      </c>
    </row>
    <row r="174" spans="1:14" x14ac:dyDescent="0.35">
      <c r="A174" t="s">
        <v>6</v>
      </c>
      <c r="B174" t="s">
        <v>468</v>
      </c>
      <c r="C174" t="s">
        <v>469</v>
      </c>
      <c r="E174" t="s">
        <v>121</v>
      </c>
      <c r="F174" t="s">
        <v>97</v>
      </c>
      <c r="H174" t="str" cm="1">
        <f t="array" ref="H174">_xlfn.TEXTJOIN(", ", TRUE, IF(I174:M174&gt;0, I$1:M$1, ""))</f>
        <v>Semantic View</v>
      </c>
      <c r="I174">
        <v>0</v>
      </c>
      <c r="J174">
        <v>0</v>
      </c>
      <c r="K174">
        <v>0</v>
      </c>
      <c r="L174">
        <v>0</v>
      </c>
      <c r="M174">
        <v>3</v>
      </c>
      <c r="N174">
        <v>2</v>
      </c>
    </row>
    <row r="175" spans="1:14" x14ac:dyDescent="0.35">
      <c r="A175" t="s">
        <v>6</v>
      </c>
      <c r="B175" t="s">
        <v>470</v>
      </c>
      <c r="C175" t="s">
        <v>471</v>
      </c>
      <c r="D175" t="s">
        <v>472</v>
      </c>
      <c r="E175" t="s">
        <v>50</v>
      </c>
      <c r="F175" t="s">
        <v>473</v>
      </c>
      <c r="H175" t="str" cm="1">
        <f t="array" ref="H175">_xlfn.TEXTJOIN(", ", TRUE, IF(I175:M175&gt;0, I$1:M$1, ""))</f>
        <v>Tech Infrastructure, Tech Application</v>
      </c>
      <c r="I175">
        <v>2</v>
      </c>
      <c r="J175">
        <v>6</v>
      </c>
      <c r="K175">
        <v>0</v>
      </c>
      <c r="L175">
        <v>0</v>
      </c>
      <c r="M175">
        <v>0</v>
      </c>
      <c r="N175">
        <v>0</v>
      </c>
    </row>
    <row r="176" spans="1:14" x14ac:dyDescent="0.35">
      <c r="A176" t="s">
        <v>6</v>
      </c>
      <c r="B176" t="s">
        <v>474</v>
      </c>
      <c r="C176" t="s">
        <v>475</v>
      </c>
      <c r="E176" t="s">
        <v>66</v>
      </c>
      <c r="F176" t="s">
        <v>55</v>
      </c>
      <c r="H176" t="str" cm="1">
        <f t="array" ref="H176">_xlfn.TEXTJOIN(", ", TRUE, IF(I176:M176&gt;0, I$1:M$1, ""))</f>
        <v>Tech Infrastructure, Semantic View</v>
      </c>
      <c r="I176">
        <v>1</v>
      </c>
      <c r="J176">
        <v>0</v>
      </c>
      <c r="K176">
        <v>0</v>
      </c>
      <c r="L176">
        <v>0</v>
      </c>
      <c r="M176">
        <v>2</v>
      </c>
      <c r="N176">
        <v>0</v>
      </c>
    </row>
    <row r="177" spans="1:14" x14ac:dyDescent="0.35">
      <c r="A177" t="s">
        <v>6</v>
      </c>
      <c r="B177" t="s">
        <v>476</v>
      </c>
      <c r="D177" t="s">
        <v>477</v>
      </c>
      <c r="E177" t="s">
        <v>66</v>
      </c>
      <c r="F177" t="s">
        <v>478</v>
      </c>
      <c r="H177" t="str" cm="1">
        <f t="array" ref="H177">_xlfn.TEXTJOIN(", ", TRUE, IF(I177:M177&gt;0, I$1:M$1, ""))</f>
        <v>Legal View</v>
      </c>
      <c r="I177">
        <v>0</v>
      </c>
      <c r="J177">
        <v>0</v>
      </c>
      <c r="K177">
        <v>1</v>
      </c>
      <c r="L177">
        <v>0</v>
      </c>
      <c r="M177">
        <v>0</v>
      </c>
      <c r="N177">
        <v>0</v>
      </c>
    </row>
    <row r="178" spans="1:14" x14ac:dyDescent="0.35">
      <c r="A178" t="s">
        <v>6</v>
      </c>
      <c r="B178" t="s">
        <v>479</v>
      </c>
      <c r="C178" t="s">
        <v>479</v>
      </c>
      <c r="E178" t="s">
        <v>96</v>
      </c>
      <c r="F178" t="s">
        <v>480</v>
      </c>
      <c r="H178" t="str" cm="1">
        <f t="array" ref="H178">_xlfn.TEXTJOIN(", ", TRUE, IF(I178:M178&gt;0, I$1:M$1, ""))</f>
        <v>Tech Application</v>
      </c>
      <c r="I178">
        <v>0</v>
      </c>
      <c r="J178">
        <v>2</v>
      </c>
      <c r="K178">
        <v>0</v>
      </c>
      <c r="L178">
        <v>0</v>
      </c>
      <c r="M178">
        <v>0</v>
      </c>
      <c r="N178">
        <v>1</v>
      </c>
    </row>
    <row r="179" spans="1:14" x14ac:dyDescent="0.35">
      <c r="A179" t="s">
        <v>6</v>
      </c>
      <c r="B179" t="s">
        <v>481</v>
      </c>
      <c r="D179" t="s">
        <v>482</v>
      </c>
      <c r="E179" t="s">
        <v>59</v>
      </c>
      <c r="F179" t="s">
        <v>100</v>
      </c>
      <c r="H179" t="str" cm="1">
        <f t="array" ref="H179">_xlfn.TEXTJOIN(", ", TRUE, IF(I179:M179&gt;0, I$1:M$1, ""))</f>
        <v>Organisational View, Semantic View</v>
      </c>
      <c r="I179">
        <v>0</v>
      </c>
      <c r="J179">
        <v>0</v>
      </c>
      <c r="K179">
        <v>0</v>
      </c>
      <c r="L179">
        <v>1</v>
      </c>
      <c r="M179">
        <v>3</v>
      </c>
      <c r="N179">
        <v>0</v>
      </c>
    </row>
    <row r="180" spans="1:14" x14ac:dyDescent="0.35">
      <c r="A180" t="s">
        <v>6</v>
      </c>
      <c r="B180" t="s">
        <v>483</v>
      </c>
      <c r="D180" t="s">
        <v>484</v>
      </c>
      <c r="E180" t="s">
        <v>336</v>
      </c>
      <c r="F180" t="s">
        <v>55</v>
      </c>
      <c r="H180" t="str" cm="1">
        <f t="array" ref="H180">_xlfn.TEXTJOIN(", ", TRUE, IF(I180:M180&gt;0, I$1:M$1, ""))</f>
        <v>Tech Infrastructure, Organisational View</v>
      </c>
      <c r="I180">
        <v>1</v>
      </c>
      <c r="J180">
        <v>0</v>
      </c>
      <c r="K180">
        <v>0</v>
      </c>
      <c r="L180">
        <v>1</v>
      </c>
      <c r="M180">
        <v>0</v>
      </c>
      <c r="N180">
        <v>0</v>
      </c>
    </row>
    <row r="181" spans="1:14" x14ac:dyDescent="0.35">
      <c r="A181" t="s">
        <v>6</v>
      </c>
      <c r="B181" t="s">
        <v>485</v>
      </c>
      <c r="C181" t="s">
        <v>486</v>
      </c>
      <c r="E181" t="s">
        <v>59</v>
      </c>
      <c r="F181" t="s">
        <v>487</v>
      </c>
      <c r="H181" t="str" cm="1">
        <f t="array" ref="H181">_xlfn.TEXTJOIN(", ", TRUE, IF(I181:M181&gt;0, I$1:M$1, ""))</f>
        <v>Tech Infrastructure, Tech Application</v>
      </c>
      <c r="I181">
        <v>1</v>
      </c>
      <c r="J181">
        <v>2</v>
      </c>
      <c r="K181">
        <v>0</v>
      </c>
      <c r="L181">
        <v>0</v>
      </c>
      <c r="M181">
        <v>0</v>
      </c>
      <c r="N181">
        <v>0</v>
      </c>
    </row>
    <row r="182" spans="1:14" x14ac:dyDescent="0.35">
      <c r="A182" t="s">
        <v>6</v>
      </c>
      <c r="B182" t="s">
        <v>488</v>
      </c>
      <c r="E182" t="s">
        <v>489</v>
      </c>
      <c r="F182" t="s">
        <v>51</v>
      </c>
      <c r="H182" t="str" cm="1">
        <f t="array" ref="H182">_xlfn.TEXTJOIN(", ", TRUE, IF(I182:M182&gt;0, I$1:M$1, ""))</f>
        <v>Semantic View</v>
      </c>
      <c r="I182">
        <v>0</v>
      </c>
      <c r="J182">
        <v>0</v>
      </c>
      <c r="K182">
        <v>0</v>
      </c>
      <c r="L182">
        <v>0</v>
      </c>
      <c r="M182">
        <v>2</v>
      </c>
      <c r="N182">
        <v>0</v>
      </c>
    </row>
    <row r="183" spans="1:14" x14ac:dyDescent="0.35">
      <c r="A183" t="s">
        <v>6</v>
      </c>
      <c r="B183" t="s">
        <v>490</v>
      </c>
      <c r="C183" t="s">
        <v>491</v>
      </c>
      <c r="E183" t="s">
        <v>124</v>
      </c>
      <c r="F183" t="s">
        <v>55</v>
      </c>
      <c r="H183" t="str" cm="1">
        <f t="array" ref="H183">_xlfn.TEXTJOIN(", ", TRUE, IF(I183:M183&gt;0, I$1:M$1, ""))</f>
        <v>Tech Application</v>
      </c>
      <c r="I183">
        <v>0</v>
      </c>
      <c r="J183">
        <v>1</v>
      </c>
      <c r="K183">
        <v>0</v>
      </c>
      <c r="L183">
        <v>0</v>
      </c>
      <c r="M183">
        <v>0</v>
      </c>
      <c r="N183">
        <v>0</v>
      </c>
    </row>
    <row r="184" spans="1:14" x14ac:dyDescent="0.35">
      <c r="A184" t="s">
        <v>6</v>
      </c>
      <c r="B184" t="s">
        <v>492</v>
      </c>
      <c r="D184" t="s">
        <v>493</v>
      </c>
      <c r="E184" t="s">
        <v>59</v>
      </c>
      <c r="F184" t="s">
        <v>155</v>
      </c>
      <c r="H184" t="str" cm="1">
        <f t="array" ref="H184">_xlfn.TEXTJOIN(", ", TRUE, IF(I184:M184&gt;0, I$1:M$1, ""))</f>
        <v/>
      </c>
      <c r="I184">
        <v>0</v>
      </c>
      <c r="J184">
        <v>0</v>
      </c>
      <c r="K184">
        <v>0</v>
      </c>
      <c r="L184">
        <v>0</v>
      </c>
      <c r="M184">
        <v>0</v>
      </c>
      <c r="N184">
        <v>0</v>
      </c>
    </row>
    <row r="185" spans="1:14" x14ac:dyDescent="0.35">
      <c r="A185" t="s">
        <v>6</v>
      </c>
      <c r="B185" t="s">
        <v>494</v>
      </c>
      <c r="C185" t="s">
        <v>495</v>
      </c>
      <c r="E185" t="s">
        <v>62</v>
      </c>
      <c r="F185" t="s">
        <v>92</v>
      </c>
      <c r="H185" t="str" cm="1">
        <f t="array" ref="H185">_xlfn.TEXTJOIN(", ", TRUE, IF(I185:M185&gt;0, I$1:M$1, ""))</f>
        <v>Semantic View</v>
      </c>
      <c r="I185">
        <v>0</v>
      </c>
      <c r="J185">
        <v>0</v>
      </c>
      <c r="K185">
        <v>0</v>
      </c>
      <c r="L185">
        <v>0</v>
      </c>
      <c r="M185">
        <v>1</v>
      </c>
      <c r="N185">
        <v>0</v>
      </c>
    </row>
    <row r="186" spans="1:14" x14ac:dyDescent="0.35">
      <c r="A186" t="s">
        <v>6</v>
      </c>
      <c r="B186" t="s">
        <v>496</v>
      </c>
      <c r="E186" t="s">
        <v>66</v>
      </c>
      <c r="F186" t="s">
        <v>497</v>
      </c>
      <c r="H186" t="str" cm="1">
        <f t="array" ref="H186">_xlfn.TEXTJOIN(", ", TRUE, IF(I186:M186&gt;0, I$1:M$1, ""))</f>
        <v>Semantic View</v>
      </c>
      <c r="I186">
        <v>0</v>
      </c>
      <c r="J186">
        <v>0</v>
      </c>
      <c r="K186">
        <v>0</v>
      </c>
      <c r="L186">
        <v>0</v>
      </c>
      <c r="M186">
        <v>1</v>
      </c>
      <c r="N186">
        <v>0</v>
      </c>
    </row>
    <row r="187" spans="1:14" x14ac:dyDescent="0.35">
      <c r="A187" t="s">
        <v>6</v>
      </c>
      <c r="B187" t="s">
        <v>498</v>
      </c>
      <c r="C187" t="s">
        <v>499</v>
      </c>
      <c r="E187" t="s">
        <v>308</v>
      </c>
      <c r="F187" t="s">
        <v>55</v>
      </c>
      <c r="H187" t="str" cm="1">
        <f t="array" ref="H187">_xlfn.TEXTJOIN(", ", TRUE, IF(I187:M187&gt;0, I$1:M$1, ""))</f>
        <v>Tech Infrastructure</v>
      </c>
      <c r="I187">
        <v>4</v>
      </c>
      <c r="J187">
        <v>0</v>
      </c>
      <c r="K187">
        <v>0</v>
      </c>
      <c r="L187">
        <v>0</v>
      </c>
      <c r="M187">
        <v>0</v>
      </c>
      <c r="N187">
        <v>0</v>
      </c>
    </row>
    <row r="188" spans="1:14" x14ac:dyDescent="0.35">
      <c r="A188" t="s">
        <v>6</v>
      </c>
      <c r="B188" t="s">
        <v>500</v>
      </c>
      <c r="C188" t="s">
        <v>500</v>
      </c>
      <c r="E188" t="s">
        <v>121</v>
      </c>
      <c r="F188" t="s">
        <v>409</v>
      </c>
      <c r="H188" t="str" cm="1">
        <f t="array" ref="H188">_xlfn.TEXTJOIN(", ", TRUE, IF(I188:M188&gt;0, I$1:M$1, ""))</f>
        <v>Legal View, Semantic View</v>
      </c>
      <c r="I188">
        <v>0</v>
      </c>
      <c r="J188">
        <v>0</v>
      </c>
      <c r="K188">
        <v>1</v>
      </c>
      <c r="L188">
        <v>0</v>
      </c>
      <c r="M188">
        <v>1</v>
      </c>
      <c r="N188">
        <v>0</v>
      </c>
    </row>
    <row r="189" spans="1:14" x14ac:dyDescent="0.35">
      <c r="A189" t="s">
        <v>6</v>
      </c>
      <c r="B189" t="s">
        <v>501</v>
      </c>
      <c r="C189" t="s">
        <v>502</v>
      </c>
      <c r="E189" t="s">
        <v>121</v>
      </c>
      <c r="F189" t="s">
        <v>180</v>
      </c>
      <c r="H189" t="str" cm="1">
        <f t="array" ref="H189">_xlfn.TEXTJOIN(", ", TRUE, IF(I189:M189&gt;0, I$1:M$1, ""))</f>
        <v/>
      </c>
      <c r="I189">
        <v>0</v>
      </c>
      <c r="J189">
        <v>0</v>
      </c>
      <c r="K189">
        <v>0</v>
      </c>
      <c r="L189">
        <v>0</v>
      </c>
      <c r="M189">
        <v>0</v>
      </c>
      <c r="N189">
        <v>0</v>
      </c>
    </row>
    <row r="190" spans="1:14" x14ac:dyDescent="0.35">
      <c r="A190" t="s">
        <v>6</v>
      </c>
      <c r="B190" t="s">
        <v>503</v>
      </c>
      <c r="D190" t="s">
        <v>504</v>
      </c>
      <c r="E190" t="s">
        <v>69</v>
      </c>
      <c r="F190" t="s">
        <v>55</v>
      </c>
      <c r="H190" t="str" cm="1">
        <f t="array" ref="H190">_xlfn.TEXTJOIN(", ", TRUE, IF(I190:M190&gt;0, I$1:M$1, ""))</f>
        <v>Tech Application</v>
      </c>
      <c r="I190">
        <v>0</v>
      </c>
      <c r="J190">
        <v>2</v>
      </c>
      <c r="K190">
        <v>0</v>
      </c>
      <c r="L190">
        <v>0</v>
      </c>
      <c r="M190">
        <v>0</v>
      </c>
      <c r="N190">
        <v>0</v>
      </c>
    </row>
    <row r="191" spans="1:14" x14ac:dyDescent="0.35">
      <c r="A191" t="s">
        <v>6</v>
      </c>
      <c r="B191" t="s">
        <v>505</v>
      </c>
      <c r="D191" t="s">
        <v>506</v>
      </c>
      <c r="E191" t="s">
        <v>66</v>
      </c>
      <c r="F191" t="s">
        <v>507</v>
      </c>
      <c r="H191" t="str" cm="1">
        <f t="array" ref="H191">_xlfn.TEXTJOIN(", ", TRUE, IF(I191:M191&gt;0, I$1:M$1, ""))</f>
        <v>Legal View</v>
      </c>
      <c r="I191">
        <v>0</v>
      </c>
      <c r="J191">
        <v>0</v>
      </c>
      <c r="K191">
        <v>5</v>
      </c>
      <c r="L191">
        <v>0</v>
      </c>
      <c r="M191">
        <v>0</v>
      </c>
      <c r="N191">
        <v>0</v>
      </c>
    </row>
    <row r="192" spans="1:14" x14ac:dyDescent="0.35">
      <c r="A192" t="s">
        <v>6</v>
      </c>
      <c r="B192" t="s">
        <v>508</v>
      </c>
      <c r="C192" t="s">
        <v>509</v>
      </c>
      <c r="E192" t="s">
        <v>510</v>
      </c>
      <c r="F192" t="s">
        <v>55</v>
      </c>
      <c r="H192" t="str" cm="1">
        <f t="array" ref="H192">_xlfn.TEXTJOIN(", ", TRUE, IF(I192:M192&gt;0, I$1:M$1, ""))</f>
        <v>Tech Application, Semantic View</v>
      </c>
      <c r="I192">
        <v>0</v>
      </c>
      <c r="J192">
        <v>2</v>
      </c>
      <c r="K192">
        <v>0</v>
      </c>
      <c r="L192">
        <v>0</v>
      </c>
      <c r="M192">
        <v>2</v>
      </c>
      <c r="N192">
        <v>0</v>
      </c>
    </row>
    <row r="193" spans="1:14" x14ac:dyDescent="0.35">
      <c r="A193" t="s">
        <v>6</v>
      </c>
      <c r="B193" t="s">
        <v>511</v>
      </c>
      <c r="D193" t="s">
        <v>512</v>
      </c>
      <c r="E193" t="s">
        <v>69</v>
      </c>
      <c r="F193" t="s">
        <v>51</v>
      </c>
      <c r="H193" t="str" cm="1">
        <f t="array" ref="H193">_xlfn.TEXTJOIN(", ", TRUE, IF(I193:M193&gt;0, I$1:M$1, ""))</f>
        <v>Organisational View</v>
      </c>
      <c r="I193">
        <v>0</v>
      </c>
      <c r="J193">
        <v>0</v>
      </c>
      <c r="K193">
        <v>0</v>
      </c>
      <c r="L193">
        <v>2</v>
      </c>
      <c r="M193">
        <v>0</v>
      </c>
      <c r="N193">
        <v>0</v>
      </c>
    </row>
    <row r="194" spans="1:14" x14ac:dyDescent="0.35">
      <c r="A194" t="s">
        <v>6</v>
      </c>
      <c r="B194" t="s">
        <v>513</v>
      </c>
      <c r="C194" t="s">
        <v>514</v>
      </c>
      <c r="E194" t="s">
        <v>121</v>
      </c>
      <c r="F194" t="s">
        <v>55</v>
      </c>
      <c r="H194" t="str" cm="1">
        <f t="array" ref="H194">_xlfn.TEXTJOIN(", ", TRUE, IF(I194:M194&gt;0, I$1:M$1, ""))</f>
        <v>Semantic View</v>
      </c>
      <c r="I194">
        <v>0</v>
      </c>
      <c r="J194">
        <v>0</v>
      </c>
      <c r="K194">
        <v>0</v>
      </c>
      <c r="L194">
        <v>0</v>
      </c>
      <c r="M194">
        <v>2</v>
      </c>
      <c r="N194">
        <v>0</v>
      </c>
    </row>
    <row r="195" spans="1:14" x14ac:dyDescent="0.35">
      <c r="A195" t="s">
        <v>6</v>
      </c>
      <c r="B195" t="s">
        <v>515</v>
      </c>
      <c r="E195" t="s">
        <v>516</v>
      </c>
      <c r="F195" t="s">
        <v>55</v>
      </c>
      <c r="H195" t="str" cm="1">
        <f t="array" ref="H195">_xlfn.TEXTJOIN(", ", TRUE, IF(I195:M195&gt;0, I$1:M$1, ""))</f>
        <v>Organisational View</v>
      </c>
      <c r="I195">
        <v>0</v>
      </c>
      <c r="J195">
        <v>0</v>
      </c>
      <c r="K195">
        <v>0</v>
      </c>
      <c r="L195">
        <v>1</v>
      </c>
      <c r="M195">
        <v>0</v>
      </c>
      <c r="N195">
        <v>0</v>
      </c>
    </row>
    <row r="196" spans="1:14" x14ac:dyDescent="0.35">
      <c r="A196" t="s">
        <v>6</v>
      </c>
      <c r="B196" t="s">
        <v>517</v>
      </c>
      <c r="D196" t="s">
        <v>518</v>
      </c>
      <c r="E196" t="s">
        <v>230</v>
      </c>
      <c r="F196" t="s">
        <v>111</v>
      </c>
      <c r="H196" t="str" cm="1">
        <f t="array" ref="H196">_xlfn.TEXTJOIN(", ", TRUE, IF(I196:M196&gt;0, I$1:M$1, ""))</f>
        <v>Tech Infrastructure, Organisational View</v>
      </c>
      <c r="I196">
        <v>1</v>
      </c>
      <c r="J196">
        <v>0</v>
      </c>
      <c r="K196">
        <v>0</v>
      </c>
      <c r="L196">
        <v>2</v>
      </c>
      <c r="M196">
        <v>0</v>
      </c>
      <c r="N196">
        <v>0</v>
      </c>
    </row>
    <row r="197" spans="1:14" x14ac:dyDescent="0.35">
      <c r="A197" t="s">
        <v>6</v>
      </c>
      <c r="B197" t="s">
        <v>519</v>
      </c>
      <c r="E197" t="s">
        <v>489</v>
      </c>
      <c r="F197" t="s">
        <v>55</v>
      </c>
      <c r="H197" t="str" cm="1">
        <f t="array" ref="H197">_xlfn.TEXTJOIN(", ", TRUE, IF(I197:M197&gt;0, I$1:M$1, ""))</f>
        <v>Tech Application</v>
      </c>
      <c r="I197">
        <v>0</v>
      </c>
      <c r="J197">
        <v>7</v>
      </c>
      <c r="K197">
        <v>0</v>
      </c>
      <c r="L197">
        <v>0</v>
      </c>
      <c r="M197">
        <v>0</v>
      </c>
      <c r="N197">
        <v>1</v>
      </c>
    </row>
    <row r="198" spans="1:14" x14ac:dyDescent="0.35">
      <c r="A198" t="s">
        <v>6</v>
      </c>
      <c r="B198" t="s">
        <v>520</v>
      </c>
      <c r="C198" t="s">
        <v>521</v>
      </c>
      <c r="D198" t="s">
        <v>522</v>
      </c>
      <c r="E198" t="s">
        <v>50</v>
      </c>
      <c r="F198" t="s">
        <v>111</v>
      </c>
      <c r="H198" t="str" cm="1">
        <f t="array" ref="H198">_xlfn.TEXTJOIN(", ", TRUE, IF(I198:M198&gt;0, I$1:M$1, ""))</f>
        <v>Semantic View</v>
      </c>
      <c r="I198">
        <v>0</v>
      </c>
      <c r="J198">
        <v>0</v>
      </c>
      <c r="K198">
        <v>0</v>
      </c>
      <c r="L198">
        <v>0</v>
      </c>
      <c r="M198">
        <v>2</v>
      </c>
      <c r="N198">
        <v>2</v>
      </c>
    </row>
    <row r="199" spans="1:14" x14ac:dyDescent="0.35">
      <c r="A199" t="s">
        <v>6</v>
      </c>
      <c r="B199" t="s">
        <v>523</v>
      </c>
      <c r="C199" t="s">
        <v>524</v>
      </c>
      <c r="D199" t="s">
        <v>525</v>
      </c>
      <c r="E199" t="s">
        <v>50</v>
      </c>
      <c r="F199" t="s">
        <v>55</v>
      </c>
      <c r="H199" t="str" cm="1">
        <f t="array" ref="H199">_xlfn.TEXTJOIN(", ", TRUE, IF(I199:M199&gt;0, I$1:M$1, ""))</f>
        <v>Tech Infrastructure, Tech Application</v>
      </c>
      <c r="I199">
        <v>4</v>
      </c>
      <c r="J199">
        <v>2</v>
      </c>
      <c r="K199">
        <v>0</v>
      </c>
      <c r="L199">
        <v>0</v>
      </c>
      <c r="M199">
        <v>0</v>
      </c>
      <c r="N199">
        <v>2</v>
      </c>
    </row>
    <row r="200" spans="1:14" x14ac:dyDescent="0.35">
      <c r="A200" t="s">
        <v>6</v>
      </c>
      <c r="B200" t="s">
        <v>526</v>
      </c>
      <c r="C200" t="s">
        <v>527</v>
      </c>
      <c r="E200" t="s">
        <v>50</v>
      </c>
      <c r="F200" t="s">
        <v>528</v>
      </c>
      <c r="H200" t="str" cm="1">
        <f t="array" ref="H200">_xlfn.TEXTJOIN(", ", TRUE, IF(I200:M200&gt;0, I$1:M$1, ""))</f>
        <v>Tech Application, Semantic View</v>
      </c>
      <c r="I200">
        <v>0</v>
      </c>
      <c r="J200">
        <v>2</v>
      </c>
      <c r="K200">
        <v>0</v>
      </c>
      <c r="L200">
        <v>0</v>
      </c>
      <c r="M200">
        <v>3</v>
      </c>
      <c r="N200">
        <v>0</v>
      </c>
    </row>
    <row r="201" spans="1:14" x14ac:dyDescent="0.35">
      <c r="A201" t="s">
        <v>6</v>
      </c>
      <c r="B201" t="s">
        <v>529</v>
      </c>
      <c r="D201" t="s">
        <v>530</v>
      </c>
      <c r="E201" t="s">
        <v>96</v>
      </c>
      <c r="F201" t="s">
        <v>55</v>
      </c>
      <c r="H201" t="str" cm="1">
        <f t="array" ref="H201">_xlfn.TEXTJOIN(", ", TRUE, IF(I201:M201&gt;0, I$1:M$1, ""))</f>
        <v>Semantic View</v>
      </c>
      <c r="I201">
        <v>0</v>
      </c>
      <c r="J201">
        <v>0</v>
      </c>
      <c r="K201">
        <v>0</v>
      </c>
      <c r="L201">
        <v>0</v>
      </c>
      <c r="M201">
        <v>3</v>
      </c>
      <c r="N201">
        <v>1</v>
      </c>
    </row>
    <row r="202" spans="1:14" x14ac:dyDescent="0.35">
      <c r="A202" t="s">
        <v>6</v>
      </c>
      <c r="B202" t="s">
        <v>531</v>
      </c>
      <c r="C202" t="s">
        <v>532</v>
      </c>
      <c r="E202" t="s">
        <v>533</v>
      </c>
      <c r="F202" t="s">
        <v>281</v>
      </c>
      <c r="H202" t="str" cm="1">
        <f t="array" ref="H202">_xlfn.TEXTJOIN(", ", TRUE, IF(I202:M202&gt;0, I$1:M$1, ""))</f>
        <v>Tech Application</v>
      </c>
      <c r="I202">
        <v>0</v>
      </c>
      <c r="J202">
        <v>2</v>
      </c>
      <c r="K202">
        <v>0</v>
      </c>
      <c r="L202">
        <v>0</v>
      </c>
      <c r="M202">
        <v>0</v>
      </c>
      <c r="N202">
        <v>0</v>
      </c>
    </row>
    <row r="203" spans="1:14" x14ac:dyDescent="0.35">
      <c r="A203" t="s">
        <v>6</v>
      </c>
      <c r="B203" t="s">
        <v>534</v>
      </c>
      <c r="E203" t="s">
        <v>293</v>
      </c>
      <c r="F203" t="s">
        <v>535</v>
      </c>
      <c r="H203" t="str" cm="1">
        <f t="array" ref="H203">_xlfn.TEXTJOIN(", ", TRUE, IF(I203:M203&gt;0, I$1:M$1, ""))</f>
        <v/>
      </c>
      <c r="I203">
        <v>0</v>
      </c>
      <c r="J203">
        <v>0</v>
      </c>
      <c r="K203">
        <v>0</v>
      </c>
      <c r="L203">
        <v>0</v>
      </c>
      <c r="M203">
        <v>0</v>
      </c>
      <c r="N203">
        <v>0</v>
      </c>
    </row>
    <row r="204" spans="1:14" x14ac:dyDescent="0.35">
      <c r="A204" t="s">
        <v>6</v>
      </c>
      <c r="B204" t="s">
        <v>536</v>
      </c>
      <c r="D204" t="s">
        <v>537</v>
      </c>
      <c r="E204" t="s">
        <v>230</v>
      </c>
      <c r="F204" t="s">
        <v>55</v>
      </c>
      <c r="H204" t="str" cm="1">
        <f t="array" ref="H204">_xlfn.TEXTJOIN(", ", TRUE, IF(I204:M204&gt;0, I$1:M$1, ""))</f>
        <v>Organisational View</v>
      </c>
      <c r="I204">
        <v>0</v>
      </c>
      <c r="J204">
        <v>0</v>
      </c>
      <c r="K204">
        <v>0</v>
      </c>
      <c r="L204">
        <v>1</v>
      </c>
      <c r="M204">
        <v>0</v>
      </c>
      <c r="N204">
        <v>0</v>
      </c>
    </row>
    <row r="205" spans="1:14" x14ac:dyDescent="0.35">
      <c r="A205" t="s">
        <v>6</v>
      </c>
      <c r="B205" t="s">
        <v>538</v>
      </c>
      <c r="D205" t="s">
        <v>539</v>
      </c>
      <c r="E205" t="s">
        <v>59</v>
      </c>
      <c r="F205" t="s">
        <v>540</v>
      </c>
      <c r="H205" t="str" cm="1">
        <f t="array" ref="H205">_xlfn.TEXTJOIN(", ", TRUE, IF(I205:M205&gt;0, I$1:M$1, ""))</f>
        <v>Organisational View</v>
      </c>
      <c r="I205">
        <v>0</v>
      </c>
      <c r="J205">
        <v>0</v>
      </c>
      <c r="K205">
        <v>0</v>
      </c>
      <c r="L205">
        <v>1</v>
      </c>
      <c r="M205">
        <v>0</v>
      </c>
      <c r="N205">
        <v>0</v>
      </c>
    </row>
    <row r="206" spans="1:14" x14ac:dyDescent="0.35">
      <c r="A206" t="s">
        <v>6</v>
      </c>
      <c r="B206" t="s">
        <v>541</v>
      </c>
      <c r="C206" t="s">
        <v>542</v>
      </c>
      <c r="E206" t="s">
        <v>543</v>
      </c>
      <c r="F206" t="s">
        <v>544</v>
      </c>
      <c r="H206" t="str" cm="1">
        <f t="array" ref="H206">_xlfn.TEXTJOIN(", ", TRUE, IF(I206:M206&gt;0, I$1:M$1, ""))</f>
        <v>Tech Infrastructure</v>
      </c>
      <c r="I206">
        <v>2</v>
      </c>
      <c r="J206">
        <v>0</v>
      </c>
      <c r="K206">
        <v>0</v>
      </c>
      <c r="L206">
        <v>0</v>
      </c>
      <c r="M206">
        <v>0</v>
      </c>
      <c r="N206">
        <v>0</v>
      </c>
    </row>
    <row r="207" spans="1:14" x14ac:dyDescent="0.35">
      <c r="A207" t="s">
        <v>6</v>
      </c>
      <c r="B207" t="s">
        <v>545</v>
      </c>
      <c r="C207" t="s">
        <v>546</v>
      </c>
      <c r="E207" t="s">
        <v>121</v>
      </c>
      <c r="F207" t="s">
        <v>92</v>
      </c>
      <c r="H207" t="str" cm="1">
        <f t="array" ref="H207">_xlfn.TEXTJOIN(", ", TRUE, IF(I207:M207&gt;0, I$1:M$1, ""))</f>
        <v>Tech Application, Semantic View</v>
      </c>
      <c r="I207">
        <v>0</v>
      </c>
      <c r="J207">
        <v>4</v>
      </c>
      <c r="K207">
        <v>0</v>
      </c>
      <c r="L207">
        <v>0</v>
      </c>
      <c r="M207">
        <v>10</v>
      </c>
      <c r="N207">
        <v>0</v>
      </c>
    </row>
    <row r="208" spans="1:14" x14ac:dyDescent="0.35">
      <c r="A208" t="s">
        <v>6</v>
      </c>
      <c r="B208" t="s">
        <v>547</v>
      </c>
      <c r="C208" t="s">
        <v>548</v>
      </c>
      <c r="E208" t="s">
        <v>549</v>
      </c>
      <c r="F208" t="s">
        <v>92</v>
      </c>
      <c r="H208" t="str" cm="1">
        <f t="array" ref="H208">_xlfn.TEXTJOIN(", ", TRUE, IF(I208:M208&gt;0, I$1:M$1, ""))</f>
        <v>Semantic View</v>
      </c>
      <c r="I208">
        <v>0</v>
      </c>
      <c r="J208">
        <v>0</v>
      </c>
      <c r="K208">
        <v>0</v>
      </c>
      <c r="L208">
        <v>0</v>
      </c>
      <c r="M208">
        <v>1</v>
      </c>
      <c r="N208">
        <v>0</v>
      </c>
    </row>
    <row r="209" spans="1:14" x14ac:dyDescent="0.35">
      <c r="A209" t="s">
        <v>6</v>
      </c>
      <c r="B209" t="s">
        <v>550</v>
      </c>
      <c r="D209" t="s">
        <v>551</v>
      </c>
      <c r="E209" t="s">
        <v>222</v>
      </c>
      <c r="F209" t="s">
        <v>55</v>
      </c>
      <c r="H209" t="str" cm="1">
        <f t="array" ref="H209">_xlfn.TEXTJOIN(", ", TRUE, IF(I209:M209&gt;0, I$1:M$1, ""))</f>
        <v>Semantic View</v>
      </c>
      <c r="I209">
        <v>0</v>
      </c>
      <c r="J209">
        <v>0</v>
      </c>
      <c r="K209">
        <v>0</v>
      </c>
      <c r="L209">
        <v>0</v>
      </c>
      <c r="M209">
        <v>4</v>
      </c>
      <c r="N209">
        <v>0</v>
      </c>
    </row>
    <row r="210" spans="1:14" x14ac:dyDescent="0.35">
      <c r="A210" t="s">
        <v>6</v>
      </c>
      <c r="B210" t="s">
        <v>552</v>
      </c>
      <c r="C210" t="s">
        <v>553</v>
      </c>
      <c r="E210" t="s">
        <v>50</v>
      </c>
      <c r="F210" t="s">
        <v>554</v>
      </c>
      <c r="H210" t="str" cm="1">
        <f t="array" ref="H210">_xlfn.TEXTJOIN(", ", TRUE, IF(I210:M210&gt;0, I$1:M$1, ""))</f>
        <v>Tech Infrastructure, Tech Application</v>
      </c>
      <c r="I210">
        <v>1</v>
      </c>
      <c r="J210">
        <v>2</v>
      </c>
      <c r="K210">
        <v>0</v>
      </c>
      <c r="L210">
        <v>0</v>
      </c>
      <c r="M210">
        <v>0</v>
      </c>
      <c r="N210">
        <v>3</v>
      </c>
    </row>
    <row r="211" spans="1:14" x14ac:dyDescent="0.35">
      <c r="A211" t="s">
        <v>6</v>
      </c>
      <c r="B211" t="s">
        <v>555</v>
      </c>
      <c r="C211" t="s">
        <v>556</v>
      </c>
      <c r="D211" t="s">
        <v>557</v>
      </c>
      <c r="E211" t="s">
        <v>50</v>
      </c>
      <c r="F211" t="s">
        <v>558</v>
      </c>
      <c r="H211" t="str" cm="1">
        <f t="array" ref="H211">_xlfn.TEXTJOIN(", ", TRUE, IF(I211:M211&gt;0, I$1:M$1, ""))</f>
        <v>Tech Application</v>
      </c>
      <c r="I211">
        <v>0</v>
      </c>
      <c r="J211">
        <v>1</v>
      </c>
      <c r="K211">
        <v>0</v>
      </c>
      <c r="L211">
        <v>0</v>
      </c>
      <c r="M211">
        <v>0</v>
      </c>
      <c r="N211">
        <v>1</v>
      </c>
    </row>
    <row r="212" spans="1:14" x14ac:dyDescent="0.35">
      <c r="A212" t="s">
        <v>6</v>
      </c>
      <c r="B212" t="s">
        <v>559</v>
      </c>
      <c r="E212" t="s">
        <v>154</v>
      </c>
      <c r="F212" t="s">
        <v>155</v>
      </c>
      <c r="H212" t="str" cm="1">
        <f t="array" ref="H212">_xlfn.TEXTJOIN(", ", TRUE, IF(I212:M212&gt;0, I$1:M$1, ""))</f>
        <v>Tech Application</v>
      </c>
      <c r="I212">
        <v>0</v>
      </c>
      <c r="J212">
        <v>3</v>
      </c>
      <c r="K212">
        <v>0</v>
      </c>
      <c r="L212">
        <v>0</v>
      </c>
      <c r="M212">
        <v>0</v>
      </c>
      <c r="N212">
        <v>0</v>
      </c>
    </row>
    <row r="213" spans="1:14" x14ac:dyDescent="0.35">
      <c r="A213" t="s">
        <v>6</v>
      </c>
      <c r="B213" t="s">
        <v>560</v>
      </c>
      <c r="C213" t="s">
        <v>561</v>
      </c>
      <c r="E213" t="s">
        <v>91</v>
      </c>
      <c r="F213" t="s">
        <v>562</v>
      </c>
      <c r="H213" t="str" cm="1">
        <f t="array" ref="H213">_xlfn.TEXTJOIN(", ", TRUE, IF(I213:M213&gt;0, I$1:M$1, ""))</f>
        <v>Semantic View</v>
      </c>
      <c r="I213">
        <v>0</v>
      </c>
      <c r="J213">
        <v>0</v>
      </c>
      <c r="K213">
        <v>0</v>
      </c>
      <c r="L213">
        <v>0</v>
      </c>
      <c r="M213">
        <v>4</v>
      </c>
      <c r="N213">
        <v>0</v>
      </c>
    </row>
    <row r="214" spans="1:14" x14ac:dyDescent="0.35">
      <c r="A214" t="s">
        <v>6</v>
      </c>
      <c r="B214" t="s">
        <v>563</v>
      </c>
      <c r="D214" t="s">
        <v>564</v>
      </c>
      <c r="E214" t="s">
        <v>69</v>
      </c>
      <c r="F214" t="s">
        <v>55</v>
      </c>
      <c r="H214" t="str" cm="1">
        <f t="array" ref="H214">_xlfn.TEXTJOIN(", ", TRUE, IF(I214:M214&gt;0, I$1:M$1, ""))</f>
        <v/>
      </c>
      <c r="I214">
        <v>0</v>
      </c>
      <c r="J214">
        <v>0</v>
      </c>
      <c r="K214">
        <v>0</v>
      </c>
      <c r="L214">
        <v>0</v>
      </c>
      <c r="M214">
        <v>0</v>
      </c>
      <c r="N214">
        <v>0</v>
      </c>
    </row>
    <row r="215" spans="1:14" x14ac:dyDescent="0.35">
      <c r="A215" t="s">
        <v>6</v>
      </c>
      <c r="B215" t="s">
        <v>565</v>
      </c>
      <c r="D215" t="s">
        <v>566</v>
      </c>
      <c r="E215" t="s">
        <v>69</v>
      </c>
      <c r="F215" t="s">
        <v>55</v>
      </c>
      <c r="H215" t="str" cm="1">
        <f t="array" ref="H215">_xlfn.TEXTJOIN(", ", TRUE, IF(I215:M215&gt;0, I$1:M$1, ""))</f>
        <v>Tech Infrastructure, Organisational View</v>
      </c>
      <c r="I215">
        <v>1</v>
      </c>
      <c r="J215">
        <v>0</v>
      </c>
      <c r="K215">
        <v>0</v>
      </c>
      <c r="L215">
        <v>1</v>
      </c>
      <c r="M215">
        <v>0</v>
      </c>
      <c r="N215">
        <v>0</v>
      </c>
    </row>
    <row r="216" spans="1:14" x14ac:dyDescent="0.35">
      <c r="A216" t="s">
        <v>6</v>
      </c>
      <c r="B216" t="s">
        <v>567</v>
      </c>
      <c r="C216" t="s">
        <v>568</v>
      </c>
      <c r="D216" t="s">
        <v>569</v>
      </c>
      <c r="E216" t="s">
        <v>50</v>
      </c>
      <c r="F216" t="s">
        <v>570</v>
      </c>
      <c r="H216" t="str" cm="1">
        <f t="array" ref="H216">_xlfn.TEXTJOIN(", ", TRUE, IF(I216:M216&gt;0, I$1:M$1, ""))</f>
        <v>Tech Infrastructure, Tech Application</v>
      </c>
      <c r="I216">
        <v>1</v>
      </c>
      <c r="J216">
        <v>1</v>
      </c>
      <c r="K216">
        <v>0</v>
      </c>
      <c r="L216">
        <v>0</v>
      </c>
      <c r="M216">
        <v>0</v>
      </c>
      <c r="N216">
        <v>1</v>
      </c>
    </row>
    <row r="217" spans="1:14" x14ac:dyDescent="0.35">
      <c r="A217" t="s">
        <v>6</v>
      </c>
      <c r="B217" t="s">
        <v>571</v>
      </c>
      <c r="C217" t="s">
        <v>572</v>
      </c>
      <c r="E217" t="s">
        <v>121</v>
      </c>
      <c r="F217" t="s">
        <v>55</v>
      </c>
      <c r="H217" t="str" cm="1">
        <f t="array" ref="H217">_xlfn.TEXTJOIN(", ", TRUE, IF(I217:M217&gt;0, I$1:M$1, ""))</f>
        <v/>
      </c>
      <c r="I217">
        <v>0</v>
      </c>
      <c r="J217">
        <v>0</v>
      </c>
      <c r="K217">
        <v>0</v>
      </c>
      <c r="L217">
        <v>0</v>
      </c>
      <c r="M217">
        <v>0</v>
      </c>
      <c r="N217">
        <v>0</v>
      </c>
    </row>
    <row r="218" spans="1:14" x14ac:dyDescent="0.35">
      <c r="A218" t="s">
        <v>6</v>
      </c>
      <c r="B218" t="s">
        <v>573</v>
      </c>
      <c r="D218" t="s">
        <v>574</v>
      </c>
      <c r="E218" t="s">
        <v>59</v>
      </c>
      <c r="F218" t="s">
        <v>575</v>
      </c>
      <c r="H218" t="str" cm="1">
        <f t="array" ref="H218">_xlfn.TEXTJOIN(", ", TRUE, IF(I218:M218&gt;0, I$1:M$1, ""))</f>
        <v>Tech Application</v>
      </c>
      <c r="I218">
        <v>0</v>
      </c>
      <c r="J218">
        <v>4</v>
      </c>
      <c r="K218">
        <v>0</v>
      </c>
      <c r="L218">
        <v>0</v>
      </c>
      <c r="M218">
        <v>0</v>
      </c>
      <c r="N218">
        <v>0</v>
      </c>
    </row>
    <row r="219" spans="1:14" x14ac:dyDescent="0.35">
      <c r="A219" t="s">
        <v>6</v>
      </c>
      <c r="B219" t="s">
        <v>576</v>
      </c>
      <c r="E219" t="s">
        <v>59</v>
      </c>
      <c r="F219" t="s">
        <v>577</v>
      </c>
      <c r="H219" t="str" cm="1">
        <f t="array" ref="H219">_xlfn.TEXTJOIN(", ", TRUE, IF(I219:M219&gt;0, I$1:M$1, ""))</f>
        <v>Tech Application</v>
      </c>
      <c r="I219">
        <v>0</v>
      </c>
      <c r="J219">
        <v>1</v>
      </c>
      <c r="K219">
        <v>0</v>
      </c>
      <c r="L219">
        <v>0</v>
      </c>
      <c r="M219">
        <v>0</v>
      </c>
      <c r="N219">
        <v>0</v>
      </c>
    </row>
    <row r="220" spans="1:14" x14ac:dyDescent="0.35">
      <c r="A220" t="s">
        <v>6</v>
      </c>
      <c r="B220" t="s">
        <v>578</v>
      </c>
      <c r="C220" t="s">
        <v>579</v>
      </c>
      <c r="E220" t="s">
        <v>96</v>
      </c>
      <c r="F220" t="s">
        <v>92</v>
      </c>
      <c r="H220" t="str" cm="1">
        <f t="array" ref="H220">_xlfn.TEXTJOIN(", ", TRUE, IF(I220:M220&gt;0, I$1:M$1, ""))</f>
        <v>Tech Infrastructure, Tech Application</v>
      </c>
      <c r="I220">
        <v>1</v>
      </c>
      <c r="J220">
        <v>1</v>
      </c>
      <c r="K220">
        <v>0</v>
      </c>
      <c r="L220">
        <v>0</v>
      </c>
      <c r="M220">
        <v>0</v>
      </c>
      <c r="N220">
        <v>0</v>
      </c>
    </row>
    <row r="221" spans="1:14" x14ac:dyDescent="0.35">
      <c r="A221" t="s">
        <v>6</v>
      </c>
      <c r="B221" t="s">
        <v>580</v>
      </c>
      <c r="C221" t="s">
        <v>581</v>
      </c>
      <c r="E221" t="s">
        <v>62</v>
      </c>
      <c r="F221" t="s">
        <v>582</v>
      </c>
      <c r="H221" t="str" cm="1">
        <f t="array" ref="H221">_xlfn.TEXTJOIN(", ", TRUE, IF(I221:M221&gt;0, I$1:M$1, ""))</f>
        <v>Tech Application, Organisational View</v>
      </c>
      <c r="I221">
        <v>0</v>
      </c>
      <c r="J221">
        <v>1</v>
      </c>
      <c r="K221">
        <v>0</v>
      </c>
      <c r="L221">
        <v>1</v>
      </c>
      <c r="M221">
        <v>0</v>
      </c>
      <c r="N221">
        <v>0</v>
      </c>
    </row>
    <row r="222" spans="1:14" x14ac:dyDescent="0.35">
      <c r="A222" t="s">
        <v>6</v>
      </c>
      <c r="B222" t="s">
        <v>583</v>
      </c>
      <c r="E222" t="s">
        <v>584</v>
      </c>
      <c r="F222" t="s">
        <v>125</v>
      </c>
      <c r="H222" t="str" cm="1">
        <f t="array" ref="H222">_xlfn.TEXTJOIN(", ", TRUE, IF(I222:M222&gt;0, I$1:M$1, ""))</f>
        <v>Tech Infrastructure, Tech Application, Organisational View</v>
      </c>
      <c r="I222">
        <v>1</v>
      </c>
      <c r="J222">
        <v>5</v>
      </c>
      <c r="K222">
        <v>0</v>
      </c>
      <c r="L222">
        <v>1</v>
      </c>
      <c r="M222">
        <v>0</v>
      </c>
      <c r="N222">
        <v>0</v>
      </c>
    </row>
    <row r="223" spans="1:14" x14ac:dyDescent="0.35">
      <c r="A223" t="s">
        <v>6</v>
      </c>
      <c r="B223" t="s">
        <v>585</v>
      </c>
      <c r="C223" t="s">
        <v>586</v>
      </c>
      <c r="E223" t="s">
        <v>587</v>
      </c>
      <c r="F223" t="s">
        <v>55</v>
      </c>
      <c r="H223" t="str" cm="1">
        <f t="array" ref="H223">_xlfn.TEXTJOIN(", ", TRUE, IF(I223:M223&gt;0, I$1:M$1, ""))</f>
        <v>Semantic View</v>
      </c>
      <c r="I223">
        <v>0</v>
      </c>
      <c r="J223">
        <v>0</v>
      </c>
      <c r="K223">
        <v>0</v>
      </c>
      <c r="L223">
        <v>0</v>
      </c>
      <c r="M223">
        <v>2</v>
      </c>
      <c r="N223">
        <v>0</v>
      </c>
    </row>
    <row r="224" spans="1:14" x14ac:dyDescent="0.35">
      <c r="A224" t="s">
        <v>6</v>
      </c>
      <c r="B224" t="s">
        <v>588</v>
      </c>
      <c r="E224" t="s">
        <v>589</v>
      </c>
      <c r="F224" t="s">
        <v>55</v>
      </c>
      <c r="H224" t="str" cm="1">
        <f t="array" ref="H224">_xlfn.TEXTJOIN(", ", TRUE, IF(I224:M224&gt;0, I$1:M$1, ""))</f>
        <v>Legal View</v>
      </c>
      <c r="I224">
        <v>0</v>
      </c>
      <c r="J224">
        <v>0</v>
      </c>
      <c r="K224">
        <v>3</v>
      </c>
      <c r="L224">
        <v>0</v>
      </c>
      <c r="M224">
        <v>0</v>
      </c>
      <c r="N224">
        <v>0</v>
      </c>
    </row>
    <row r="225" spans="1:14" x14ac:dyDescent="0.35">
      <c r="A225" t="s">
        <v>6</v>
      </c>
      <c r="B225" t="s">
        <v>590</v>
      </c>
      <c r="C225" t="s">
        <v>591</v>
      </c>
      <c r="E225" t="s">
        <v>592</v>
      </c>
      <c r="F225" t="s">
        <v>276</v>
      </c>
      <c r="H225" t="str" cm="1">
        <f t="array" ref="H225">_xlfn.TEXTJOIN(", ", TRUE, IF(I225:M225&gt;0, I$1:M$1, ""))</f>
        <v>Tech Infrastructure, Tech Application</v>
      </c>
      <c r="I225">
        <v>1</v>
      </c>
      <c r="J225">
        <v>2</v>
      </c>
      <c r="K225">
        <v>0</v>
      </c>
      <c r="L225">
        <v>0</v>
      </c>
      <c r="M225">
        <v>0</v>
      </c>
      <c r="N225">
        <v>0</v>
      </c>
    </row>
    <row r="226" spans="1:14" x14ac:dyDescent="0.35">
      <c r="A226" t="s">
        <v>6</v>
      </c>
      <c r="B226" t="s">
        <v>593</v>
      </c>
      <c r="C226" t="s">
        <v>594</v>
      </c>
      <c r="E226" t="s">
        <v>50</v>
      </c>
      <c r="F226" t="s">
        <v>276</v>
      </c>
      <c r="H226" t="str" cm="1">
        <f t="array" ref="H226">_xlfn.TEXTJOIN(", ", TRUE, IF(I226:M226&gt;0, I$1:M$1, ""))</f>
        <v>Tech Application</v>
      </c>
      <c r="I226">
        <v>0</v>
      </c>
      <c r="J226">
        <v>2</v>
      </c>
      <c r="K226">
        <v>0</v>
      </c>
      <c r="L226">
        <v>0</v>
      </c>
      <c r="M226">
        <v>0</v>
      </c>
      <c r="N226">
        <v>0</v>
      </c>
    </row>
    <row r="227" spans="1:14" x14ac:dyDescent="0.35">
      <c r="A227" t="s">
        <v>6</v>
      </c>
      <c r="B227" t="s">
        <v>595</v>
      </c>
      <c r="C227" t="s">
        <v>596</v>
      </c>
      <c r="E227" t="s">
        <v>50</v>
      </c>
      <c r="F227" t="s">
        <v>597</v>
      </c>
      <c r="H227" t="str" cm="1">
        <f t="array" ref="H227">_xlfn.TEXTJOIN(", ", TRUE, IF(I227:M227&gt;0, I$1:M$1, ""))</f>
        <v>Tech Application</v>
      </c>
      <c r="I227">
        <v>0</v>
      </c>
      <c r="J227">
        <v>2</v>
      </c>
      <c r="K227">
        <v>0</v>
      </c>
      <c r="L227">
        <v>0</v>
      </c>
      <c r="M227">
        <v>0</v>
      </c>
      <c r="N227">
        <v>0</v>
      </c>
    </row>
    <row r="228" spans="1:14" x14ac:dyDescent="0.35">
      <c r="A228" t="s">
        <v>6</v>
      </c>
      <c r="B228" t="s">
        <v>598</v>
      </c>
      <c r="E228" t="s">
        <v>96</v>
      </c>
      <c r="F228" t="s">
        <v>55</v>
      </c>
      <c r="H228" t="str" cm="1">
        <f t="array" ref="H228">_xlfn.TEXTJOIN(", ", TRUE, IF(I228:M228&gt;0, I$1:M$1, ""))</f>
        <v>Semantic View</v>
      </c>
      <c r="I228">
        <v>0</v>
      </c>
      <c r="J228">
        <v>0</v>
      </c>
      <c r="K228">
        <v>0</v>
      </c>
      <c r="L228">
        <v>0</v>
      </c>
      <c r="M228">
        <v>1</v>
      </c>
      <c r="N228">
        <v>0</v>
      </c>
    </row>
    <row r="229" spans="1:14" x14ac:dyDescent="0.35">
      <c r="A229" t="s">
        <v>6</v>
      </c>
      <c r="B229" t="s">
        <v>599</v>
      </c>
      <c r="C229" t="s">
        <v>600</v>
      </c>
      <c r="E229" t="s">
        <v>601</v>
      </c>
      <c r="F229" t="s">
        <v>55</v>
      </c>
      <c r="H229" t="str" cm="1">
        <f t="array" ref="H229">_xlfn.TEXTJOIN(", ", TRUE, IF(I229:M229&gt;0, I$1:M$1, ""))</f>
        <v>Tech Application</v>
      </c>
      <c r="I229">
        <v>0</v>
      </c>
      <c r="J229">
        <v>2</v>
      </c>
      <c r="K229">
        <v>0</v>
      </c>
      <c r="L229">
        <v>0</v>
      </c>
      <c r="M229">
        <v>0</v>
      </c>
      <c r="N229">
        <v>0</v>
      </c>
    </row>
    <row r="230" spans="1:14" x14ac:dyDescent="0.35">
      <c r="A230" t="s">
        <v>6</v>
      </c>
      <c r="B230" t="s">
        <v>602</v>
      </c>
      <c r="C230" t="s">
        <v>603</v>
      </c>
      <c r="E230" t="s">
        <v>148</v>
      </c>
      <c r="F230" t="s">
        <v>604</v>
      </c>
      <c r="H230" t="str" cm="1">
        <f t="array" ref="H230">_xlfn.TEXTJOIN(", ", TRUE, IF(I230:M230&gt;0, I$1:M$1, ""))</f>
        <v>Tech Infrastructure, Tech Application</v>
      </c>
      <c r="I230">
        <v>1</v>
      </c>
      <c r="J230">
        <v>2</v>
      </c>
      <c r="K230">
        <v>0</v>
      </c>
      <c r="L230">
        <v>0</v>
      </c>
      <c r="M230">
        <v>0</v>
      </c>
      <c r="N230">
        <v>0</v>
      </c>
    </row>
    <row r="231" spans="1:14" x14ac:dyDescent="0.35">
      <c r="A231" t="s">
        <v>6</v>
      </c>
      <c r="B231" t="s">
        <v>605</v>
      </c>
      <c r="E231" t="s">
        <v>99</v>
      </c>
      <c r="F231" t="s">
        <v>55</v>
      </c>
      <c r="H231" t="str" cm="1">
        <f t="array" ref="H231">_xlfn.TEXTJOIN(", ", TRUE, IF(I231:M231&gt;0, I$1:M$1, ""))</f>
        <v>Tech Infrastructure, Semantic View</v>
      </c>
      <c r="I231">
        <v>2</v>
      </c>
      <c r="J231">
        <v>0</v>
      </c>
      <c r="K231">
        <v>0</v>
      </c>
      <c r="L231">
        <v>0</v>
      </c>
      <c r="M231">
        <v>2</v>
      </c>
      <c r="N231">
        <v>0</v>
      </c>
    </row>
    <row r="232" spans="1:14" x14ac:dyDescent="0.35">
      <c r="A232" t="s">
        <v>6</v>
      </c>
      <c r="B232" t="s">
        <v>606</v>
      </c>
      <c r="D232" t="s">
        <v>607</v>
      </c>
      <c r="E232" t="s">
        <v>230</v>
      </c>
      <c r="F232" t="s">
        <v>55</v>
      </c>
      <c r="H232" t="str" cm="1">
        <f t="array" ref="H232">_xlfn.TEXTJOIN(", ", TRUE, IF(I232:M232&gt;0, I$1:M$1, ""))</f>
        <v>Organisational View</v>
      </c>
      <c r="I232">
        <v>0</v>
      </c>
      <c r="J232">
        <v>0</v>
      </c>
      <c r="K232">
        <v>0</v>
      </c>
      <c r="L232">
        <v>1</v>
      </c>
      <c r="M232">
        <v>0</v>
      </c>
      <c r="N232">
        <v>0</v>
      </c>
    </row>
    <row r="233" spans="1:14" x14ac:dyDescent="0.35">
      <c r="A233" t="s">
        <v>6</v>
      </c>
      <c r="B233" t="s">
        <v>608</v>
      </c>
      <c r="D233" t="s">
        <v>609</v>
      </c>
      <c r="E233" t="s">
        <v>336</v>
      </c>
      <c r="F233" t="s">
        <v>55</v>
      </c>
      <c r="H233" t="str" cm="1">
        <f t="array" ref="H233">_xlfn.TEXTJOIN(", ", TRUE, IF(I233:M233&gt;0, I$1:M$1, ""))</f>
        <v>Tech Application</v>
      </c>
      <c r="I233">
        <v>0</v>
      </c>
      <c r="J233">
        <v>2</v>
      </c>
      <c r="K233">
        <v>0</v>
      </c>
      <c r="L233">
        <v>0</v>
      </c>
      <c r="M233">
        <v>0</v>
      </c>
      <c r="N233">
        <v>0</v>
      </c>
    </row>
    <row r="234" spans="1:14" x14ac:dyDescent="0.35">
      <c r="A234" t="s">
        <v>6</v>
      </c>
      <c r="B234" t="s">
        <v>610</v>
      </c>
      <c r="C234" t="s">
        <v>611</v>
      </c>
      <c r="D234" t="s">
        <v>612</v>
      </c>
      <c r="E234" t="s">
        <v>50</v>
      </c>
      <c r="F234" t="s">
        <v>55</v>
      </c>
      <c r="H234" t="str" cm="1">
        <f t="array" ref="H234">_xlfn.TEXTJOIN(", ", TRUE, IF(I234:M234&gt;0, I$1:M$1, ""))</f>
        <v>Semantic View</v>
      </c>
      <c r="I234">
        <v>0</v>
      </c>
      <c r="J234">
        <v>0</v>
      </c>
      <c r="K234">
        <v>0</v>
      </c>
      <c r="L234">
        <v>0</v>
      </c>
      <c r="M234">
        <v>1</v>
      </c>
      <c r="N234">
        <v>0</v>
      </c>
    </row>
    <row r="235" spans="1:14" x14ac:dyDescent="0.35">
      <c r="A235" t="s">
        <v>6</v>
      </c>
      <c r="B235" t="s">
        <v>613</v>
      </c>
      <c r="C235" t="s">
        <v>614</v>
      </c>
      <c r="E235" t="s">
        <v>121</v>
      </c>
      <c r="F235" t="s">
        <v>51</v>
      </c>
      <c r="H235" t="str" cm="1">
        <f t="array" ref="H235">_xlfn.TEXTJOIN(", ", TRUE, IF(I235:M235&gt;0, I$1:M$1, ""))</f>
        <v/>
      </c>
      <c r="I235">
        <v>0</v>
      </c>
      <c r="J235">
        <v>0</v>
      </c>
      <c r="K235">
        <v>0</v>
      </c>
      <c r="L235">
        <v>0</v>
      </c>
      <c r="M235">
        <v>0</v>
      </c>
      <c r="N235">
        <v>0</v>
      </c>
    </row>
    <row r="236" spans="1:14" x14ac:dyDescent="0.35">
      <c r="A236" t="s">
        <v>6</v>
      </c>
      <c r="B236" t="s">
        <v>615</v>
      </c>
      <c r="D236" t="s">
        <v>616</v>
      </c>
      <c r="E236" t="s">
        <v>50</v>
      </c>
      <c r="F236" t="s">
        <v>55</v>
      </c>
      <c r="H236" t="str" cm="1">
        <f t="array" ref="H236">_xlfn.TEXTJOIN(", ", TRUE, IF(I236:M236&gt;0, I$1:M$1, ""))</f>
        <v>Semantic View</v>
      </c>
      <c r="I236">
        <v>0</v>
      </c>
      <c r="J236">
        <v>0</v>
      </c>
      <c r="K236">
        <v>0</v>
      </c>
      <c r="L236">
        <v>0</v>
      </c>
      <c r="M236">
        <v>2</v>
      </c>
      <c r="N236">
        <v>0</v>
      </c>
    </row>
    <row r="237" spans="1:14" x14ac:dyDescent="0.35">
      <c r="A237" t="s">
        <v>6</v>
      </c>
      <c r="B237" t="s">
        <v>617</v>
      </c>
      <c r="C237" t="s">
        <v>618</v>
      </c>
      <c r="E237" t="s">
        <v>50</v>
      </c>
      <c r="F237" t="s">
        <v>55</v>
      </c>
      <c r="H237" t="str" cm="1">
        <f t="array" ref="H237">_xlfn.TEXTJOIN(", ", TRUE, IF(I237:M237&gt;0, I$1:M$1, ""))</f>
        <v>Tech Application</v>
      </c>
      <c r="I237">
        <v>0</v>
      </c>
      <c r="J237">
        <v>2</v>
      </c>
      <c r="K237">
        <v>0</v>
      </c>
      <c r="L237">
        <v>0</v>
      </c>
      <c r="M237">
        <v>0</v>
      </c>
      <c r="N237">
        <v>0</v>
      </c>
    </row>
    <row r="238" spans="1:14" x14ac:dyDescent="0.35">
      <c r="A238" t="s">
        <v>6</v>
      </c>
      <c r="B238" t="s">
        <v>619</v>
      </c>
      <c r="E238" t="s">
        <v>620</v>
      </c>
      <c r="F238" t="s">
        <v>51</v>
      </c>
      <c r="H238" t="str" cm="1">
        <f t="array" ref="H238">_xlfn.TEXTJOIN(", ", TRUE, IF(I238:M238&gt;0, I$1:M$1, ""))</f>
        <v>Tech Application</v>
      </c>
      <c r="I238">
        <v>0</v>
      </c>
      <c r="J238">
        <v>1</v>
      </c>
      <c r="K238">
        <v>0</v>
      </c>
      <c r="L238">
        <v>0</v>
      </c>
      <c r="M238">
        <v>0</v>
      </c>
      <c r="N238">
        <v>0</v>
      </c>
    </row>
    <row r="239" spans="1:14" x14ac:dyDescent="0.35">
      <c r="A239" t="s">
        <v>6</v>
      </c>
      <c r="B239" t="s">
        <v>621</v>
      </c>
      <c r="E239" t="s">
        <v>622</v>
      </c>
      <c r="F239" t="s">
        <v>623</v>
      </c>
      <c r="H239" t="str" cm="1">
        <f t="array" ref="H239">_xlfn.TEXTJOIN(", ", TRUE, IF(I239:M239&gt;0, I$1:M$1, ""))</f>
        <v>Tech Application</v>
      </c>
      <c r="I239">
        <v>0</v>
      </c>
      <c r="J239">
        <v>2</v>
      </c>
      <c r="K239">
        <v>0</v>
      </c>
      <c r="L239">
        <v>0</v>
      </c>
      <c r="M239">
        <v>0</v>
      </c>
      <c r="N239">
        <v>0</v>
      </c>
    </row>
    <row r="240" spans="1:14" x14ac:dyDescent="0.35">
      <c r="A240" t="s">
        <v>6</v>
      </c>
      <c r="B240" t="s">
        <v>624</v>
      </c>
      <c r="D240" t="s">
        <v>625</v>
      </c>
      <c r="E240" t="s">
        <v>50</v>
      </c>
      <c r="F240" t="s">
        <v>55</v>
      </c>
      <c r="H240" t="str" cm="1">
        <f t="array" ref="H240">_xlfn.TEXTJOIN(", ", TRUE, IF(I240:M240&gt;0, I$1:M$1, ""))</f>
        <v>Tech Infrastructure, Tech Application</v>
      </c>
      <c r="I240">
        <v>1</v>
      </c>
      <c r="J240">
        <v>3</v>
      </c>
      <c r="K240">
        <v>0</v>
      </c>
      <c r="L240">
        <v>0</v>
      </c>
      <c r="M240">
        <v>0</v>
      </c>
      <c r="N240">
        <v>0</v>
      </c>
    </row>
    <row r="241" spans="1:14" x14ac:dyDescent="0.35">
      <c r="A241" t="s">
        <v>6</v>
      </c>
      <c r="B241" t="s">
        <v>626</v>
      </c>
      <c r="D241" t="s">
        <v>627</v>
      </c>
      <c r="E241" t="s">
        <v>66</v>
      </c>
      <c r="F241" t="s">
        <v>628</v>
      </c>
      <c r="H241" t="str" cm="1">
        <f t="array" ref="H241">_xlfn.TEXTJOIN(", ", TRUE, IF(I241:M241&gt;0, I$1:M$1, ""))</f>
        <v>Legal View</v>
      </c>
      <c r="I241">
        <v>0</v>
      </c>
      <c r="J241">
        <v>0</v>
      </c>
      <c r="K241">
        <v>5</v>
      </c>
      <c r="L241">
        <v>0</v>
      </c>
      <c r="M241">
        <v>0</v>
      </c>
      <c r="N241">
        <v>0</v>
      </c>
    </row>
    <row r="242" spans="1:14" x14ac:dyDescent="0.35">
      <c r="A242" t="s">
        <v>6</v>
      </c>
      <c r="B242" t="s">
        <v>629</v>
      </c>
      <c r="E242" t="s">
        <v>66</v>
      </c>
      <c r="F242" t="s">
        <v>630</v>
      </c>
      <c r="H242" t="str" cm="1">
        <f t="array" ref="H242">_xlfn.TEXTJOIN(", ", TRUE, IF(I242:M242&gt;0, I$1:M$1, ""))</f>
        <v>Semantic View</v>
      </c>
      <c r="I242">
        <v>0</v>
      </c>
      <c r="J242">
        <v>0</v>
      </c>
      <c r="K242">
        <v>0</v>
      </c>
      <c r="L242">
        <v>0</v>
      </c>
      <c r="M242">
        <v>6</v>
      </c>
      <c r="N242">
        <v>0</v>
      </c>
    </row>
    <row r="243" spans="1:14" x14ac:dyDescent="0.35">
      <c r="A243" t="s">
        <v>6</v>
      </c>
      <c r="B243" t="s">
        <v>631</v>
      </c>
      <c r="E243" t="s">
        <v>50</v>
      </c>
      <c r="F243" t="s">
        <v>55</v>
      </c>
      <c r="H243" t="str" cm="1">
        <f t="array" ref="H243">_xlfn.TEXTJOIN(", ", TRUE, IF(I243:M243&gt;0, I$1:M$1, ""))</f>
        <v>Tech Infrastructure, Tech Application</v>
      </c>
      <c r="I243">
        <v>2</v>
      </c>
      <c r="J243">
        <v>2</v>
      </c>
      <c r="K243">
        <v>0</v>
      </c>
      <c r="L243">
        <v>0</v>
      </c>
      <c r="M243">
        <v>0</v>
      </c>
      <c r="N243">
        <v>0</v>
      </c>
    </row>
    <row r="244" spans="1:14" x14ac:dyDescent="0.35">
      <c r="A244" t="s">
        <v>6</v>
      </c>
      <c r="B244" t="s">
        <v>632</v>
      </c>
      <c r="C244" t="s">
        <v>633</v>
      </c>
      <c r="E244" t="s">
        <v>592</v>
      </c>
      <c r="F244" t="s">
        <v>92</v>
      </c>
      <c r="H244" t="str" cm="1">
        <f t="array" ref="H244">_xlfn.TEXTJOIN(", ", TRUE, IF(I244:M244&gt;0, I$1:M$1, ""))</f>
        <v>Tech Application, Semantic View</v>
      </c>
      <c r="I244">
        <v>0</v>
      </c>
      <c r="J244">
        <v>2</v>
      </c>
      <c r="K244">
        <v>0</v>
      </c>
      <c r="L244">
        <v>0</v>
      </c>
      <c r="M244">
        <v>1</v>
      </c>
      <c r="N244">
        <v>0</v>
      </c>
    </row>
    <row r="245" spans="1:14" x14ac:dyDescent="0.35">
      <c r="A245" t="s">
        <v>6</v>
      </c>
      <c r="B245" t="s">
        <v>634</v>
      </c>
      <c r="D245" t="s">
        <v>635</v>
      </c>
      <c r="E245" t="s">
        <v>91</v>
      </c>
      <c r="F245" t="s">
        <v>55</v>
      </c>
      <c r="H245" t="str" cm="1">
        <f t="array" ref="H245">_xlfn.TEXTJOIN(", ", TRUE, IF(I245:M245&gt;0, I$1:M$1, ""))</f>
        <v>Tech Infrastructure, Tech Application</v>
      </c>
      <c r="I245">
        <v>1</v>
      </c>
      <c r="J245">
        <v>2</v>
      </c>
      <c r="K245">
        <v>0</v>
      </c>
      <c r="L245">
        <v>0</v>
      </c>
      <c r="M245">
        <v>0</v>
      </c>
      <c r="N245">
        <v>1</v>
      </c>
    </row>
    <row r="246" spans="1:14" x14ac:dyDescent="0.35">
      <c r="A246" t="s">
        <v>6</v>
      </c>
      <c r="B246" t="s">
        <v>636</v>
      </c>
      <c r="D246" t="s">
        <v>637</v>
      </c>
      <c r="E246" t="s">
        <v>50</v>
      </c>
      <c r="F246" t="s">
        <v>55</v>
      </c>
      <c r="H246" t="str" cm="1">
        <f t="array" ref="H246">_xlfn.TEXTJOIN(", ", TRUE, IF(I246:M246&gt;0, I$1:M$1, ""))</f>
        <v>Tech Application</v>
      </c>
      <c r="I246">
        <v>0</v>
      </c>
      <c r="J246">
        <v>4</v>
      </c>
      <c r="K246">
        <v>0</v>
      </c>
      <c r="L246">
        <v>0</v>
      </c>
      <c r="M246">
        <v>0</v>
      </c>
      <c r="N246">
        <v>0</v>
      </c>
    </row>
    <row r="247" spans="1:14" x14ac:dyDescent="0.35">
      <c r="A247" t="s">
        <v>6</v>
      </c>
      <c r="B247" t="s">
        <v>638</v>
      </c>
      <c r="D247" t="s">
        <v>639</v>
      </c>
      <c r="E247" t="s">
        <v>96</v>
      </c>
      <c r="F247" t="s">
        <v>74</v>
      </c>
      <c r="H247" t="str" cm="1">
        <f t="array" ref="H247">_xlfn.TEXTJOIN(", ", TRUE, IF(I247:M247&gt;0, I$1:M$1, ""))</f>
        <v>Tech Application</v>
      </c>
      <c r="I247">
        <v>0</v>
      </c>
      <c r="J247">
        <v>2</v>
      </c>
      <c r="K247">
        <v>0</v>
      </c>
      <c r="L247">
        <v>0</v>
      </c>
      <c r="M247">
        <v>0</v>
      </c>
      <c r="N247">
        <v>0</v>
      </c>
    </row>
    <row r="248" spans="1:14" x14ac:dyDescent="0.35">
      <c r="A248" t="s">
        <v>6</v>
      </c>
      <c r="B248" t="s">
        <v>640</v>
      </c>
      <c r="D248" t="s">
        <v>641</v>
      </c>
      <c r="E248" t="s">
        <v>230</v>
      </c>
      <c r="F248" t="s">
        <v>276</v>
      </c>
      <c r="H248" t="str" cm="1">
        <f t="array" ref="H248">_xlfn.TEXTJOIN(", ", TRUE, IF(I248:M248&gt;0, I$1:M$1, ""))</f>
        <v>Tech Application</v>
      </c>
      <c r="I248">
        <v>0</v>
      </c>
      <c r="J248">
        <v>4</v>
      </c>
      <c r="K248">
        <v>0</v>
      </c>
      <c r="L248">
        <v>0</v>
      </c>
      <c r="M248">
        <v>0</v>
      </c>
      <c r="N248">
        <v>0</v>
      </c>
    </row>
    <row r="249" spans="1:14" x14ac:dyDescent="0.35">
      <c r="A249" t="s">
        <v>6</v>
      </c>
      <c r="B249" t="s">
        <v>642</v>
      </c>
      <c r="C249" t="s">
        <v>157</v>
      </c>
      <c r="E249" t="s">
        <v>157</v>
      </c>
      <c r="F249" t="s">
        <v>55</v>
      </c>
      <c r="H249" t="str" cm="1">
        <f t="array" ref="H249">_xlfn.TEXTJOIN(", ", TRUE, IF(I249:M249&gt;0, I$1:M$1, ""))</f>
        <v>Semantic View</v>
      </c>
      <c r="I249">
        <v>0</v>
      </c>
      <c r="J249">
        <v>0</v>
      </c>
      <c r="K249">
        <v>0</v>
      </c>
      <c r="L249">
        <v>0</v>
      </c>
      <c r="M249">
        <v>2</v>
      </c>
      <c r="N249">
        <v>0</v>
      </c>
    </row>
    <row r="250" spans="1:14" x14ac:dyDescent="0.35">
      <c r="A250" t="s">
        <v>6</v>
      </c>
      <c r="B250" t="s">
        <v>643</v>
      </c>
      <c r="C250" t="s">
        <v>643</v>
      </c>
      <c r="E250" t="s">
        <v>121</v>
      </c>
      <c r="F250" t="s">
        <v>97</v>
      </c>
      <c r="H250" t="str" cm="1">
        <f t="array" ref="H250">_xlfn.TEXTJOIN(", ", TRUE, IF(I250:M250&gt;0, I$1:M$1, ""))</f>
        <v>Semantic View</v>
      </c>
      <c r="I250">
        <v>0</v>
      </c>
      <c r="J250">
        <v>0</v>
      </c>
      <c r="K250">
        <v>0</v>
      </c>
      <c r="L250">
        <v>0</v>
      </c>
      <c r="M250">
        <v>3</v>
      </c>
      <c r="N250">
        <v>0</v>
      </c>
    </row>
    <row r="251" spans="1:14" x14ac:dyDescent="0.35">
      <c r="A251" t="s">
        <v>6</v>
      </c>
      <c r="B251" t="s">
        <v>644</v>
      </c>
      <c r="C251" t="s">
        <v>645</v>
      </c>
      <c r="E251" t="s">
        <v>646</v>
      </c>
      <c r="F251" t="s">
        <v>111</v>
      </c>
      <c r="H251" t="str" cm="1">
        <f t="array" ref="H251">_xlfn.TEXTJOIN(", ", TRUE, IF(I251:M251&gt;0, I$1:M$1, ""))</f>
        <v>Tech Application</v>
      </c>
      <c r="I251">
        <v>0</v>
      </c>
      <c r="J251">
        <v>3</v>
      </c>
      <c r="K251">
        <v>0</v>
      </c>
      <c r="L251">
        <v>0</v>
      </c>
      <c r="M251">
        <v>0</v>
      </c>
      <c r="N251">
        <v>0</v>
      </c>
    </row>
    <row r="252" spans="1:14" x14ac:dyDescent="0.35">
      <c r="A252" t="s">
        <v>6</v>
      </c>
      <c r="B252" t="s">
        <v>647</v>
      </c>
      <c r="C252" t="s">
        <v>648</v>
      </c>
      <c r="E252" t="s">
        <v>311</v>
      </c>
      <c r="F252" t="s">
        <v>444</v>
      </c>
      <c r="H252" t="str" cm="1">
        <f t="array" ref="H252">_xlfn.TEXTJOIN(", ", TRUE, IF(I252:M252&gt;0, I$1:M$1, ""))</f>
        <v>Tech Infrastructure, Tech Application</v>
      </c>
      <c r="I252">
        <v>1</v>
      </c>
      <c r="J252">
        <v>2</v>
      </c>
      <c r="K252">
        <v>0</v>
      </c>
      <c r="L252">
        <v>0</v>
      </c>
      <c r="M252">
        <v>0</v>
      </c>
      <c r="N252">
        <v>0</v>
      </c>
    </row>
    <row r="253" spans="1:14" x14ac:dyDescent="0.35">
      <c r="A253" t="s">
        <v>6</v>
      </c>
      <c r="B253" t="s">
        <v>649</v>
      </c>
      <c r="E253" t="s">
        <v>99</v>
      </c>
      <c r="F253" t="s">
        <v>480</v>
      </c>
      <c r="H253" t="str" cm="1">
        <f t="array" ref="H253">_xlfn.TEXTJOIN(", ", TRUE, IF(I253:M253&gt;0, I$1:M$1, ""))</f>
        <v>Tech Application, Semantic View</v>
      </c>
      <c r="I253">
        <v>0</v>
      </c>
      <c r="J253">
        <v>2</v>
      </c>
      <c r="K253">
        <v>0</v>
      </c>
      <c r="L253">
        <v>0</v>
      </c>
      <c r="M253">
        <v>1</v>
      </c>
      <c r="N253">
        <v>0</v>
      </c>
    </row>
    <row r="254" spans="1:14" x14ac:dyDescent="0.35">
      <c r="A254" t="s">
        <v>6</v>
      </c>
      <c r="B254" t="s">
        <v>650</v>
      </c>
      <c r="C254" t="s">
        <v>651</v>
      </c>
      <c r="E254" t="s">
        <v>62</v>
      </c>
      <c r="F254" t="s">
        <v>92</v>
      </c>
      <c r="H254" t="str" cm="1">
        <f t="array" ref="H254">_xlfn.TEXTJOIN(", ", TRUE, IF(I254:M254&gt;0, I$1:M$1, ""))</f>
        <v>Tech Infrastructure</v>
      </c>
      <c r="I254">
        <v>1</v>
      </c>
      <c r="J254">
        <v>0</v>
      </c>
      <c r="K254">
        <v>0</v>
      </c>
      <c r="L254">
        <v>0</v>
      </c>
      <c r="M254">
        <v>0</v>
      </c>
      <c r="N254">
        <v>0</v>
      </c>
    </row>
    <row r="255" spans="1:14" x14ac:dyDescent="0.35">
      <c r="A255" t="s">
        <v>6</v>
      </c>
      <c r="B255" t="s">
        <v>652</v>
      </c>
      <c r="D255" t="s">
        <v>653</v>
      </c>
      <c r="E255" t="s">
        <v>230</v>
      </c>
      <c r="F255" t="s">
        <v>51</v>
      </c>
      <c r="H255" t="str" cm="1">
        <f t="array" ref="H255">_xlfn.TEXTJOIN(", ", TRUE, IF(I255:M255&gt;0, I$1:M$1, ""))</f>
        <v>Organisational View</v>
      </c>
      <c r="I255">
        <v>0</v>
      </c>
      <c r="J255">
        <v>0</v>
      </c>
      <c r="K255">
        <v>0</v>
      </c>
      <c r="L255">
        <v>2</v>
      </c>
      <c r="M255">
        <v>0</v>
      </c>
      <c r="N255">
        <v>1</v>
      </c>
    </row>
    <row r="256" spans="1:14" x14ac:dyDescent="0.35">
      <c r="A256" t="s">
        <v>6</v>
      </c>
      <c r="B256" t="s">
        <v>654</v>
      </c>
      <c r="C256" t="s">
        <v>655</v>
      </c>
      <c r="E256" t="s">
        <v>121</v>
      </c>
      <c r="F256" t="s">
        <v>97</v>
      </c>
      <c r="H256" t="str" cm="1">
        <f t="array" ref="H256">_xlfn.TEXTJOIN(", ", TRUE, IF(I256:M256&gt;0, I$1:M$1, ""))</f>
        <v>Tech Application, Semantic View</v>
      </c>
      <c r="I256">
        <v>0</v>
      </c>
      <c r="J256">
        <v>2</v>
      </c>
      <c r="K256">
        <v>0</v>
      </c>
      <c r="L256">
        <v>0</v>
      </c>
      <c r="M256">
        <v>6</v>
      </c>
      <c r="N256">
        <v>0</v>
      </c>
    </row>
    <row r="257" spans="1:14" x14ac:dyDescent="0.35">
      <c r="A257" t="s">
        <v>6</v>
      </c>
      <c r="B257" t="s">
        <v>656</v>
      </c>
      <c r="C257" t="s">
        <v>657</v>
      </c>
      <c r="E257" t="s">
        <v>96</v>
      </c>
      <c r="F257" t="s">
        <v>97</v>
      </c>
      <c r="H257" t="str" cm="1">
        <f t="array" ref="H257">_xlfn.TEXTJOIN(", ", TRUE, IF(I257:M257&gt;0, I$1:M$1, ""))</f>
        <v>Tech Application, Semantic View</v>
      </c>
      <c r="I257">
        <v>0</v>
      </c>
      <c r="J257">
        <v>2</v>
      </c>
      <c r="K257">
        <v>0</v>
      </c>
      <c r="L257">
        <v>0</v>
      </c>
      <c r="M257">
        <v>4</v>
      </c>
      <c r="N257">
        <v>0</v>
      </c>
    </row>
    <row r="258" spans="1:14" x14ac:dyDescent="0.35">
      <c r="A258" t="s">
        <v>6</v>
      </c>
      <c r="B258" t="s">
        <v>658</v>
      </c>
      <c r="E258" t="s">
        <v>62</v>
      </c>
      <c r="F258" t="s">
        <v>55</v>
      </c>
      <c r="H258" t="str" cm="1">
        <f t="array" ref="H258">_xlfn.TEXTJOIN(", ", TRUE, IF(I258:M258&gt;0, I$1:M$1, ""))</f>
        <v>Tech Application</v>
      </c>
      <c r="I258">
        <v>0</v>
      </c>
      <c r="J258">
        <v>2</v>
      </c>
      <c r="K258">
        <v>0</v>
      </c>
      <c r="L258">
        <v>0</v>
      </c>
      <c r="M258">
        <v>0</v>
      </c>
      <c r="N258">
        <v>0</v>
      </c>
    </row>
    <row r="259" spans="1:14" x14ac:dyDescent="0.35">
      <c r="A259" t="s">
        <v>6</v>
      </c>
      <c r="B259" t="s">
        <v>659</v>
      </c>
      <c r="C259" t="s">
        <v>611</v>
      </c>
      <c r="D259" t="s">
        <v>660</v>
      </c>
      <c r="E259" t="s">
        <v>50</v>
      </c>
      <c r="F259" t="s">
        <v>55</v>
      </c>
      <c r="H259" t="str" cm="1">
        <f t="array" ref="H259">_xlfn.TEXTJOIN(", ", TRUE, IF(I259:M259&gt;0, I$1:M$1, ""))</f>
        <v>Semantic View</v>
      </c>
      <c r="I259">
        <v>0</v>
      </c>
      <c r="J259">
        <v>0</v>
      </c>
      <c r="K259">
        <v>0</v>
      </c>
      <c r="L259">
        <v>0</v>
      </c>
      <c r="M259">
        <v>1</v>
      </c>
      <c r="N259">
        <v>0</v>
      </c>
    </row>
    <row r="260" spans="1:14" x14ac:dyDescent="0.35">
      <c r="A260" t="s">
        <v>6</v>
      </c>
      <c r="B260" t="s">
        <v>661</v>
      </c>
      <c r="C260" t="s">
        <v>662</v>
      </c>
      <c r="D260" t="s">
        <v>663</v>
      </c>
      <c r="E260" t="s">
        <v>59</v>
      </c>
      <c r="F260" t="s">
        <v>100</v>
      </c>
      <c r="H260" t="str" cm="1">
        <f t="array" ref="H260">_xlfn.TEXTJOIN(", ", TRUE, IF(I260:M260&gt;0, I$1:M$1, ""))</f>
        <v>Tech Application</v>
      </c>
      <c r="I260">
        <v>0</v>
      </c>
      <c r="J260">
        <v>4</v>
      </c>
      <c r="K260">
        <v>0</v>
      </c>
      <c r="L260">
        <v>0</v>
      </c>
      <c r="M260">
        <v>0</v>
      </c>
      <c r="N260">
        <v>0</v>
      </c>
    </row>
    <row r="261" spans="1:14" x14ac:dyDescent="0.35">
      <c r="A261" t="s">
        <v>6</v>
      </c>
      <c r="B261" t="s">
        <v>664</v>
      </c>
      <c r="C261" t="s">
        <v>665</v>
      </c>
      <c r="E261" t="s">
        <v>666</v>
      </c>
      <c r="F261" t="s">
        <v>667</v>
      </c>
      <c r="H261" t="str" cm="1">
        <f t="array" ref="H261">_xlfn.TEXTJOIN(", ", TRUE, IF(I261:M261&gt;0, I$1:M$1, ""))</f>
        <v>Semantic View</v>
      </c>
      <c r="I261">
        <v>0</v>
      </c>
      <c r="J261">
        <v>0</v>
      </c>
      <c r="K261">
        <v>0</v>
      </c>
      <c r="L261">
        <v>0</v>
      </c>
      <c r="M261">
        <v>5</v>
      </c>
      <c r="N261">
        <v>1</v>
      </c>
    </row>
    <row r="262" spans="1:14" x14ac:dyDescent="0.35">
      <c r="A262" t="s">
        <v>6</v>
      </c>
      <c r="B262" t="s">
        <v>668</v>
      </c>
      <c r="C262" t="s">
        <v>668</v>
      </c>
      <c r="E262" t="s">
        <v>66</v>
      </c>
      <c r="F262" t="s">
        <v>180</v>
      </c>
      <c r="H262" t="str" cm="1">
        <f t="array" ref="H262">_xlfn.TEXTJOIN(", ", TRUE, IF(I262:M262&gt;0, I$1:M$1, ""))</f>
        <v>Semantic View</v>
      </c>
      <c r="I262">
        <v>0</v>
      </c>
      <c r="J262">
        <v>0</v>
      </c>
      <c r="K262">
        <v>0</v>
      </c>
      <c r="L262">
        <v>0</v>
      </c>
      <c r="M262">
        <v>1</v>
      </c>
      <c r="N262">
        <v>0</v>
      </c>
    </row>
    <row r="263" spans="1:14" x14ac:dyDescent="0.35">
      <c r="A263" t="s">
        <v>6</v>
      </c>
      <c r="B263" t="s">
        <v>669</v>
      </c>
      <c r="C263" t="s">
        <v>151</v>
      </c>
      <c r="E263" t="s">
        <v>96</v>
      </c>
      <c r="F263" t="s">
        <v>51</v>
      </c>
      <c r="H263" t="str" cm="1">
        <f t="array" ref="H263">_xlfn.TEXTJOIN(", ", TRUE, IF(I263:M263&gt;0, I$1:M$1, ""))</f>
        <v>Tech Application</v>
      </c>
      <c r="I263">
        <v>0</v>
      </c>
      <c r="J263">
        <v>5</v>
      </c>
      <c r="K263">
        <v>0</v>
      </c>
      <c r="L263">
        <v>0</v>
      </c>
      <c r="M263">
        <v>0</v>
      </c>
      <c r="N263">
        <v>2</v>
      </c>
    </row>
    <row r="264" spans="1:14" x14ac:dyDescent="0.35">
      <c r="A264" t="s">
        <v>6</v>
      </c>
      <c r="B264" t="s">
        <v>670</v>
      </c>
      <c r="C264" t="s">
        <v>671</v>
      </c>
      <c r="E264" t="s">
        <v>91</v>
      </c>
      <c r="F264" t="s">
        <v>51</v>
      </c>
      <c r="H264" t="str" cm="1">
        <f t="array" ref="H264">_xlfn.TEXTJOIN(", ", TRUE, IF(I264:M264&gt;0, I$1:M$1, ""))</f>
        <v>Tech Application</v>
      </c>
      <c r="I264">
        <v>0</v>
      </c>
      <c r="J264">
        <v>5</v>
      </c>
      <c r="K264">
        <v>0</v>
      </c>
      <c r="L264">
        <v>0</v>
      </c>
      <c r="M264">
        <v>0</v>
      </c>
      <c r="N264">
        <v>0</v>
      </c>
    </row>
    <row r="265" spans="1:14" x14ac:dyDescent="0.35">
      <c r="A265" t="s">
        <v>6</v>
      </c>
      <c r="B265" t="s">
        <v>672</v>
      </c>
      <c r="E265" t="s">
        <v>124</v>
      </c>
      <c r="F265" t="s">
        <v>180</v>
      </c>
      <c r="H265" t="str" cm="1">
        <f t="array" ref="H265">_xlfn.TEXTJOIN(", ", TRUE, IF(I265:M265&gt;0, I$1:M$1, ""))</f>
        <v>Tech Application</v>
      </c>
      <c r="I265">
        <v>0</v>
      </c>
      <c r="J265">
        <v>2</v>
      </c>
      <c r="K265">
        <v>0</v>
      </c>
      <c r="L265">
        <v>0</v>
      </c>
      <c r="M265">
        <v>0</v>
      </c>
      <c r="N265">
        <v>0</v>
      </c>
    </row>
    <row r="266" spans="1:14" x14ac:dyDescent="0.35">
      <c r="A266" t="s">
        <v>6</v>
      </c>
      <c r="B266" t="s">
        <v>673</v>
      </c>
      <c r="C266" t="s">
        <v>674</v>
      </c>
      <c r="E266" t="s">
        <v>62</v>
      </c>
      <c r="F266" t="s">
        <v>51</v>
      </c>
      <c r="H266" t="str" cm="1">
        <f t="array" ref="H266">_xlfn.TEXTJOIN(", ", TRUE, IF(I266:M266&gt;0, I$1:M$1, ""))</f>
        <v>Semantic View</v>
      </c>
      <c r="I266">
        <v>0</v>
      </c>
      <c r="J266">
        <v>0</v>
      </c>
      <c r="K266">
        <v>0</v>
      </c>
      <c r="L266">
        <v>0</v>
      </c>
      <c r="M266">
        <v>1</v>
      </c>
      <c r="N266">
        <v>0</v>
      </c>
    </row>
    <row r="267" spans="1:14" x14ac:dyDescent="0.35">
      <c r="A267" t="s">
        <v>6</v>
      </c>
      <c r="B267" t="s">
        <v>675</v>
      </c>
      <c r="E267" t="s">
        <v>50</v>
      </c>
      <c r="F267" t="s">
        <v>528</v>
      </c>
      <c r="H267" t="str" cm="1">
        <f t="array" ref="H267">_xlfn.TEXTJOIN(", ", TRUE, IF(I267:M267&gt;0, I$1:M$1, ""))</f>
        <v>Tech Application</v>
      </c>
      <c r="I267">
        <v>0</v>
      </c>
      <c r="J267">
        <v>3</v>
      </c>
      <c r="K267">
        <v>0</v>
      </c>
      <c r="L267">
        <v>0</v>
      </c>
      <c r="M267">
        <v>0</v>
      </c>
      <c r="N267">
        <v>0</v>
      </c>
    </row>
    <row r="268" spans="1:14" x14ac:dyDescent="0.35">
      <c r="A268" t="s">
        <v>6</v>
      </c>
      <c r="B268" t="s">
        <v>676</v>
      </c>
      <c r="C268" t="s">
        <v>677</v>
      </c>
      <c r="E268" t="s">
        <v>678</v>
      </c>
      <c r="F268" t="s">
        <v>51</v>
      </c>
      <c r="H268" t="str" cm="1">
        <f t="array" ref="H268">_xlfn.TEXTJOIN(", ", TRUE, IF(I268:M268&gt;0, I$1:M$1, ""))</f>
        <v>Tech Application</v>
      </c>
      <c r="I268">
        <v>0</v>
      </c>
      <c r="J268">
        <v>1</v>
      </c>
      <c r="K268">
        <v>0</v>
      </c>
      <c r="L268">
        <v>0</v>
      </c>
      <c r="M268">
        <v>0</v>
      </c>
      <c r="N268">
        <v>0</v>
      </c>
    </row>
    <row r="269" spans="1:14" x14ac:dyDescent="0.35">
      <c r="A269" t="s">
        <v>6</v>
      </c>
      <c r="B269" t="s">
        <v>679</v>
      </c>
      <c r="D269" t="s">
        <v>679</v>
      </c>
      <c r="E269" t="s">
        <v>59</v>
      </c>
      <c r="F269" t="s">
        <v>55</v>
      </c>
      <c r="H269" t="str" cm="1">
        <f t="array" ref="H269">_xlfn.TEXTJOIN(", ", TRUE, IF(I269:M269&gt;0, I$1:M$1, ""))</f>
        <v>Tech Application, Semantic View</v>
      </c>
      <c r="I269">
        <v>0</v>
      </c>
      <c r="J269">
        <v>2</v>
      </c>
      <c r="K269">
        <v>0</v>
      </c>
      <c r="L269">
        <v>0</v>
      </c>
      <c r="M269">
        <v>5</v>
      </c>
      <c r="N269">
        <v>0</v>
      </c>
    </row>
    <row r="270" spans="1:14" x14ac:dyDescent="0.35">
      <c r="A270" t="s">
        <v>6</v>
      </c>
      <c r="B270" t="s">
        <v>680</v>
      </c>
      <c r="C270" t="s">
        <v>680</v>
      </c>
      <c r="E270" t="s">
        <v>50</v>
      </c>
      <c r="F270" t="s">
        <v>276</v>
      </c>
      <c r="H270" t="str" cm="1">
        <f t="array" ref="H270">_xlfn.TEXTJOIN(", ", TRUE, IF(I270:M270&gt;0, I$1:M$1, ""))</f>
        <v>Semantic View</v>
      </c>
      <c r="I270">
        <v>0</v>
      </c>
      <c r="J270">
        <v>0</v>
      </c>
      <c r="K270">
        <v>0</v>
      </c>
      <c r="L270">
        <v>0</v>
      </c>
      <c r="M270">
        <v>8</v>
      </c>
      <c r="N270">
        <v>0</v>
      </c>
    </row>
    <row r="271" spans="1:14" x14ac:dyDescent="0.35">
      <c r="A271" t="s">
        <v>6</v>
      </c>
      <c r="B271" t="s">
        <v>681</v>
      </c>
      <c r="C271" t="s">
        <v>682</v>
      </c>
      <c r="E271" t="s">
        <v>66</v>
      </c>
      <c r="F271" t="s">
        <v>55</v>
      </c>
      <c r="H271" t="str" cm="1">
        <f t="array" ref="H271">_xlfn.TEXTJOIN(", ", TRUE, IF(I271:M271&gt;0, I$1:M$1, ""))</f>
        <v>Legal View, Organisational View</v>
      </c>
      <c r="I271">
        <v>0</v>
      </c>
      <c r="J271">
        <v>0</v>
      </c>
      <c r="K271">
        <v>5</v>
      </c>
      <c r="L271">
        <v>4</v>
      </c>
      <c r="M271">
        <v>0</v>
      </c>
      <c r="N271">
        <v>0</v>
      </c>
    </row>
    <row r="272" spans="1:14" x14ac:dyDescent="0.35">
      <c r="A272" t="s">
        <v>6</v>
      </c>
      <c r="B272" t="s">
        <v>683</v>
      </c>
      <c r="C272" t="s">
        <v>684</v>
      </c>
      <c r="E272" t="s">
        <v>59</v>
      </c>
      <c r="F272" t="s">
        <v>111</v>
      </c>
      <c r="H272" t="str" cm="1">
        <f t="array" ref="H272">_xlfn.TEXTJOIN(", ", TRUE, IF(I272:M272&gt;0, I$1:M$1, ""))</f>
        <v/>
      </c>
      <c r="I272">
        <v>0</v>
      </c>
      <c r="J272">
        <v>0</v>
      </c>
      <c r="K272">
        <v>0</v>
      </c>
      <c r="L272">
        <v>0</v>
      </c>
      <c r="M272">
        <v>0</v>
      </c>
      <c r="N272">
        <v>0</v>
      </c>
    </row>
    <row r="273" spans="1:14" x14ac:dyDescent="0.35">
      <c r="A273" t="s">
        <v>6</v>
      </c>
      <c r="B273" t="s">
        <v>685</v>
      </c>
      <c r="E273" t="s">
        <v>66</v>
      </c>
      <c r="F273" t="s">
        <v>55</v>
      </c>
      <c r="H273" t="str" cm="1">
        <f t="array" ref="H273">_xlfn.TEXTJOIN(", ", TRUE, IF(I273:M273&gt;0, I$1:M$1, ""))</f>
        <v>Organisational View</v>
      </c>
      <c r="I273">
        <v>0</v>
      </c>
      <c r="J273">
        <v>0</v>
      </c>
      <c r="K273">
        <v>0</v>
      </c>
      <c r="L273">
        <v>1</v>
      </c>
      <c r="M273">
        <v>0</v>
      </c>
      <c r="N273">
        <v>0</v>
      </c>
    </row>
    <row r="274" spans="1:14" x14ac:dyDescent="0.35">
      <c r="A274" t="s">
        <v>6</v>
      </c>
      <c r="B274" t="s">
        <v>686</v>
      </c>
      <c r="D274" t="s">
        <v>687</v>
      </c>
      <c r="E274" t="s">
        <v>124</v>
      </c>
      <c r="F274" t="s">
        <v>180</v>
      </c>
      <c r="H274" t="str" cm="1">
        <f t="array" ref="H274">_xlfn.TEXTJOIN(", ", TRUE, IF(I274:M274&gt;0, I$1:M$1, ""))</f>
        <v>Tech Application</v>
      </c>
      <c r="I274">
        <v>0</v>
      </c>
      <c r="J274">
        <v>1</v>
      </c>
      <c r="K274">
        <v>0</v>
      </c>
      <c r="L274">
        <v>0</v>
      </c>
      <c r="M274">
        <v>0</v>
      </c>
      <c r="N274">
        <v>0</v>
      </c>
    </row>
    <row r="275" spans="1:14" x14ac:dyDescent="0.35">
      <c r="A275" t="s">
        <v>6</v>
      </c>
      <c r="B275" t="s">
        <v>688</v>
      </c>
      <c r="D275" t="s">
        <v>689</v>
      </c>
      <c r="E275" t="s">
        <v>66</v>
      </c>
      <c r="F275" t="s">
        <v>690</v>
      </c>
      <c r="H275" t="str" cm="1">
        <f t="array" ref="H275">_xlfn.TEXTJOIN(", ", TRUE, IF(I275:M275&gt;0, I$1:M$1, ""))</f>
        <v>Legal View</v>
      </c>
      <c r="I275">
        <v>0</v>
      </c>
      <c r="J275">
        <v>0</v>
      </c>
      <c r="K275">
        <v>1</v>
      </c>
      <c r="L275">
        <v>0</v>
      </c>
      <c r="M275">
        <v>0</v>
      </c>
      <c r="N275">
        <v>0</v>
      </c>
    </row>
    <row r="276" spans="1:14" x14ac:dyDescent="0.35">
      <c r="A276" t="s">
        <v>6</v>
      </c>
      <c r="B276" t="s">
        <v>691</v>
      </c>
      <c r="D276" t="s">
        <v>692</v>
      </c>
      <c r="E276" t="s">
        <v>69</v>
      </c>
      <c r="F276" t="s">
        <v>55</v>
      </c>
      <c r="H276" t="str" cm="1">
        <f t="array" ref="H276">_xlfn.TEXTJOIN(", ", TRUE, IF(I276:M276&gt;0, I$1:M$1, ""))</f>
        <v/>
      </c>
      <c r="I276">
        <v>0</v>
      </c>
      <c r="J276">
        <v>0</v>
      </c>
      <c r="K276">
        <v>0</v>
      </c>
      <c r="L276">
        <v>0</v>
      </c>
      <c r="M276">
        <v>0</v>
      </c>
      <c r="N276">
        <v>0</v>
      </c>
    </row>
    <row r="277" spans="1:14" x14ac:dyDescent="0.35">
      <c r="A277" t="s">
        <v>6</v>
      </c>
      <c r="B277" t="s">
        <v>693</v>
      </c>
      <c r="C277" t="s">
        <v>694</v>
      </c>
      <c r="E277" t="s">
        <v>96</v>
      </c>
      <c r="F277" t="s">
        <v>55</v>
      </c>
      <c r="H277" t="str" cm="1">
        <f t="array" ref="H277">_xlfn.TEXTJOIN(", ", TRUE, IF(I277:M277&gt;0, I$1:M$1, ""))</f>
        <v>Tech Application, Organisational View</v>
      </c>
      <c r="I277">
        <v>0</v>
      </c>
      <c r="J277">
        <v>2</v>
      </c>
      <c r="K277">
        <v>0</v>
      </c>
      <c r="L277">
        <v>1</v>
      </c>
      <c r="M277">
        <v>0</v>
      </c>
      <c r="N277">
        <v>0</v>
      </c>
    </row>
    <row r="278" spans="1:14" x14ac:dyDescent="0.35">
      <c r="A278" t="s">
        <v>6</v>
      </c>
      <c r="B278" t="s">
        <v>695</v>
      </c>
      <c r="E278" t="s">
        <v>62</v>
      </c>
      <c r="F278" t="s">
        <v>696</v>
      </c>
      <c r="H278" t="str" cm="1">
        <f t="array" ref="H278">_xlfn.TEXTJOIN(", ", TRUE, IF(I278:M278&gt;0, I$1:M$1, ""))</f>
        <v>Tech Infrastructure, Tech Application</v>
      </c>
      <c r="I278">
        <v>4</v>
      </c>
      <c r="J278">
        <v>2</v>
      </c>
      <c r="K278">
        <v>0</v>
      </c>
      <c r="L278">
        <v>0</v>
      </c>
      <c r="M278">
        <v>0</v>
      </c>
      <c r="N278">
        <v>0</v>
      </c>
    </row>
    <row r="279" spans="1:14" x14ac:dyDescent="0.35">
      <c r="A279" t="s">
        <v>6</v>
      </c>
      <c r="B279" t="s">
        <v>697</v>
      </c>
      <c r="C279" t="s">
        <v>297</v>
      </c>
      <c r="E279" t="s">
        <v>297</v>
      </c>
      <c r="F279" t="s">
        <v>55</v>
      </c>
      <c r="H279" t="str" cm="1">
        <f t="array" ref="H279">_xlfn.TEXTJOIN(", ", TRUE, IF(I279:M279&gt;0, I$1:M$1, ""))</f>
        <v>Semantic View</v>
      </c>
      <c r="I279">
        <v>0</v>
      </c>
      <c r="J279">
        <v>0</v>
      </c>
      <c r="K279">
        <v>0</v>
      </c>
      <c r="L279">
        <v>0</v>
      </c>
      <c r="M279">
        <v>2</v>
      </c>
      <c r="N279">
        <v>0</v>
      </c>
    </row>
    <row r="280" spans="1:14" x14ac:dyDescent="0.35">
      <c r="A280" t="s">
        <v>6</v>
      </c>
      <c r="B280" t="s">
        <v>698</v>
      </c>
      <c r="D280" t="s">
        <v>699</v>
      </c>
      <c r="E280" t="s">
        <v>230</v>
      </c>
      <c r="F280" t="s">
        <v>535</v>
      </c>
      <c r="H280" t="str" cm="1">
        <f t="array" ref="H280">_xlfn.TEXTJOIN(", ", TRUE, IF(I280:M280&gt;0, I$1:M$1, ""))</f>
        <v/>
      </c>
      <c r="I280">
        <v>0</v>
      </c>
      <c r="J280">
        <v>0</v>
      </c>
      <c r="K280">
        <v>0</v>
      </c>
      <c r="L280">
        <v>0</v>
      </c>
      <c r="M280">
        <v>0</v>
      </c>
      <c r="N280">
        <v>0</v>
      </c>
    </row>
    <row r="281" spans="1:14" x14ac:dyDescent="0.35">
      <c r="A281" t="s">
        <v>6</v>
      </c>
      <c r="B281" t="s">
        <v>700</v>
      </c>
      <c r="C281" t="s">
        <v>701</v>
      </c>
      <c r="E281" t="s">
        <v>702</v>
      </c>
      <c r="F281" t="s">
        <v>703</v>
      </c>
      <c r="H281" t="str" cm="1">
        <f t="array" ref="H281">_xlfn.TEXTJOIN(", ", TRUE, IF(I281:M281&gt;0, I$1:M$1, ""))</f>
        <v>Tech Application</v>
      </c>
      <c r="I281">
        <v>0</v>
      </c>
      <c r="J281">
        <v>2</v>
      </c>
      <c r="K281">
        <v>0</v>
      </c>
      <c r="L281">
        <v>0</v>
      </c>
      <c r="M281">
        <v>0</v>
      </c>
      <c r="N281">
        <v>0</v>
      </c>
    </row>
    <row r="282" spans="1:14" x14ac:dyDescent="0.35">
      <c r="A282" t="s">
        <v>6</v>
      </c>
      <c r="B282" t="s">
        <v>704</v>
      </c>
      <c r="C282" t="s">
        <v>705</v>
      </c>
      <c r="E282" t="s">
        <v>50</v>
      </c>
      <c r="F282" t="s">
        <v>55</v>
      </c>
      <c r="H282" t="str" cm="1">
        <f t="array" ref="H282">_xlfn.TEXTJOIN(", ", TRUE, IF(I282:M282&gt;0, I$1:M$1, ""))</f>
        <v>Tech Infrastructure, Tech Application</v>
      </c>
      <c r="I282">
        <v>1</v>
      </c>
      <c r="J282">
        <v>6</v>
      </c>
      <c r="K282">
        <v>0</v>
      </c>
      <c r="L282">
        <v>0</v>
      </c>
      <c r="M282">
        <v>0</v>
      </c>
      <c r="N282">
        <v>0</v>
      </c>
    </row>
    <row r="283" spans="1:14" x14ac:dyDescent="0.35">
      <c r="A283" t="s">
        <v>6</v>
      </c>
      <c r="B283" t="s">
        <v>706</v>
      </c>
      <c r="C283" t="s">
        <v>707</v>
      </c>
      <c r="E283" t="s">
        <v>411</v>
      </c>
      <c r="F283" t="s">
        <v>55</v>
      </c>
      <c r="H283" t="str" cm="1">
        <f t="array" ref="H283">_xlfn.TEXTJOIN(", ", TRUE, IF(I283:M283&gt;0, I$1:M$1, ""))</f>
        <v>Tech Application, Semantic View</v>
      </c>
      <c r="I283">
        <v>0</v>
      </c>
      <c r="J283">
        <v>2</v>
      </c>
      <c r="K283">
        <v>0</v>
      </c>
      <c r="L283">
        <v>0</v>
      </c>
      <c r="M283">
        <v>2</v>
      </c>
      <c r="N283">
        <v>0</v>
      </c>
    </row>
    <row r="284" spans="1:14" x14ac:dyDescent="0.35">
      <c r="A284" t="s">
        <v>6</v>
      </c>
      <c r="B284" t="s">
        <v>708</v>
      </c>
      <c r="C284" t="s">
        <v>709</v>
      </c>
      <c r="E284" t="s">
        <v>710</v>
      </c>
      <c r="F284" t="s">
        <v>55</v>
      </c>
      <c r="H284" t="str" cm="1">
        <f t="array" ref="H284">_xlfn.TEXTJOIN(", ", TRUE, IF(I284:M284&gt;0, I$1:M$1, ""))</f>
        <v>Tech Application</v>
      </c>
      <c r="I284">
        <v>0</v>
      </c>
      <c r="J284">
        <v>2</v>
      </c>
      <c r="K284">
        <v>0</v>
      </c>
      <c r="L284">
        <v>0</v>
      </c>
      <c r="M284">
        <v>0</v>
      </c>
      <c r="N284">
        <v>0</v>
      </c>
    </row>
    <row r="285" spans="1:14" x14ac:dyDescent="0.35">
      <c r="A285" t="s">
        <v>6</v>
      </c>
      <c r="B285" t="s">
        <v>711</v>
      </c>
      <c r="E285" t="s">
        <v>712</v>
      </c>
      <c r="F285" t="s">
        <v>480</v>
      </c>
      <c r="H285" t="str" cm="1">
        <f t="array" ref="H285">_xlfn.TEXTJOIN(", ", TRUE, IF(I285:M285&gt;0, I$1:M$1, ""))</f>
        <v>Tech Infrastructure</v>
      </c>
      <c r="I285">
        <v>1</v>
      </c>
      <c r="J285">
        <v>0</v>
      </c>
      <c r="K285">
        <v>0</v>
      </c>
      <c r="L285">
        <v>0</v>
      </c>
      <c r="M285">
        <v>0</v>
      </c>
      <c r="N285">
        <v>0</v>
      </c>
    </row>
    <row r="286" spans="1:14" x14ac:dyDescent="0.35">
      <c r="A286" t="s">
        <v>6</v>
      </c>
      <c r="B286" t="s">
        <v>713</v>
      </c>
      <c r="C286" t="s">
        <v>714</v>
      </c>
      <c r="E286" t="s">
        <v>121</v>
      </c>
      <c r="F286" t="s">
        <v>152</v>
      </c>
      <c r="H286" t="str" cm="1">
        <f t="array" ref="H286">_xlfn.TEXTJOIN(", ", TRUE, IF(I286:M286&gt;0, I$1:M$1, ""))</f>
        <v>Tech Application, Semantic View</v>
      </c>
      <c r="I286">
        <v>0</v>
      </c>
      <c r="J286">
        <v>3</v>
      </c>
      <c r="K286">
        <v>0</v>
      </c>
      <c r="L286">
        <v>0</v>
      </c>
      <c r="M286">
        <v>2</v>
      </c>
      <c r="N286">
        <v>2</v>
      </c>
    </row>
    <row r="287" spans="1:14" x14ac:dyDescent="0.35">
      <c r="A287" t="s">
        <v>6</v>
      </c>
      <c r="B287" t="s">
        <v>715</v>
      </c>
      <c r="C287" t="s">
        <v>716</v>
      </c>
      <c r="E287" t="s">
        <v>230</v>
      </c>
      <c r="F287" t="s">
        <v>447</v>
      </c>
      <c r="H287" t="str" cm="1">
        <f t="array" ref="H287">_xlfn.TEXTJOIN(", ", TRUE, IF(I287:M287&gt;0, I$1:M$1, ""))</f>
        <v>Tech Application</v>
      </c>
      <c r="I287">
        <v>0</v>
      </c>
      <c r="J287">
        <v>4</v>
      </c>
      <c r="K287">
        <v>0</v>
      </c>
      <c r="L287">
        <v>0</v>
      </c>
      <c r="M287">
        <v>0</v>
      </c>
      <c r="N287">
        <v>0</v>
      </c>
    </row>
    <row r="288" spans="1:14" x14ac:dyDescent="0.35">
      <c r="A288" t="s">
        <v>6</v>
      </c>
      <c r="B288" t="s">
        <v>717</v>
      </c>
      <c r="E288" t="s">
        <v>121</v>
      </c>
      <c r="F288" t="s">
        <v>718</v>
      </c>
      <c r="H288" t="str" cm="1">
        <f t="array" ref="H288">_xlfn.TEXTJOIN(", ", TRUE, IF(I288:M288&gt;0, I$1:M$1, ""))</f>
        <v>Tech Infrastructure, Tech Application</v>
      </c>
      <c r="I288">
        <v>1</v>
      </c>
      <c r="J288">
        <v>2</v>
      </c>
      <c r="K288">
        <v>0</v>
      </c>
      <c r="L288">
        <v>0</v>
      </c>
      <c r="M288">
        <v>0</v>
      </c>
      <c r="N288">
        <v>0</v>
      </c>
    </row>
    <row r="289" spans="1:14" x14ac:dyDescent="0.35">
      <c r="A289" t="s">
        <v>6</v>
      </c>
      <c r="B289" t="s">
        <v>719</v>
      </c>
      <c r="C289" t="s">
        <v>720</v>
      </c>
      <c r="E289" t="s">
        <v>50</v>
      </c>
      <c r="F289" t="s">
        <v>721</v>
      </c>
      <c r="H289" t="str" cm="1">
        <f t="array" ref="H289">_xlfn.TEXTJOIN(", ", TRUE, IF(I289:M289&gt;0, I$1:M$1, ""))</f>
        <v>Tech Infrastructure</v>
      </c>
      <c r="I289">
        <v>2</v>
      </c>
      <c r="J289">
        <v>0</v>
      </c>
      <c r="K289">
        <v>0</v>
      </c>
      <c r="L289">
        <v>0</v>
      </c>
      <c r="M289">
        <v>0</v>
      </c>
      <c r="N289">
        <v>0</v>
      </c>
    </row>
    <row r="290" spans="1:14" x14ac:dyDescent="0.35">
      <c r="A290" t="s">
        <v>6</v>
      </c>
      <c r="B290" t="s">
        <v>722</v>
      </c>
      <c r="E290" t="s">
        <v>723</v>
      </c>
      <c r="F290" t="s">
        <v>111</v>
      </c>
      <c r="H290" t="str" cm="1">
        <f t="array" ref="H290">_xlfn.TEXTJOIN(", ", TRUE, IF(I290:M290&gt;0, I$1:M$1, ""))</f>
        <v>Tech Application, Semantic View</v>
      </c>
      <c r="I290">
        <v>0</v>
      </c>
      <c r="J290">
        <v>3</v>
      </c>
      <c r="K290">
        <v>0</v>
      </c>
      <c r="L290">
        <v>0</v>
      </c>
      <c r="M290">
        <v>2</v>
      </c>
      <c r="N290">
        <v>0</v>
      </c>
    </row>
    <row r="291" spans="1:14" x14ac:dyDescent="0.35">
      <c r="A291" t="s">
        <v>6</v>
      </c>
      <c r="B291" t="s">
        <v>724</v>
      </c>
      <c r="C291" t="s">
        <v>725</v>
      </c>
      <c r="E291" t="s">
        <v>230</v>
      </c>
      <c r="F291" t="s">
        <v>51</v>
      </c>
      <c r="H291" t="str" cm="1">
        <f t="array" ref="H291">_xlfn.TEXTJOIN(", ", TRUE, IF(I291:M291&gt;0, I$1:M$1, ""))</f>
        <v>Tech Application</v>
      </c>
      <c r="I291">
        <v>0</v>
      </c>
      <c r="J291">
        <v>2</v>
      </c>
      <c r="K291">
        <v>0</v>
      </c>
      <c r="L291">
        <v>0</v>
      </c>
      <c r="M291">
        <v>0</v>
      </c>
      <c r="N291">
        <v>0</v>
      </c>
    </row>
    <row r="292" spans="1:14" x14ac:dyDescent="0.35">
      <c r="A292" t="s">
        <v>6</v>
      </c>
      <c r="B292" t="s">
        <v>726</v>
      </c>
      <c r="E292" t="s">
        <v>50</v>
      </c>
      <c r="F292" t="s">
        <v>55</v>
      </c>
      <c r="H292" t="str" cm="1">
        <f t="array" ref="H292">_xlfn.TEXTJOIN(", ", TRUE, IF(I292:M292&gt;0, I$1:M$1, ""))</f>
        <v>Tech Application</v>
      </c>
      <c r="I292">
        <v>0</v>
      </c>
      <c r="J292">
        <v>2</v>
      </c>
      <c r="K292">
        <v>0</v>
      </c>
      <c r="L292">
        <v>0</v>
      </c>
      <c r="M292">
        <v>0</v>
      </c>
      <c r="N292">
        <v>0</v>
      </c>
    </row>
    <row r="293" spans="1:14" x14ac:dyDescent="0.35">
      <c r="A293" t="s">
        <v>6</v>
      </c>
      <c r="B293" t="s">
        <v>727</v>
      </c>
      <c r="D293" t="s">
        <v>728</v>
      </c>
      <c r="E293" t="s">
        <v>50</v>
      </c>
      <c r="F293" t="s">
        <v>55</v>
      </c>
      <c r="H293" t="str" cm="1">
        <f t="array" ref="H293">_xlfn.TEXTJOIN(", ", TRUE, IF(I293:M293&gt;0, I$1:M$1, ""))</f>
        <v>Semantic View</v>
      </c>
      <c r="I293">
        <v>0</v>
      </c>
      <c r="J293">
        <v>0</v>
      </c>
      <c r="K293">
        <v>0</v>
      </c>
      <c r="L293">
        <v>0</v>
      </c>
      <c r="M293">
        <v>4</v>
      </c>
      <c r="N293">
        <v>0</v>
      </c>
    </row>
    <row r="294" spans="1:14" x14ac:dyDescent="0.35">
      <c r="A294" t="s">
        <v>6</v>
      </c>
      <c r="B294" t="s">
        <v>729</v>
      </c>
      <c r="C294" t="s">
        <v>730</v>
      </c>
      <c r="E294" t="s">
        <v>66</v>
      </c>
      <c r="F294" t="s">
        <v>667</v>
      </c>
      <c r="H294" t="str" cm="1">
        <f t="array" ref="H294">_xlfn.TEXTJOIN(", ", TRUE, IF(I294:M294&gt;0, I$1:M$1, ""))</f>
        <v>Tech Application</v>
      </c>
      <c r="I294">
        <v>0</v>
      </c>
      <c r="J294">
        <v>2</v>
      </c>
      <c r="K294">
        <v>0</v>
      </c>
      <c r="L294">
        <v>0</v>
      </c>
      <c r="M294">
        <v>0</v>
      </c>
      <c r="N294">
        <v>1</v>
      </c>
    </row>
    <row r="295" spans="1:14" x14ac:dyDescent="0.35">
      <c r="A295" t="s">
        <v>6</v>
      </c>
      <c r="B295" t="s">
        <v>731</v>
      </c>
      <c r="C295" t="s">
        <v>732</v>
      </c>
      <c r="E295" t="s">
        <v>733</v>
      </c>
      <c r="F295" t="s">
        <v>51</v>
      </c>
      <c r="H295" t="str" cm="1">
        <f t="array" ref="H295">_xlfn.TEXTJOIN(", ", TRUE, IF(I295:M295&gt;0, I$1:M$1, ""))</f>
        <v>Tech Application</v>
      </c>
      <c r="I295">
        <v>0</v>
      </c>
      <c r="J295">
        <v>2</v>
      </c>
      <c r="K295">
        <v>0</v>
      </c>
      <c r="L295">
        <v>0</v>
      </c>
      <c r="M295">
        <v>0</v>
      </c>
      <c r="N295">
        <v>0</v>
      </c>
    </row>
    <row r="296" spans="1:14" x14ac:dyDescent="0.35">
      <c r="A296" t="s">
        <v>6</v>
      </c>
      <c r="B296" t="s">
        <v>734</v>
      </c>
      <c r="C296" t="s">
        <v>735</v>
      </c>
      <c r="E296" t="s">
        <v>489</v>
      </c>
      <c r="F296" t="s">
        <v>55</v>
      </c>
      <c r="H296" t="str" cm="1">
        <f t="array" ref="H296">_xlfn.TEXTJOIN(", ", TRUE, IF(I296:M296&gt;0, I$1:M$1, ""))</f>
        <v>Tech Infrastructure, Tech Application</v>
      </c>
      <c r="I296">
        <v>1</v>
      </c>
      <c r="J296">
        <v>6</v>
      </c>
      <c r="K296">
        <v>0</v>
      </c>
      <c r="L296">
        <v>0</v>
      </c>
      <c r="M296">
        <v>0</v>
      </c>
      <c r="N296">
        <v>0</v>
      </c>
    </row>
    <row r="297" spans="1:14" x14ac:dyDescent="0.35">
      <c r="A297" t="s">
        <v>6</v>
      </c>
      <c r="B297" t="s">
        <v>736</v>
      </c>
      <c r="D297" t="s">
        <v>737</v>
      </c>
      <c r="E297" t="s">
        <v>69</v>
      </c>
      <c r="F297" t="s">
        <v>55</v>
      </c>
      <c r="H297" t="str" cm="1">
        <f t="array" ref="H297">_xlfn.TEXTJOIN(", ", TRUE, IF(I297:M297&gt;0, I$1:M$1, ""))</f>
        <v/>
      </c>
      <c r="I297">
        <v>0</v>
      </c>
      <c r="J297">
        <v>0</v>
      </c>
      <c r="K297">
        <v>0</v>
      </c>
      <c r="L297">
        <v>0</v>
      </c>
      <c r="M297">
        <v>0</v>
      </c>
      <c r="N297">
        <v>0</v>
      </c>
    </row>
    <row r="298" spans="1:14" x14ac:dyDescent="0.35">
      <c r="A298" t="s">
        <v>6</v>
      </c>
      <c r="B298" t="s">
        <v>738</v>
      </c>
      <c r="E298" t="s">
        <v>148</v>
      </c>
      <c r="F298" t="s">
        <v>55</v>
      </c>
      <c r="H298" t="str" cm="1">
        <f t="array" ref="H298">_xlfn.TEXTJOIN(", ", TRUE, IF(I298:M298&gt;0, I$1:M$1, ""))</f>
        <v>Tech Application</v>
      </c>
      <c r="I298">
        <v>0</v>
      </c>
      <c r="J298">
        <v>4</v>
      </c>
      <c r="K298">
        <v>0</v>
      </c>
      <c r="L298">
        <v>0</v>
      </c>
      <c r="M298">
        <v>0</v>
      </c>
      <c r="N298">
        <v>0</v>
      </c>
    </row>
    <row r="299" spans="1:14" x14ac:dyDescent="0.35">
      <c r="A299" t="s">
        <v>6</v>
      </c>
      <c r="B299" t="s">
        <v>739</v>
      </c>
      <c r="D299" t="s">
        <v>740</v>
      </c>
      <c r="E299" t="s">
        <v>50</v>
      </c>
      <c r="F299" t="s">
        <v>55</v>
      </c>
      <c r="H299" t="str" cm="1">
        <f t="array" ref="H299">_xlfn.TEXTJOIN(", ", TRUE, IF(I299:M299&gt;0, I$1:M$1, ""))</f>
        <v/>
      </c>
      <c r="I299">
        <v>0</v>
      </c>
      <c r="J299">
        <v>0</v>
      </c>
      <c r="K299">
        <v>0</v>
      </c>
      <c r="L299">
        <v>0</v>
      </c>
      <c r="M299">
        <v>0</v>
      </c>
      <c r="N299">
        <v>0</v>
      </c>
    </row>
    <row r="300" spans="1:14" x14ac:dyDescent="0.35">
      <c r="A300" t="s">
        <v>6</v>
      </c>
      <c r="B300" t="s">
        <v>741</v>
      </c>
      <c r="C300" t="s">
        <v>741</v>
      </c>
      <c r="E300" t="s">
        <v>742</v>
      </c>
      <c r="F300" t="s">
        <v>743</v>
      </c>
      <c r="H300" t="str" cm="1">
        <f t="array" ref="H300">_xlfn.TEXTJOIN(", ", TRUE, IF(I300:M300&gt;0, I$1:M$1, ""))</f>
        <v/>
      </c>
      <c r="I300">
        <v>0</v>
      </c>
      <c r="J300">
        <v>0</v>
      </c>
      <c r="K300">
        <v>0</v>
      </c>
      <c r="L300">
        <v>0</v>
      </c>
      <c r="M300">
        <v>0</v>
      </c>
      <c r="N300">
        <v>0</v>
      </c>
    </row>
    <row r="301" spans="1:14" x14ac:dyDescent="0.35">
      <c r="A301" t="s">
        <v>6</v>
      </c>
      <c r="B301" t="s">
        <v>744</v>
      </c>
      <c r="C301" t="s">
        <v>745</v>
      </c>
      <c r="E301" t="s">
        <v>96</v>
      </c>
      <c r="F301" t="s">
        <v>55</v>
      </c>
      <c r="H301" t="str" cm="1">
        <f t="array" ref="H301">_xlfn.TEXTJOIN(", ", TRUE, IF(I301:M301&gt;0, I$1:M$1, ""))</f>
        <v>Semantic View</v>
      </c>
      <c r="I301">
        <v>0</v>
      </c>
      <c r="J301">
        <v>0</v>
      </c>
      <c r="K301">
        <v>0</v>
      </c>
      <c r="L301">
        <v>0</v>
      </c>
      <c r="M301">
        <v>2</v>
      </c>
      <c r="N301">
        <v>0</v>
      </c>
    </row>
    <row r="302" spans="1:14" x14ac:dyDescent="0.35">
      <c r="A302" t="s">
        <v>6</v>
      </c>
      <c r="B302" t="s">
        <v>746</v>
      </c>
      <c r="E302" t="s">
        <v>230</v>
      </c>
      <c r="F302" t="s">
        <v>92</v>
      </c>
      <c r="H302" t="str" cm="1">
        <f t="array" ref="H302">_xlfn.TEXTJOIN(", ", TRUE, IF(I302:M302&gt;0, I$1:M$1, ""))</f>
        <v>Tech Application, Semantic View</v>
      </c>
      <c r="I302">
        <v>0</v>
      </c>
      <c r="J302">
        <v>4</v>
      </c>
      <c r="K302">
        <v>0</v>
      </c>
      <c r="L302">
        <v>0</v>
      </c>
      <c r="M302">
        <v>1</v>
      </c>
      <c r="N302">
        <v>0</v>
      </c>
    </row>
    <row r="303" spans="1:14" x14ac:dyDescent="0.35">
      <c r="A303" t="s">
        <v>6</v>
      </c>
      <c r="B303" t="s">
        <v>747</v>
      </c>
      <c r="C303" t="s">
        <v>748</v>
      </c>
      <c r="E303" t="s">
        <v>121</v>
      </c>
      <c r="F303" t="s">
        <v>55</v>
      </c>
      <c r="H303" t="str" cm="1">
        <f t="array" ref="H303">_xlfn.TEXTJOIN(", ", TRUE, IF(I303:M303&gt;0, I$1:M$1, ""))</f>
        <v>Tech Application</v>
      </c>
      <c r="I303">
        <v>0</v>
      </c>
      <c r="J303">
        <v>2</v>
      </c>
      <c r="K303">
        <v>0</v>
      </c>
      <c r="L303">
        <v>0</v>
      </c>
      <c r="M303">
        <v>0</v>
      </c>
      <c r="N303">
        <v>0</v>
      </c>
    </row>
    <row r="304" spans="1:14" x14ac:dyDescent="0.35">
      <c r="A304" t="s">
        <v>6</v>
      </c>
      <c r="B304" t="s">
        <v>749</v>
      </c>
      <c r="E304" t="s">
        <v>750</v>
      </c>
      <c r="F304" t="s">
        <v>751</v>
      </c>
      <c r="H304" t="str" cm="1">
        <f t="array" ref="H304">_xlfn.TEXTJOIN(", ", TRUE, IF(I304:M304&gt;0, I$1:M$1, ""))</f>
        <v>Tech Infrastructure</v>
      </c>
      <c r="I304">
        <v>1</v>
      </c>
      <c r="J304">
        <v>0</v>
      </c>
      <c r="K304">
        <v>0</v>
      </c>
      <c r="L304">
        <v>0</v>
      </c>
      <c r="M304">
        <v>0</v>
      </c>
      <c r="N304">
        <v>0</v>
      </c>
    </row>
    <row r="305" spans="1:14" x14ac:dyDescent="0.35">
      <c r="A305" t="s">
        <v>6</v>
      </c>
      <c r="B305" t="s">
        <v>752</v>
      </c>
      <c r="E305" t="s">
        <v>62</v>
      </c>
      <c r="F305" t="s">
        <v>55</v>
      </c>
      <c r="H305" t="str" cm="1">
        <f t="array" ref="H305">_xlfn.TEXTJOIN(", ", TRUE, IF(I305:M305&gt;0, I$1:M$1, ""))</f>
        <v>Legal View</v>
      </c>
      <c r="I305">
        <v>0</v>
      </c>
      <c r="J305">
        <v>0</v>
      </c>
      <c r="K305">
        <v>5</v>
      </c>
      <c r="L305">
        <v>0</v>
      </c>
      <c r="M305">
        <v>0</v>
      </c>
      <c r="N305">
        <v>0</v>
      </c>
    </row>
    <row r="306" spans="1:14" x14ac:dyDescent="0.35">
      <c r="A306" t="s">
        <v>6</v>
      </c>
      <c r="B306" t="s">
        <v>46</v>
      </c>
      <c r="E306" t="s">
        <v>46</v>
      </c>
      <c r="F306" t="s">
        <v>570</v>
      </c>
      <c r="H306" t="str" cm="1">
        <f t="array" ref="H306">_xlfn.TEXTJOIN(", ", TRUE, IF(I306:M306&gt;0, I$1:M$1, ""))</f>
        <v>Semantic View</v>
      </c>
      <c r="I306">
        <v>0</v>
      </c>
      <c r="J306">
        <v>0</v>
      </c>
      <c r="K306">
        <v>0</v>
      </c>
      <c r="L306">
        <v>0</v>
      </c>
      <c r="M306">
        <v>1</v>
      </c>
      <c r="N306">
        <v>1</v>
      </c>
    </row>
    <row r="307" spans="1:14" x14ac:dyDescent="0.35">
      <c r="A307" t="s">
        <v>6</v>
      </c>
      <c r="B307" t="s">
        <v>753</v>
      </c>
      <c r="C307" t="s">
        <v>754</v>
      </c>
      <c r="E307" t="s">
        <v>50</v>
      </c>
      <c r="F307" t="s">
        <v>755</v>
      </c>
      <c r="H307" t="str" cm="1">
        <f t="array" ref="H307">_xlfn.TEXTJOIN(", ", TRUE, IF(I307:M307&gt;0, I$1:M$1, ""))</f>
        <v>Tech Application</v>
      </c>
      <c r="I307">
        <v>0</v>
      </c>
      <c r="J307">
        <v>2</v>
      </c>
      <c r="K307">
        <v>0</v>
      </c>
      <c r="L307">
        <v>0</v>
      </c>
      <c r="M307">
        <v>0</v>
      </c>
      <c r="N307">
        <v>0</v>
      </c>
    </row>
    <row r="308" spans="1:14" x14ac:dyDescent="0.35">
      <c r="A308" t="s">
        <v>6</v>
      </c>
      <c r="B308" t="s">
        <v>756</v>
      </c>
      <c r="C308" t="s">
        <v>757</v>
      </c>
      <c r="E308" t="s">
        <v>96</v>
      </c>
      <c r="F308" t="s">
        <v>180</v>
      </c>
      <c r="H308" t="str" cm="1">
        <f t="array" ref="H308">_xlfn.TEXTJOIN(", ", TRUE, IF(I308:M308&gt;0, I$1:M$1, ""))</f>
        <v>Tech Application, Semantic View</v>
      </c>
      <c r="I308">
        <v>0</v>
      </c>
      <c r="J308">
        <v>1</v>
      </c>
      <c r="K308">
        <v>0</v>
      </c>
      <c r="L308">
        <v>0</v>
      </c>
      <c r="M308">
        <v>1</v>
      </c>
      <c r="N308">
        <v>0</v>
      </c>
    </row>
    <row r="309" spans="1:14" x14ac:dyDescent="0.35">
      <c r="A309" t="s">
        <v>6</v>
      </c>
      <c r="B309" t="s">
        <v>758</v>
      </c>
      <c r="E309" t="s">
        <v>66</v>
      </c>
      <c r="F309" t="s">
        <v>759</v>
      </c>
      <c r="H309" t="str" cm="1">
        <f t="array" ref="H309">_xlfn.TEXTJOIN(", ", TRUE, IF(I309:M309&gt;0, I$1:M$1, ""))</f>
        <v>Organisational View</v>
      </c>
      <c r="I309">
        <v>0</v>
      </c>
      <c r="J309">
        <v>0</v>
      </c>
      <c r="K309">
        <v>0</v>
      </c>
      <c r="L309">
        <v>1</v>
      </c>
      <c r="M309">
        <v>0</v>
      </c>
      <c r="N309">
        <v>0</v>
      </c>
    </row>
    <row r="310" spans="1:14" x14ac:dyDescent="0.35">
      <c r="A310" t="s">
        <v>6</v>
      </c>
      <c r="B310" t="s">
        <v>760</v>
      </c>
      <c r="E310" t="s">
        <v>760</v>
      </c>
      <c r="F310" t="s">
        <v>55</v>
      </c>
      <c r="H310" t="str" cm="1">
        <f t="array" ref="H310">_xlfn.TEXTJOIN(", ", TRUE, IF(I310:M310&gt;0, I$1:M$1, ""))</f>
        <v>Tech Application</v>
      </c>
      <c r="I310">
        <v>0</v>
      </c>
      <c r="J310">
        <v>1</v>
      </c>
      <c r="K310">
        <v>0</v>
      </c>
      <c r="L310">
        <v>0</v>
      </c>
      <c r="M310">
        <v>0</v>
      </c>
      <c r="N310">
        <v>0</v>
      </c>
    </row>
    <row r="311" spans="1:14" x14ac:dyDescent="0.35">
      <c r="A311" t="s">
        <v>6</v>
      </c>
      <c r="B311" t="s">
        <v>761</v>
      </c>
      <c r="C311" t="s">
        <v>762</v>
      </c>
      <c r="E311" t="s">
        <v>50</v>
      </c>
      <c r="F311" t="s">
        <v>570</v>
      </c>
      <c r="H311" t="str" cm="1">
        <f t="array" ref="H311">_xlfn.TEXTJOIN(", ", TRUE, IF(I311:M311&gt;0, I$1:M$1, ""))</f>
        <v>Tech Infrastructure</v>
      </c>
      <c r="I311">
        <v>4</v>
      </c>
      <c r="J311">
        <v>0</v>
      </c>
      <c r="K311">
        <v>0</v>
      </c>
      <c r="L311">
        <v>0</v>
      </c>
      <c r="M311">
        <v>0</v>
      </c>
      <c r="N311">
        <v>3</v>
      </c>
    </row>
    <row r="312" spans="1:14" x14ac:dyDescent="0.35">
      <c r="A312" t="s">
        <v>6</v>
      </c>
      <c r="B312" t="s">
        <v>763</v>
      </c>
      <c r="E312" t="s">
        <v>220</v>
      </c>
      <c r="F312" t="s">
        <v>51</v>
      </c>
      <c r="H312" t="str" cm="1">
        <f t="array" ref="H312">_xlfn.TEXTJOIN(", ", TRUE, IF(I312:M312&gt;0, I$1:M$1, ""))</f>
        <v>Tech Application, Semantic View</v>
      </c>
      <c r="I312">
        <v>0</v>
      </c>
      <c r="J312">
        <v>3</v>
      </c>
      <c r="K312">
        <v>0</v>
      </c>
      <c r="L312">
        <v>0</v>
      </c>
      <c r="M312">
        <v>1</v>
      </c>
      <c r="N312">
        <v>0</v>
      </c>
    </row>
    <row r="313" spans="1:14" x14ac:dyDescent="0.35">
      <c r="A313" t="s">
        <v>6</v>
      </c>
      <c r="B313" t="s">
        <v>764</v>
      </c>
      <c r="C313" t="s">
        <v>765</v>
      </c>
      <c r="E313" t="s">
        <v>230</v>
      </c>
      <c r="F313" t="s">
        <v>111</v>
      </c>
      <c r="H313" t="str" cm="1">
        <f t="array" ref="H313">_xlfn.TEXTJOIN(", ", TRUE, IF(I313:M313&gt;0, I$1:M$1, ""))</f>
        <v>Tech Infrastructure</v>
      </c>
      <c r="I313">
        <v>1</v>
      </c>
      <c r="J313">
        <v>0</v>
      </c>
      <c r="K313">
        <v>0</v>
      </c>
      <c r="L313">
        <v>0</v>
      </c>
      <c r="M313">
        <v>0</v>
      </c>
      <c r="N313">
        <v>0</v>
      </c>
    </row>
    <row r="314" spans="1:14" x14ac:dyDescent="0.35">
      <c r="A314" t="s">
        <v>6</v>
      </c>
      <c r="B314" t="s">
        <v>766</v>
      </c>
      <c r="C314" t="s">
        <v>767</v>
      </c>
      <c r="E314" t="s">
        <v>96</v>
      </c>
      <c r="F314" t="s">
        <v>55</v>
      </c>
      <c r="H314" t="str" cm="1">
        <f t="array" ref="H314">_xlfn.TEXTJOIN(", ", TRUE, IF(I314:M314&gt;0, I$1:M$1, ""))</f>
        <v>Semantic View</v>
      </c>
      <c r="I314">
        <v>0</v>
      </c>
      <c r="J314">
        <v>0</v>
      </c>
      <c r="K314">
        <v>0</v>
      </c>
      <c r="L314">
        <v>0</v>
      </c>
      <c r="M314">
        <v>1</v>
      </c>
      <c r="N314">
        <v>0</v>
      </c>
    </row>
    <row r="315" spans="1:14" x14ac:dyDescent="0.35">
      <c r="A315" t="s">
        <v>6</v>
      </c>
      <c r="B315" t="s">
        <v>768</v>
      </c>
      <c r="D315" t="s">
        <v>769</v>
      </c>
      <c r="E315" t="s">
        <v>59</v>
      </c>
      <c r="F315" t="s">
        <v>155</v>
      </c>
      <c r="H315" t="str" cm="1">
        <f t="array" ref="H315">_xlfn.TEXTJOIN(", ", TRUE, IF(I315:M315&gt;0, I$1:M$1, ""))</f>
        <v>Tech Application, Semantic View</v>
      </c>
      <c r="I315">
        <v>0</v>
      </c>
      <c r="J315">
        <v>1</v>
      </c>
      <c r="K315">
        <v>0</v>
      </c>
      <c r="L315">
        <v>0</v>
      </c>
      <c r="M315">
        <v>1</v>
      </c>
      <c r="N315">
        <v>1</v>
      </c>
    </row>
    <row r="316" spans="1:14" x14ac:dyDescent="0.35">
      <c r="A316" t="s">
        <v>6</v>
      </c>
      <c r="B316" t="s">
        <v>770</v>
      </c>
      <c r="D316" t="s">
        <v>771</v>
      </c>
      <c r="E316" t="s">
        <v>230</v>
      </c>
      <c r="F316" t="s">
        <v>55</v>
      </c>
      <c r="H316" t="str" cm="1">
        <f t="array" ref="H316">_xlfn.TEXTJOIN(", ", TRUE, IF(I316:M316&gt;0, I$1:M$1, ""))</f>
        <v>Tech Infrastructure</v>
      </c>
      <c r="I316">
        <v>2</v>
      </c>
      <c r="J316">
        <v>0</v>
      </c>
      <c r="K316">
        <v>0</v>
      </c>
      <c r="L316">
        <v>0</v>
      </c>
      <c r="M316">
        <v>0</v>
      </c>
      <c r="N316">
        <v>0</v>
      </c>
    </row>
    <row r="317" spans="1:14" x14ac:dyDescent="0.35">
      <c r="A317" t="s">
        <v>6</v>
      </c>
      <c r="B317" t="s">
        <v>772</v>
      </c>
      <c r="E317" t="s">
        <v>772</v>
      </c>
      <c r="F317" t="s">
        <v>773</v>
      </c>
      <c r="H317" t="str" cm="1">
        <f t="array" ref="H317">_xlfn.TEXTJOIN(", ", TRUE, IF(I317:M317&gt;0, I$1:M$1, ""))</f>
        <v>Tech Infrastructure</v>
      </c>
      <c r="I317">
        <v>1</v>
      </c>
      <c r="J317">
        <v>0</v>
      </c>
      <c r="K317">
        <v>0</v>
      </c>
      <c r="L317">
        <v>0</v>
      </c>
      <c r="M317">
        <v>0</v>
      </c>
      <c r="N317">
        <v>0</v>
      </c>
    </row>
    <row r="318" spans="1:14" x14ac:dyDescent="0.35">
      <c r="A318" t="s">
        <v>6</v>
      </c>
      <c r="B318" t="s">
        <v>774</v>
      </c>
      <c r="C318" t="s">
        <v>775</v>
      </c>
      <c r="E318" t="s">
        <v>62</v>
      </c>
      <c r="F318" t="s">
        <v>535</v>
      </c>
      <c r="H318" t="str" cm="1">
        <f t="array" ref="H318">_xlfn.TEXTJOIN(", ", TRUE, IF(I318:M318&gt;0, I$1:M$1, ""))</f>
        <v/>
      </c>
      <c r="I318">
        <v>0</v>
      </c>
      <c r="J318">
        <v>0</v>
      </c>
      <c r="K318">
        <v>0</v>
      </c>
      <c r="L318">
        <v>0</v>
      </c>
      <c r="M318">
        <v>0</v>
      </c>
      <c r="N318">
        <v>0</v>
      </c>
    </row>
    <row r="319" spans="1:14" x14ac:dyDescent="0.35">
      <c r="A319" t="s">
        <v>6</v>
      </c>
      <c r="B319" t="s">
        <v>776</v>
      </c>
      <c r="D319" t="s">
        <v>777</v>
      </c>
      <c r="E319" t="s">
        <v>230</v>
      </c>
      <c r="F319" t="s">
        <v>447</v>
      </c>
      <c r="H319" t="str" cm="1">
        <f t="array" ref="H319">_xlfn.TEXTJOIN(", ", TRUE, IF(I319:M319&gt;0, I$1:M$1, ""))</f>
        <v>Tech Infrastructure, Tech Application</v>
      </c>
      <c r="I319">
        <v>1</v>
      </c>
      <c r="J319">
        <v>2</v>
      </c>
      <c r="K319">
        <v>0</v>
      </c>
      <c r="L319">
        <v>0</v>
      </c>
      <c r="M319">
        <v>0</v>
      </c>
      <c r="N319">
        <v>0</v>
      </c>
    </row>
    <row r="320" spans="1:14" x14ac:dyDescent="0.35">
      <c r="A320" t="s">
        <v>6</v>
      </c>
      <c r="B320" t="s">
        <v>778</v>
      </c>
      <c r="D320" t="s">
        <v>779</v>
      </c>
      <c r="E320" t="s">
        <v>50</v>
      </c>
      <c r="F320" t="s">
        <v>55</v>
      </c>
      <c r="H320" t="str" cm="1">
        <f t="array" ref="H320">_xlfn.TEXTJOIN(", ", TRUE, IF(I320:M320&gt;0, I$1:M$1, ""))</f>
        <v>Tech Application</v>
      </c>
      <c r="I320">
        <v>0</v>
      </c>
      <c r="J320">
        <v>4</v>
      </c>
      <c r="K320">
        <v>0</v>
      </c>
      <c r="L320">
        <v>0</v>
      </c>
      <c r="M320">
        <v>0</v>
      </c>
      <c r="N320">
        <v>0</v>
      </c>
    </row>
    <row r="321" spans="1:14" x14ac:dyDescent="0.35">
      <c r="A321" t="s">
        <v>6</v>
      </c>
      <c r="B321" t="s">
        <v>780</v>
      </c>
      <c r="D321" t="s">
        <v>781</v>
      </c>
      <c r="E321" t="s">
        <v>59</v>
      </c>
      <c r="F321" t="s">
        <v>100</v>
      </c>
      <c r="H321" t="str" cm="1">
        <f t="array" ref="H321">_xlfn.TEXTJOIN(", ", TRUE, IF(I321:M321&gt;0, I$1:M$1, ""))</f>
        <v>Tech Application</v>
      </c>
      <c r="I321">
        <v>0</v>
      </c>
      <c r="J321">
        <v>3</v>
      </c>
      <c r="K321">
        <v>0</v>
      </c>
      <c r="L321">
        <v>0</v>
      </c>
      <c r="M321">
        <v>0</v>
      </c>
      <c r="N321">
        <v>0</v>
      </c>
    </row>
    <row r="322" spans="1:14" x14ac:dyDescent="0.35">
      <c r="A322" t="s">
        <v>6</v>
      </c>
      <c r="B322" t="s">
        <v>782</v>
      </c>
      <c r="E322" t="s">
        <v>154</v>
      </c>
      <c r="F322" t="s">
        <v>155</v>
      </c>
      <c r="H322" t="str" cm="1">
        <f t="array" ref="H322">_xlfn.TEXTJOIN(", ", TRUE, IF(I322:M322&gt;0, I$1:M$1, ""))</f>
        <v>Tech Infrastructure</v>
      </c>
      <c r="I322">
        <v>3</v>
      </c>
      <c r="J322">
        <v>0</v>
      </c>
      <c r="K322">
        <v>0</v>
      </c>
      <c r="L322">
        <v>0</v>
      </c>
      <c r="M322">
        <v>0</v>
      </c>
      <c r="N322">
        <v>0</v>
      </c>
    </row>
    <row r="323" spans="1:14" x14ac:dyDescent="0.35">
      <c r="A323" t="s">
        <v>6</v>
      </c>
      <c r="B323" t="s">
        <v>783</v>
      </c>
      <c r="E323" t="s">
        <v>784</v>
      </c>
      <c r="F323" t="s">
        <v>785</v>
      </c>
      <c r="H323" t="str" cm="1">
        <f t="array" ref="H323">_xlfn.TEXTJOIN(", ", TRUE, IF(I323:M323&gt;0, I$1:M$1, ""))</f>
        <v>Semantic View</v>
      </c>
      <c r="I323">
        <v>0</v>
      </c>
      <c r="J323">
        <v>0</v>
      </c>
      <c r="K323">
        <v>0</v>
      </c>
      <c r="L323">
        <v>0</v>
      </c>
      <c r="M323">
        <v>8</v>
      </c>
      <c r="N323">
        <v>0</v>
      </c>
    </row>
    <row r="324" spans="1:14" x14ac:dyDescent="0.35">
      <c r="A324" t="s">
        <v>6</v>
      </c>
      <c r="B324" t="s">
        <v>786</v>
      </c>
      <c r="C324" t="s">
        <v>787</v>
      </c>
      <c r="E324" t="s">
        <v>788</v>
      </c>
      <c r="F324" t="s">
        <v>51</v>
      </c>
      <c r="H324" t="str" cm="1">
        <f t="array" ref="H324">_xlfn.TEXTJOIN(", ", TRUE, IF(I324:M324&gt;0, I$1:M$1, ""))</f>
        <v>Tech Application</v>
      </c>
      <c r="I324">
        <v>0</v>
      </c>
      <c r="J324">
        <v>1</v>
      </c>
      <c r="K324">
        <v>0</v>
      </c>
      <c r="L324">
        <v>0</v>
      </c>
      <c r="M324">
        <v>0</v>
      </c>
      <c r="N324">
        <v>0</v>
      </c>
    </row>
    <row r="325" spans="1:14" x14ac:dyDescent="0.35">
      <c r="A325" t="s">
        <v>6</v>
      </c>
      <c r="B325" t="s">
        <v>789</v>
      </c>
      <c r="D325" t="s">
        <v>790</v>
      </c>
      <c r="E325" t="s">
        <v>69</v>
      </c>
      <c r="F325" t="s">
        <v>55</v>
      </c>
      <c r="H325" t="str" cm="1">
        <f t="array" ref="H325">_xlfn.TEXTJOIN(", ", TRUE, IF(I325:M325&gt;0, I$1:M$1, ""))</f>
        <v>Tech Application</v>
      </c>
      <c r="I325">
        <v>0</v>
      </c>
      <c r="J325">
        <v>8</v>
      </c>
      <c r="K325">
        <v>0</v>
      </c>
      <c r="L325">
        <v>0</v>
      </c>
      <c r="M325">
        <v>0</v>
      </c>
      <c r="N325">
        <v>0</v>
      </c>
    </row>
    <row r="326" spans="1:14" x14ac:dyDescent="0.35">
      <c r="A326" t="s">
        <v>6</v>
      </c>
      <c r="B326" t="s">
        <v>791</v>
      </c>
      <c r="E326" t="s">
        <v>99</v>
      </c>
      <c r="F326" t="s">
        <v>51</v>
      </c>
      <c r="H326" t="str" cm="1">
        <f t="array" ref="H326">_xlfn.TEXTJOIN(", ", TRUE, IF(I326:M326&gt;0, I$1:M$1, ""))</f>
        <v>Tech Application</v>
      </c>
      <c r="I326">
        <v>0</v>
      </c>
      <c r="J326">
        <v>2</v>
      </c>
      <c r="K326">
        <v>0</v>
      </c>
      <c r="L326">
        <v>0</v>
      </c>
      <c r="M326">
        <v>0</v>
      </c>
      <c r="N326">
        <v>0</v>
      </c>
    </row>
    <row r="327" spans="1:14" x14ac:dyDescent="0.35">
      <c r="A327" t="s">
        <v>6</v>
      </c>
      <c r="B327" t="s">
        <v>792</v>
      </c>
      <c r="E327" t="s">
        <v>96</v>
      </c>
      <c r="F327" t="s">
        <v>55</v>
      </c>
      <c r="H327" t="str" cm="1">
        <f t="array" ref="H327">_xlfn.TEXTJOIN(", ", TRUE, IF(I327:M327&gt;0, I$1:M$1, ""))</f>
        <v>Semantic View</v>
      </c>
      <c r="I327">
        <v>0</v>
      </c>
      <c r="J327">
        <v>0</v>
      </c>
      <c r="K327">
        <v>0</v>
      </c>
      <c r="L327">
        <v>0</v>
      </c>
      <c r="M327">
        <v>2</v>
      </c>
      <c r="N327">
        <v>0</v>
      </c>
    </row>
    <row r="328" spans="1:14" x14ac:dyDescent="0.35">
      <c r="A328" t="s">
        <v>6</v>
      </c>
      <c r="B328" t="s">
        <v>793</v>
      </c>
      <c r="C328" t="s">
        <v>794</v>
      </c>
      <c r="E328" t="s">
        <v>50</v>
      </c>
      <c r="F328" t="s">
        <v>80</v>
      </c>
      <c r="H328" t="str" cm="1">
        <f t="array" ref="H328">_xlfn.TEXTJOIN(", ", TRUE, IF(I328:M328&gt;0, I$1:M$1, ""))</f>
        <v>Tech Infrastructure</v>
      </c>
      <c r="I328">
        <v>1</v>
      </c>
      <c r="J328">
        <v>0</v>
      </c>
      <c r="K328">
        <v>0</v>
      </c>
      <c r="L328">
        <v>0</v>
      </c>
      <c r="M328">
        <v>0</v>
      </c>
      <c r="N328">
        <v>0</v>
      </c>
    </row>
    <row r="329" spans="1:14" x14ac:dyDescent="0.35">
      <c r="A329" t="s">
        <v>6</v>
      </c>
      <c r="B329" t="s">
        <v>795</v>
      </c>
      <c r="D329" t="s">
        <v>796</v>
      </c>
      <c r="E329" t="s">
        <v>59</v>
      </c>
      <c r="F329" t="s">
        <v>100</v>
      </c>
      <c r="H329" t="str" cm="1">
        <f t="array" ref="H329">_xlfn.TEXTJOIN(", ", TRUE, IF(I329:M329&gt;0, I$1:M$1, ""))</f>
        <v>Tech Application</v>
      </c>
      <c r="I329">
        <v>0</v>
      </c>
      <c r="J329">
        <v>1</v>
      </c>
      <c r="K329">
        <v>0</v>
      </c>
      <c r="L329">
        <v>0</v>
      </c>
      <c r="M329">
        <v>0</v>
      </c>
      <c r="N329">
        <v>1</v>
      </c>
    </row>
    <row r="330" spans="1:14" x14ac:dyDescent="0.35">
      <c r="A330" t="s">
        <v>6</v>
      </c>
      <c r="B330" t="s">
        <v>797</v>
      </c>
      <c r="C330" t="s">
        <v>797</v>
      </c>
      <c r="E330" t="s">
        <v>62</v>
      </c>
      <c r="F330" t="s">
        <v>51</v>
      </c>
      <c r="H330" t="str" cm="1">
        <f t="array" ref="H330">_xlfn.TEXTJOIN(", ", TRUE, IF(I330:M330&gt;0, I$1:M$1, ""))</f>
        <v>Semantic View</v>
      </c>
      <c r="I330">
        <v>0</v>
      </c>
      <c r="J330">
        <v>0</v>
      </c>
      <c r="K330">
        <v>0</v>
      </c>
      <c r="L330">
        <v>0</v>
      </c>
      <c r="M330">
        <v>1</v>
      </c>
      <c r="N330">
        <v>0</v>
      </c>
    </row>
    <row r="331" spans="1:14" x14ac:dyDescent="0.35">
      <c r="A331" t="s">
        <v>6</v>
      </c>
      <c r="B331" t="s">
        <v>798</v>
      </c>
      <c r="D331" t="s">
        <v>799</v>
      </c>
      <c r="E331" t="s">
        <v>230</v>
      </c>
      <c r="F331" t="s">
        <v>55</v>
      </c>
      <c r="H331" t="str" cm="1">
        <f t="array" ref="H331">_xlfn.TEXTJOIN(", ", TRUE, IF(I331:M331&gt;0, I$1:M$1, ""))</f>
        <v>Semantic View</v>
      </c>
      <c r="I331">
        <v>0</v>
      </c>
      <c r="J331">
        <v>0</v>
      </c>
      <c r="K331">
        <v>0</v>
      </c>
      <c r="L331">
        <v>0</v>
      </c>
      <c r="M331">
        <v>2</v>
      </c>
      <c r="N331">
        <v>0</v>
      </c>
    </row>
    <row r="332" spans="1:14" x14ac:dyDescent="0.35">
      <c r="A332" t="s">
        <v>6</v>
      </c>
      <c r="B332" t="s">
        <v>800</v>
      </c>
      <c r="C332" t="s">
        <v>801</v>
      </c>
      <c r="E332" t="s">
        <v>121</v>
      </c>
      <c r="F332" t="s">
        <v>97</v>
      </c>
      <c r="H332" t="str" cm="1">
        <f t="array" ref="H332">_xlfn.TEXTJOIN(", ", TRUE, IF(I332:M332&gt;0, I$1:M$1, ""))</f>
        <v/>
      </c>
      <c r="I332">
        <v>0</v>
      </c>
      <c r="J332">
        <v>0</v>
      </c>
      <c r="K332">
        <v>0</v>
      </c>
      <c r="L332">
        <v>0</v>
      </c>
      <c r="M332">
        <v>0</v>
      </c>
      <c r="N332">
        <v>0</v>
      </c>
    </row>
    <row r="333" spans="1:14" x14ac:dyDescent="0.35">
      <c r="A333" t="s">
        <v>6</v>
      </c>
      <c r="B333" t="s">
        <v>802</v>
      </c>
      <c r="C333" t="s">
        <v>803</v>
      </c>
      <c r="E333" t="s">
        <v>50</v>
      </c>
      <c r="F333" t="s">
        <v>92</v>
      </c>
      <c r="H333" t="str" cm="1">
        <f t="array" ref="H333">_xlfn.TEXTJOIN(", ", TRUE, IF(I333:M333&gt;0, I$1:M$1, ""))</f>
        <v>Tech Infrastructure</v>
      </c>
      <c r="I333">
        <v>2</v>
      </c>
      <c r="J333">
        <v>0</v>
      </c>
      <c r="K333">
        <v>0</v>
      </c>
      <c r="L333">
        <v>0</v>
      </c>
      <c r="M333">
        <v>0</v>
      </c>
      <c r="N333">
        <v>0</v>
      </c>
    </row>
    <row r="334" spans="1:14" x14ac:dyDescent="0.35">
      <c r="A334" t="s">
        <v>6</v>
      </c>
      <c r="B334" t="s">
        <v>804</v>
      </c>
      <c r="C334" t="s">
        <v>805</v>
      </c>
      <c r="E334" t="s">
        <v>806</v>
      </c>
      <c r="F334" t="s">
        <v>55</v>
      </c>
      <c r="H334" t="str" cm="1">
        <f t="array" ref="H334">_xlfn.TEXTJOIN(", ", TRUE, IF(I334:M334&gt;0, I$1:M$1, ""))</f>
        <v>Legal View</v>
      </c>
      <c r="I334">
        <v>0</v>
      </c>
      <c r="J334">
        <v>0</v>
      </c>
      <c r="K334">
        <v>1</v>
      </c>
      <c r="L334">
        <v>0</v>
      </c>
      <c r="M334">
        <v>0</v>
      </c>
      <c r="N334">
        <v>0</v>
      </c>
    </row>
    <row r="335" spans="1:14" x14ac:dyDescent="0.35">
      <c r="A335" t="s">
        <v>6</v>
      </c>
      <c r="B335" t="s">
        <v>807</v>
      </c>
      <c r="D335" t="s">
        <v>808</v>
      </c>
      <c r="E335" t="s">
        <v>69</v>
      </c>
      <c r="F335" t="s">
        <v>55</v>
      </c>
      <c r="H335" t="str" cm="1">
        <f t="array" ref="H335">_xlfn.TEXTJOIN(", ", TRUE, IF(I335:M335&gt;0, I$1:M$1, ""))</f>
        <v>Tech Infrastructure</v>
      </c>
      <c r="I335">
        <v>1</v>
      </c>
      <c r="J335">
        <v>0</v>
      </c>
      <c r="K335">
        <v>0</v>
      </c>
      <c r="L335">
        <v>0</v>
      </c>
      <c r="M335">
        <v>0</v>
      </c>
      <c r="N335">
        <v>0</v>
      </c>
    </row>
    <row r="336" spans="1:14" x14ac:dyDescent="0.35">
      <c r="A336" t="s">
        <v>6</v>
      </c>
      <c r="B336" t="s">
        <v>809</v>
      </c>
      <c r="C336" t="s">
        <v>810</v>
      </c>
      <c r="E336" t="s">
        <v>96</v>
      </c>
      <c r="F336" t="s">
        <v>180</v>
      </c>
      <c r="H336" t="str" cm="1">
        <f t="array" ref="H336">_xlfn.TEXTJOIN(", ", TRUE, IF(I336:M336&gt;0, I$1:M$1, ""))</f>
        <v>Tech Application</v>
      </c>
      <c r="I336">
        <v>0</v>
      </c>
      <c r="J336">
        <v>4</v>
      </c>
      <c r="K336">
        <v>0</v>
      </c>
      <c r="L336">
        <v>0</v>
      </c>
      <c r="M336">
        <v>0</v>
      </c>
      <c r="N336">
        <v>0</v>
      </c>
    </row>
    <row r="337" spans="1:14" x14ac:dyDescent="0.35">
      <c r="A337" t="s">
        <v>6</v>
      </c>
      <c r="B337" t="s">
        <v>811</v>
      </c>
      <c r="C337" t="s">
        <v>812</v>
      </c>
      <c r="E337" t="s">
        <v>813</v>
      </c>
      <c r="F337" t="s">
        <v>111</v>
      </c>
      <c r="H337" t="str" cm="1">
        <f t="array" ref="H337">_xlfn.TEXTJOIN(", ", TRUE, IF(I337:M337&gt;0, I$1:M$1, ""))</f>
        <v>Tech Application</v>
      </c>
      <c r="I337">
        <v>0</v>
      </c>
      <c r="J337">
        <v>2</v>
      </c>
      <c r="K337">
        <v>0</v>
      </c>
      <c r="L337">
        <v>0</v>
      </c>
      <c r="M337">
        <v>0</v>
      </c>
      <c r="N337">
        <v>0</v>
      </c>
    </row>
    <row r="338" spans="1:14" x14ac:dyDescent="0.35">
      <c r="A338" t="s">
        <v>6</v>
      </c>
      <c r="B338" t="s">
        <v>814</v>
      </c>
      <c r="E338" t="s">
        <v>121</v>
      </c>
      <c r="F338" t="s">
        <v>55</v>
      </c>
      <c r="H338" t="str" cm="1">
        <f t="array" ref="H338">_xlfn.TEXTJOIN(", ", TRUE, IF(I338:M338&gt;0, I$1:M$1, ""))</f>
        <v>Organisational View, Semantic View</v>
      </c>
      <c r="I338">
        <v>0</v>
      </c>
      <c r="J338">
        <v>0</v>
      </c>
      <c r="K338">
        <v>0</v>
      </c>
      <c r="L338">
        <v>1</v>
      </c>
      <c r="M338">
        <v>1</v>
      </c>
      <c r="N338">
        <v>0</v>
      </c>
    </row>
    <row r="339" spans="1:14" x14ac:dyDescent="0.35">
      <c r="A339" t="s">
        <v>6</v>
      </c>
      <c r="B339" t="s">
        <v>815</v>
      </c>
      <c r="C339" t="s">
        <v>816</v>
      </c>
      <c r="E339" t="s">
        <v>817</v>
      </c>
      <c r="F339" t="s">
        <v>55</v>
      </c>
      <c r="H339" t="str" cm="1">
        <f t="array" ref="H339">_xlfn.TEXTJOIN(", ", TRUE, IF(I339:M339&gt;0, I$1:M$1, ""))</f>
        <v>Semantic View</v>
      </c>
      <c r="I339">
        <v>0</v>
      </c>
      <c r="J339">
        <v>0</v>
      </c>
      <c r="K339">
        <v>0</v>
      </c>
      <c r="L339">
        <v>0</v>
      </c>
      <c r="M339">
        <v>1</v>
      </c>
      <c r="N339">
        <v>0</v>
      </c>
    </row>
    <row r="340" spans="1:14" x14ac:dyDescent="0.35">
      <c r="A340" t="s">
        <v>6</v>
      </c>
      <c r="B340" t="s">
        <v>818</v>
      </c>
      <c r="C340" t="s">
        <v>819</v>
      </c>
      <c r="E340" t="s">
        <v>50</v>
      </c>
      <c r="F340" t="s">
        <v>51</v>
      </c>
      <c r="H340" t="str" cm="1">
        <f t="array" ref="H340">_xlfn.TEXTJOIN(", ", TRUE, IF(I340:M340&gt;0, I$1:M$1, ""))</f>
        <v>Tech Infrastructure</v>
      </c>
      <c r="I340">
        <v>1</v>
      </c>
      <c r="J340">
        <v>0</v>
      </c>
      <c r="K340">
        <v>0</v>
      </c>
      <c r="L340">
        <v>0</v>
      </c>
      <c r="M340">
        <v>0</v>
      </c>
      <c r="N340">
        <v>0</v>
      </c>
    </row>
    <row r="341" spans="1:14" x14ac:dyDescent="0.35">
      <c r="A341" t="s">
        <v>6</v>
      </c>
      <c r="B341" t="s">
        <v>820</v>
      </c>
      <c r="C341" t="s">
        <v>820</v>
      </c>
      <c r="E341" t="s">
        <v>121</v>
      </c>
      <c r="F341" t="s">
        <v>97</v>
      </c>
      <c r="H341" t="str" cm="1">
        <f t="array" ref="H341">_xlfn.TEXTJOIN(", ", TRUE, IF(I341:M341&gt;0, I$1:M$1, ""))</f>
        <v>Semantic View</v>
      </c>
      <c r="I341">
        <v>0</v>
      </c>
      <c r="J341">
        <v>0</v>
      </c>
      <c r="K341">
        <v>0</v>
      </c>
      <c r="L341">
        <v>0</v>
      </c>
      <c r="M341">
        <v>2</v>
      </c>
      <c r="N341">
        <v>0</v>
      </c>
    </row>
    <row r="342" spans="1:14" x14ac:dyDescent="0.35">
      <c r="A342" t="s">
        <v>6</v>
      </c>
      <c r="B342" t="s">
        <v>821</v>
      </c>
      <c r="D342" t="s">
        <v>822</v>
      </c>
      <c r="E342" t="s">
        <v>69</v>
      </c>
      <c r="F342" t="s">
        <v>55</v>
      </c>
      <c r="H342" t="str" cm="1">
        <f t="array" ref="H342">_xlfn.TEXTJOIN(", ", TRUE, IF(I342:M342&gt;0, I$1:M$1, ""))</f>
        <v>Tech Application</v>
      </c>
      <c r="I342">
        <v>0</v>
      </c>
      <c r="J342">
        <v>3</v>
      </c>
      <c r="K342">
        <v>0</v>
      </c>
      <c r="L342">
        <v>0</v>
      </c>
      <c r="M342">
        <v>0</v>
      </c>
      <c r="N342">
        <v>0</v>
      </c>
    </row>
    <row r="343" spans="1:14" x14ac:dyDescent="0.35">
      <c r="A343" t="s">
        <v>6</v>
      </c>
      <c r="B343" t="s">
        <v>823</v>
      </c>
      <c r="C343" t="s">
        <v>824</v>
      </c>
      <c r="E343" t="s">
        <v>121</v>
      </c>
      <c r="F343" t="s">
        <v>55</v>
      </c>
      <c r="H343" t="str" cm="1">
        <f t="array" ref="H343">_xlfn.TEXTJOIN(", ", TRUE, IF(I343:M343&gt;0, I$1:M$1, ""))</f>
        <v>Tech Infrastructure, Tech Application</v>
      </c>
      <c r="I343">
        <v>1</v>
      </c>
      <c r="J343">
        <v>2</v>
      </c>
      <c r="K343">
        <v>0</v>
      </c>
      <c r="L343">
        <v>0</v>
      </c>
      <c r="M343">
        <v>0</v>
      </c>
      <c r="N343">
        <v>1</v>
      </c>
    </row>
    <row r="344" spans="1:14" x14ac:dyDescent="0.35">
      <c r="A344" t="s">
        <v>6</v>
      </c>
      <c r="B344" t="s">
        <v>825</v>
      </c>
      <c r="C344" t="s">
        <v>826</v>
      </c>
      <c r="E344" t="s">
        <v>827</v>
      </c>
      <c r="F344" t="s">
        <v>55</v>
      </c>
      <c r="H344" t="str" cm="1">
        <f t="array" ref="H344">_xlfn.TEXTJOIN(", ", TRUE, IF(I344:M344&gt;0, I$1:M$1, ""))</f>
        <v>Tech Infrastructure, Tech Application</v>
      </c>
      <c r="I344">
        <v>1</v>
      </c>
      <c r="J344">
        <v>3</v>
      </c>
      <c r="K344">
        <v>0</v>
      </c>
      <c r="L344">
        <v>0</v>
      </c>
      <c r="M344">
        <v>0</v>
      </c>
      <c r="N344">
        <v>0</v>
      </c>
    </row>
    <row r="345" spans="1:14" x14ac:dyDescent="0.35">
      <c r="A345" t="s">
        <v>6</v>
      </c>
      <c r="B345" t="s">
        <v>828</v>
      </c>
      <c r="C345" t="s">
        <v>829</v>
      </c>
      <c r="E345" t="s">
        <v>455</v>
      </c>
      <c r="F345" t="s">
        <v>180</v>
      </c>
      <c r="H345" t="str" cm="1">
        <f t="array" ref="H345">_xlfn.TEXTJOIN(", ", TRUE, IF(I345:M345&gt;0, I$1:M$1, ""))</f>
        <v>Tech Application</v>
      </c>
      <c r="I345">
        <v>0</v>
      </c>
      <c r="J345">
        <v>2</v>
      </c>
      <c r="K345">
        <v>0</v>
      </c>
      <c r="L345">
        <v>0</v>
      </c>
      <c r="M345">
        <v>0</v>
      </c>
      <c r="N345">
        <v>0</v>
      </c>
    </row>
    <row r="346" spans="1:14" x14ac:dyDescent="0.35">
      <c r="A346" t="s">
        <v>6</v>
      </c>
      <c r="B346" t="s">
        <v>830</v>
      </c>
      <c r="C346" t="s">
        <v>831</v>
      </c>
      <c r="E346" t="s">
        <v>832</v>
      </c>
      <c r="F346" t="s">
        <v>51</v>
      </c>
      <c r="H346" t="str" cm="1">
        <f t="array" ref="H346">_xlfn.TEXTJOIN(", ", TRUE, IF(I346:M346&gt;0, I$1:M$1, ""))</f>
        <v>Tech Application</v>
      </c>
      <c r="I346">
        <v>0</v>
      </c>
      <c r="J346">
        <v>2</v>
      </c>
      <c r="K346">
        <v>0</v>
      </c>
      <c r="L346">
        <v>0</v>
      </c>
      <c r="M346">
        <v>0</v>
      </c>
      <c r="N346">
        <v>0</v>
      </c>
    </row>
    <row r="347" spans="1:14" x14ac:dyDescent="0.35">
      <c r="A347" t="s">
        <v>6</v>
      </c>
      <c r="B347" t="s">
        <v>833</v>
      </c>
      <c r="D347" t="s">
        <v>834</v>
      </c>
      <c r="E347" t="s">
        <v>489</v>
      </c>
      <c r="F347" t="s">
        <v>55</v>
      </c>
      <c r="H347" t="str" cm="1">
        <f t="array" ref="H347">_xlfn.TEXTJOIN(", ", TRUE, IF(I347:M347&gt;0, I$1:M$1, ""))</f>
        <v>Tech Application</v>
      </c>
      <c r="I347">
        <v>0</v>
      </c>
      <c r="J347">
        <v>4</v>
      </c>
      <c r="K347">
        <v>0</v>
      </c>
      <c r="L347">
        <v>0</v>
      </c>
      <c r="M347">
        <v>0</v>
      </c>
      <c r="N347">
        <v>0</v>
      </c>
    </row>
    <row r="348" spans="1:14" x14ac:dyDescent="0.35">
      <c r="A348" t="s">
        <v>6</v>
      </c>
      <c r="B348" t="s">
        <v>835</v>
      </c>
      <c r="E348" t="s">
        <v>148</v>
      </c>
      <c r="F348" t="s">
        <v>836</v>
      </c>
      <c r="H348" t="str" cm="1">
        <f t="array" ref="H348">_xlfn.TEXTJOIN(", ", TRUE, IF(I348:M348&gt;0, I$1:M$1, ""))</f>
        <v>Tech Application</v>
      </c>
      <c r="I348">
        <v>0</v>
      </c>
      <c r="J348">
        <v>5</v>
      </c>
      <c r="K348">
        <v>0</v>
      </c>
      <c r="L348">
        <v>0</v>
      </c>
      <c r="M348">
        <v>0</v>
      </c>
      <c r="N348">
        <v>0</v>
      </c>
    </row>
    <row r="349" spans="1:14" x14ac:dyDescent="0.35">
      <c r="A349" t="s">
        <v>6</v>
      </c>
      <c r="B349" t="s">
        <v>837</v>
      </c>
      <c r="E349" t="s">
        <v>148</v>
      </c>
      <c r="F349" t="s">
        <v>838</v>
      </c>
      <c r="H349" t="str" cm="1">
        <f t="array" ref="H349">_xlfn.TEXTJOIN(", ", TRUE, IF(I349:M349&gt;0, I$1:M$1, ""))</f>
        <v>Tech Application, Semantic View</v>
      </c>
      <c r="I349">
        <v>0</v>
      </c>
      <c r="J349">
        <v>2</v>
      </c>
      <c r="K349">
        <v>0</v>
      </c>
      <c r="L349">
        <v>0</v>
      </c>
      <c r="M349">
        <v>1</v>
      </c>
      <c r="N349">
        <v>0</v>
      </c>
    </row>
    <row r="350" spans="1:14" x14ac:dyDescent="0.35">
      <c r="A350" t="s">
        <v>6</v>
      </c>
      <c r="B350" t="s">
        <v>839</v>
      </c>
      <c r="E350" t="s">
        <v>840</v>
      </c>
      <c r="F350" t="s">
        <v>55</v>
      </c>
      <c r="H350" t="str" cm="1">
        <f t="array" ref="H350">_xlfn.TEXTJOIN(", ", TRUE, IF(I350:M350&gt;0, I$1:M$1, ""))</f>
        <v>Tech Application</v>
      </c>
      <c r="I350">
        <v>0</v>
      </c>
      <c r="J350">
        <v>3</v>
      </c>
      <c r="K350">
        <v>0</v>
      </c>
      <c r="L350">
        <v>0</v>
      </c>
      <c r="M350">
        <v>0</v>
      </c>
      <c r="N350">
        <v>0</v>
      </c>
    </row>
    <row r="351" spans="1:14" x14ac:dyDescent="0.35">
      <c r="A351" t="s">
        <v>6</v>
      </c>
      <c r="B351" t="s">
        <v>841</v>
      </c>
      <c r="C351" t="s">
        <v>842</v>
      </c>
      <c r="E351" t="s">
        <v>843</v>
      </c>
      <c r="F351" t="s">
        <v>844</v>
      </c>
      <c r="H351" t="str" cm="1">
        <f t="array" ref="H351">_xlfn.TEXTJOIN(", ", TRUE, IF(I351:M351&gt;0, I$1:M$1, ""))</f>
        <v>Tech Infrastructure</v>
      </c>
      <c r="I351">
        <v>3</v>
      </c>
      <c r="J351">
        <v>0</v>
      </c>
      <c r="K351">
        <v>0</v>
      </c>
      <c r="L351">
        <v>0</v>
      </c>
      <c r="M351">
        <v>0</v>
      </c>
      <c r="N351">
        <v>1</v>
      </c>
    </row>
    <row r="352" spans="1:14" x14ac:dyDescent="0.35">
      <c r="A352" t="s">
        <v>6</v>
      </c>
      <c r="B352" t="s">
        <v>845</v>
      </c>
      <c r="E352" t="s">
        <v>846</v>
      </c>
      <c r="F352" t="s">
        <v>55</v>
      </c>
      <c r="H352" t="str" cm="1">
        <f t="array" ref="H352">_xlfn.TEXTJOIN(", ", TRUE, IF(I352:M352&gt;0, I$1:M$1, ""))</f>
        <v>Tech Application</v>
      </c>
      <c r="I352">
        <v>0</v>
      </c>
      <c r="J352">
        <v>2</v>
      </c>
      <c r="K352">
        <v>0</v>
      </c>
      <c r="L352">
        <v>0</v>
      </c>
      <c r="M352">
        <v>0</v>
      </c>
      <c r="N352">
        <v>0</v>
      </c>
    </row>
    <row r="353" spans="1:14" x14ac:dyDescent="0.35">
      <c r="A353" t="s">
        <v>6</v>
      </c>
      <c r="B353" t="s">
        <v>847</v>
      </c>
      <c r="C353" t="s">
        <v>848</v>
      </c>
      <c r="E353" t="s">
        <v>308</v>
      </c>
      <c r="F353" t="s">
        <v>55</v>
      </c>
      <c r="H353" t="str" cm="1">
        <f t="array" ref="H353">_xlfn.TEXTJOIN(", ", TRUE, IF(I353:M353&gt;0, I$1:M$1, ""))</f>
        <v>Semantic View</v>
      </c>
      <c r="I353">
        <v>0</v>
      </c>
      <c r="J353">
        <v>0</v>
      </c>
      <c r="K353">
        <v>0</v>
      </c>
      <c r="L353">
        <v>0</v>
      </c>
      <c r="M353">
        <v>3</v>
      </c>
      <c r="N353">
        <v>0</v>
      </c>
    </row>
    <row r="354" spans="1:14" x14ac:dyDescent="0.35">
      <c r="A354" t="s">
        <v>6</v>
      </c>
      <c r="B354" t="s">
        <v>849</v>
      </c>
      <c r="D354" t="s">
        <v>850</v>
      </c>
      <c r="E354" t="s">
        <v>50</v>
      </c>
      <c r="F354" t="s">
        <v>851</v>
      </c>
      <c r="H354" t="str" cm="1">
        <f t="array" ref="H354">_xlfn.TEXTJOIN(", ", TRUE, IF(I354:M354&gt;0, I$1:M$1, ""))</f>
        <v>Tech Application</v>
      </c>
      <c r="I354">
        <v>0</v>
      </c>
      <c r="J354">
        <v>2</v>
      </c>
      <c r="K354">
        <v>0</v>
      </c>
      <c r="L354">
        <v>0</v>
      </c>
      <c r="M354">
        <v>0</v>
      </c>
      <c r="N354">
        <v>0</v>
      </c>
    </row>
    <row r="355" spans="1:14" x14ac:dyDescent="0.35">
      <c r="A355" t="s">
        <v>6</v>
      </c>
      <c r="B355" t="s">
        <v>852</v>
      </c>
      <c r="C355" t="s">
        <v>471</v>
      </c>
      <c r="D355" t="s">
        <v>853</v>
      </c>
      <c r="E355" t="s">
        <v>50</v>
      </c>
      <c r="F355" t="s">
        <v>558</v>
      </c>
      <c r="H355" t="str" cm="1">
        <f t="array" ref="H355">_xlfn.TEXTJOIN(", ", TRUE, IF(I355:M355&gt;0, I$1:M$1, ""))</f>
        <v>Tech Application</v>
      </c>
      <c r="I355">
        <v>0</v>
      </c>
      <c r="J355">
        <v>2</v>
      </c>
      <c r="K355">
        <v>0</v>
      </c>
      <c r="L355">
        <v>0</v>
      </c>
      <c r="M355">
        <v>0</v>
      </c>
      <c r="N355">
        <v>1</v>
      </c>
    </row>
    <row r="356" spans="1:14" x14ac:dyDescent="0.35">
      <c r="A356" t="s">
        <v>6</v>
      </c>
      <c r="B356" t="s">
        <v>854</v>
      </c>
      <c r="C356" t="s">
        <v>854</v>
      </c>
      <c r="E356" t="s">
        <v>345</v>
      </c>
      <c r="F356" t="s">
        <v>55</v>
      </c>
      <c r="H356" t="str" cm="1">
        <f t="array" ref="H356">_xlfn.TEXTJOIN(", ", TRUE, IF(I356:M356&gt;0, I$1:M$1, ""))</f>
        <v>Semantic View</v>
      </c>
      <c r="I356">
        <v>0</v>
      </c>
      <c r="J356">
        <v>0</v>
      </c>
      <c r="K356">
        <v>0</v>
      </c>
      <c r="L356">
        <v>0</v>
      </c>
      <c r="M356">
        <v>1</v>
      </c>
      <c r="N356">
        <v>0</v>
      </c>
    </row>
    <row r="357" spans="1:14" x14ac:dyDescent="0.35">
      <c r="A357" t="s">
        <v>6</v>
      </c>
      <c r="B357" t="s">
        <v>855</v>
      </c>
      <c r="D357" t="s">
        <v>856</v>
      </c>
      <c r="E357" t="s">
        <v>62</v>
      </c>
      <c r="F357" t="s">
        <v>857</v>
      </c>
      <c r="H357" t="str" cm="1">
        <f t="array" ref="H357">_xlfn.TEXTJOIN(", ", TRUE, IF(I357:M357&gt;0, I$1:M$1, ""))</f>
        <v>Legal View</v>
      </c>
      <c r="I357">
        <v>0</v>
      </c>
      <c r="J357">
        <v>0</v>
      </c>
      <c r="K357">
        <v>1</v>
      </c>
      <c r="L357">
        <v>0</v>
      </c>
      <c r="M357">
        <v>0</v>
      </c>
      <c r="N357">
        <v>0</v>
      </c>
    </row>
    <row r="358" spans="1:14" x14ac:dyDescent="0.35">
      <c r="A358" t="s">
        <v>6</v>
      </c>
      <c r="B358" t="s">
        <v>858</v>
      </c>
      <c r="E358" t="s">
        <v>121</v>
      </c>
      <c r="F358" t="s">
        <v>97</v>
      </c>
      <c r="H358" t="str" cm="1">
        <f t="array" ref="H358">_xlfn.TEXTJOIN(", ", TRUE, IF(I358:M358&gt;0, I$1:M$1, ""))</f>
        <v>Tech Application</v>
      </c>
      <c r="I358">
        <v>0</v>
      </c>
      <c r="J358">
        <v>6</v>
      </c>
      <c r="K358">
        <v>0</v>
      </c>
      <c r="L358">
        <v>0</v>
      </c>
      <c r="M358">
        <v>0</v>
      </c>
      <c r="N358">
        <v>0</v>
      </c>
    </row>
    <row r="359" spans="1:14" x14ac:dyDescent="0.35">
      <c r="A359" t="s">
        <v>6</v>
      </c>
      <c r="B359" t="s">
        <v>859</v>
      </c>
      <c r="D359" t="s">
        <v>860</v>
      </c>
      <c r="E359" t="s">
        <v>59</v>
      </c>
      <c r="F359" t="s">
        <v>100</v>
      </c>
      <c r="H359" t="str" cm="1">
        <f t="array" ref="H359">_xlfn.TEXTJOIN(", ", TRUE, IF(I359:M359&gt;0, I$1:M$1, ""))</f>
        <v>Tech Application</v>
      </c>
      <c r="I359">
        <v>0</v>
      </c>
      <c r="J359">
        <v>4</v>
      </c>
      <c r="K359">
        <v>0</v>
      </c>
      <c r="L359">
        <v>0</v>
      </c>
      <c r="M359">
        <v>0</v>
      </c>
      <c r="N359">
        <v>0</v>
      </c>
    </row>
    <row r="360" spans="1:14" x14ac:dyDescent="0.35">
      <c r="A360" t="s">
        <v>6</v>
      </c>
      <c r="B360" t="s">
        <v>861</v>
      </c>
      <c r="C360" t="s">
        <v>862</v>
      </c>
      <c r="E360" t="s">
        <v>62</v>
      </c>
      <c r="F360" t="s">
        <v>97</v>
      </c>
      <c r="H360" t="str" cm="1">
        <f t="array" ref="H360">_xlfn.TEXTJOIN(", ", TRUE, IF(I360:M360&gt;0, I$1:M$1, ""))</f>
        <v>Semantic View</v>
      </c>
      <c r="I360">
        <v>0</v>
      </c>
      <c r="J360">
        <v>0</v>
      </c>
      <c r="K360">
        <v>0</v>
      </c>
      <c r="L360">
        <v>0</v>
      </c>
      <c r="M360">
        <v>10</v>
      </c>
      <c r="N360">
        <v>0</v>
      </c>
    </row>
    <row r="361" spans="1:14" x14ac:dyDescent="0.35">
      <c r="A361" t="s">
        <v>6</v>
      </c>
      <c r="B361" t="s">
        <v>863</v>
      </c>
      <c r="E361" t="s">
        <v>864</v>
      </c>
      <c r="F361" t="s">
        <v>92</v>
      </c>
      <c r="H361" t="str" cm="1">
        <f t="array" ref="H361">_xlfn.TEXTJOIN(", ", TRUE, IF(I361:M361&gt;0, I$1:M$1, ""))</f>
        <v>Tech Application, Semantic View</v>
      </c>
      <c r="I361">
        <v>0</v>
      </c>
      <c r="J361">
        <v>2</v>
      </c>
      <c r="K361">
        <v>0</v>
      </c>
      <c r="L361">
        <v>0</v>
      </c>
      <c r="M361">
        <v>2</v>
      </c>
      <c r="N361">
        <v>0</v>
      </c>
    </row>
    <row r="362" spans="1:14" x14ac:dyDescent="0.35">
      <c r="A362" t="s">
        <v>6</v>
      </c>
      <c r="B362" t="s">
        <v>865</v>
      </c>
      <c r="E362" t="s">
        <v>62</v>
      </c>
      <c r="F362" t="s">
        <v>55</v>
      </c>
      <c r="H362" t="str" cm="1">
        <f t="array" ref="H362">_xlfn.TEXTJOIN(", ", TRUE, IF(I362:M362&gt;0, I$1:M$1, ""))</f>
        <v>Legal View</v>
      </c>
      <c r="I362">
        <v>0</v>
      </c>
      <c r="J362">
        <v>0</v>
      </c>
      <c r="K362">
        <v>1</v>
      </c>
      <c r="L362">
        <v>0</v>
      </c>
      <c r="M362">
        <v>0</v>
      </c>
      <c r="N362">
        <v>0</v>
      </c>
    </row>
    <row r="363" spans="1:14" x14ac:dyDescent="0.35">
      <c r="A363" t="s">
        <v>6</v>
      </c>
      <c r="B363" t="s">
        <v>866</v>
      </c>
      <c r="C363" t="s">
        <v>867</v>
      </c>
      <c r="E363" t="s">
        <v>62</v>
      </c>
      <c r="F363" t="s">
        <v>55</v>
      </c>
      <c r="H363" t="str" cm="1">
        <f t="array" ref="H363">_xlfn.TEXTJOIN(", ", TRUE, IF(I363:M363&gt;0, I$1:M$1, ""))</f>
        <v>Tech Application</v>
      </c>
      <c r="I363">
        <v>0</v>
      </c>
      <c r="J363">
        <v>2</v>
      </c>
      <c r="K363">
        <v>0</v>
      </c>
      <c r="L363">
        <v>0</v>
      </c>
      <c r="M363">
        <v>0</v>
      </c>
      <c r="N363">
        <v>0</v>
      </c>
    </row>
    <row r="364" spans="1:14" x14ac:dyDescent="0.35">
      <c r="A364" t="s">
        <v>6</v>
      </c>
      <c r="B364" t="s">
        <v>868</v>
      </c>
      <c r="C364" t="s">
        <v>869</v>
      </c>
      <c r="D364" t="s">
        <v>870</v>
      </c>
      <c r="E364" t="s">
        <v>230</v>
      </c>
      <c r="F364" t="s">
        <v>51</v>
      </c>
      <c r="H364" t="str" cm="1">
        <f t="array" ref="H364">_xlfn.TEXTJOIN(", ", TRUE, IF(I364:M364&gt;0, I$1:M$1, ""))</f>
        <v>Tech Application</v>
      </c>
      <c r="I364">
        <v>0</v>
      </c>
      <c r="J364">
        <v>1</v>
      </c>
      <c r="K364">
        <v>0</v>
      </c>
      <c r="L364">
        <v>0</v>
      </c>
      <c r="M364">
        <v>0</v>
      </c>
      <c r="N364">
        <v>0</v>
      </c>
    </row>
    <row r="365" spans="1:14" x14ac:dyDescent="0.35">
      <c r="A365" t="s">
        <v>6</v>
      </c>
      <c r="B365" t="s">
        <v>871</v>
      </c>
      <c r="C365" t="s">
        <v>872</v>
      </c>
      <c r="E365" t="s">
        <v>86</v>
      </c>
      <c r="F365" t="s">
        <v>55</v>
      </c>
      <c r="H365" t="str" cm="1">
        <f t="array" ref="H365">_xlfn.TEXTJOIN(", ", TRUE, IF(I365:M365&gt;0, I$1:M$1, ""))</f>
        <v>Tech Application</v>
      </c>
      <c r="I365">
        <v>0</v>
      </c>
      <c r="J365">
        <v>2</v>
      </c>
      <c r="K365">
        <v>0</v>
      </c>
      <c r="L365">
        <v>0</v>
      </c>
      <c r="M365">
        <v>0</v>
      </c>
      <c r="N365">
        <v>0</v>
      </c>
    </row>
    <row r="366" spans="1:14" x14ac:dyDescent="0.35">
      <c r="A366" t="s">
        <v>6</v>
      </c>
      <c r="B366" t="s">
        <v>873</v>
      </c>
      <c r="E366" t="s">
        <v>50</v>
      </c>
      <c r="F366" t="s">
        <v>55</v>
      </c>
      <c r="H366" t="str" cm="1">
        <f t="array" ref="H366">_xlfn.TEXTJOIN(", ", TRUE, IF(I366:M366&gt;0, I$1:M$1, ""))</f>
        <v>Tech Application, Semantic View</v>
      </c>
      <c r="I366">
        <v>0</v>
      </c>
      <c r="J366">
        <v>2</v>
      </c>
      <c r="K366">
        <v>0</v>
      </c>
      <c r="L366">
        <v>0</v>
      </c>
      <c r="M366">
        <v>1</v>
      </c>
      <c r="N366">
        <v>0</v>
      </c>
    </row>
    <row r="367" spans="1:14" x14ac:dyDescent="0.35">
      <c r="A367" t="s">
        <v>6</v>
      </c>
      <c r="B367" t="s">
        <v>874</v>
      </c>
      <c r="D367" t="s">
        <v>875</v>
      </c>
      <c r="E367" t="s">
        <v>66</v>
      </c>
      <c r="F367" t="s">
        <v>876</v>
      </c>
      <c r="H367" t="str" cm="1">
        <f t="array" ref="H367">_xlfn.TEXTJOIN(", ", TRUE, IF(I367:M367&gt;0, I$1:M$1, ""))</f>
        <v>Legal View</v>
      </c>
      <c r="I367">
        <v>0</v>
      </c>
      <c r="J367">
        <v>0</v>
      </c>
      <c r="K367">
        <v>1</v>
      </c>
      <c r="L367">
        <v>0</v>
      </c>
      <c r="M367">
        <v>0</v>
      </c>
      <c r="N367">
        <v>0</v>
      </c>
    </row>
    <row r="368" spans="1:14" x14ac:dyDescent="0.35">
      <c r="A368" t="s">
        <v>6</v>
      </c>
      <c r="B368" t="s">
        <v>877</v>
      </c>
      <c r="E368" t="s">
        <v>66</v>
      </c>
      <c r="F368" t="s">
        <v>55</v>
      </c>
      <c r="H368" t="str" cm="1">
        <f t="array" ref="H368">_xlfn.TEXTJOIN(", ", TRUE, IF(I368:M368&gt;0, I$1:M$1, ""))</f>
        <v>Organisational View, Semantic View</v>
      </c>
      <c r="I368">
        <v>0</v>
      </c>
      <c r="J368">
        <v>0</v>
      </c>
      <c r="K368">
        <v>0</v>
      </c>
      <c r="L368">
        <v>1</v>
      </c>
      <c r="M368">
        <v>1</v>
      </c>
      <c r="N368">
        <v>0</v>
      </c>
    </row>
    <row r="369" spans="1:14" x14ac:dyDescent="0.35">
      <c r="A369" t="s">
        <v>6</v>
      </c>
      <c r="B369" t="s">
        <v>878</v>
      </c>
      <c r="C369" t="s">
        <v>879</v>
      </c>
      <c r="E369" t="s">
        <v>222</v>
      </c>
      <c r="F369" t="s">
        <v>51</v>
      </c>
      <c r="H369" t="str" cm="1">
        <f t="array" ref="H369">_xlfn.TEXTJOIN(", ", TRUE, IF(I369:M369&gt;0, I$1:M$1, ""))</f>
        <v>Tech Application</v>
      </c>
      <c r="I369">
        <v>0</v>
      </c>
      <c r="J369">
        <v>2</v>
      </c>
      <c r="K369">
        <v>0</v>
      </c>
      <c r="L369">
        <v>0</v>
      </c>
      <c r="M369">
        <v>0</v>
      </c>
      <c r="N369">
        <v>0</v>
      </c>
    </row>
    <row r="370" spans="1:14" x14ac:dyDescent="0.35">
      <c r="A370" t="s">
        <v>6</v>
      </c>
      <c r="B370" t="s">
        <v>880</v>
      </c>
      <c r="D370" t="s">
        <v>881</v>
      </c>
      <c r="E370" t="s">
        <v>66</v>
      </c>
      <c r="F370" t="s">
        <v>882</v>
      </c>
      <c r="H370" t="str" cm="1">
        <f t="array" ref="H370">_xlfn.TEXTJOIN(", ", TRUE, IF(I370:M370&gt;0, I$1:M$1, ""))</f>
        <v>Legal View</v>
      </c>
      <c r="I370">
        <v>0</v>
      </c>
      <c r="J370">
        <v>0</v>
      </c>
      <c r="K370">
        <v>5</v>
      </c>
      <c r="L370">
        <v>0</v>
      </c>
      <c r="M370">
        <v>0</v>
      </c>
      <c r="N370">
        <v>0</v>
      </c>
    </row>
    <row r="371" spans="1:14" x14ac:dyDescent="0.35">
      <c r="A371" t="s">
        <v>6</v>
      </c>
      <c r="B371" t="s">
        <v>883</v>
      </c>
      <c r="D371" t="s">
        <v>884</v>
      </c>
      <c r="E371" t="s">
        <v>59</v>
      </c>
      <c r="F371" t="s">
        <v>100</v>
      </c>
      <c r="H371" t="str" cm="1">
        <f t="array" ref="H371">_xlfn.TEXTJOIN(", ", TRUE, IF(I371:M371&gt;0, I$1:M$1, ""))</f>
        <v>Tech Infrastructure, Tech Application, Semantic View</v>
      </c>
      <c r="I371">
        <v>1</v>
      </c>
      <c r="J371">
        <v>2</v>
      </c>
      <c r="K371">
        <v>0</v>
      </c>
      <c r="L371">
        <v>0</v>
      </c>
      <c r="M371">
        <v>1</v>
      </c>
      <c r="N371">
        <v>0</v>
      </c>
    </row>
    <row r="372" spans="1:14" x14ac:dyDescent="0.35">
      <c r="A372" t="s">
        <v>6</v>
      </c>
      <c r="B372" t="s">
        <v>885</v>
      </c>
      <c r="E372" t="s">
        <v>886</v>
      </c>
      <c r="F372" t="s">
        <v>152</v>
      </c>
      <c r="H372" t="str" cm="1">
        <f t="array" ref="H372">_xlfn.TEXTJOIN(", ", TRUE, IF(I372:M372&gt;0, I$1:M$1, ""))</f>
        <v>Tech Infrastructure</v>
      </c>
      <c r="I372">
        <v>2</v>
      </c>
      <c r="J372">
        <v>0</v>
      </c>
      <c r="K372">
        <v>0</v>
      </c>
      <c r="L372">
        <v>0</v>
      </c>
      <c r="M372">
        <v>0</v>
      </c>
      <c r="N372">
        <v>0</v>
      </c>
    </row>
    <row r="373" spans="1:14" x14ac:dyDescent="0.35">
      <c r="A373" t="s">
        <v>6</v>
      </c>
      <c r="B373" t="s">
        <v>887</v>
      </c>
      <c r="C373" t="s">
        <v>888</v>
      </c>
      <c r="D373" t="s">
        <v>889</v>
      </c>
      <c r="E373" t="s">
        <v>230</v>
      </c>
      <c r="F373" t="s">
        <v>55</v>
      </c>
      <c r="H373" t="str" cm="1">
        <f t="array" ref="H373">_xlfn.TEXTJOIN(", ", TRUE, IF(I373:M373&gt;0, I$1:M$1, ""))</f>
        <v>Tech Application</v>
      </c>
      <c r="I373">
        <v>0</v>
      </c>
      <c r="J373">
        <v>2</v>
      </c>
      <c r="K373">
        <v>0</v>
      </c>
      <c r="L373">
        <v>0</v>
      </c>
      <c r="M373">
        <v>0</v>
      </c>
      <c r="N373">
        <v>0</v>
      </c>
    </row>
    <row r="374" spans="1:14" x14ac:dyDescent="0.35">
      <c r="A374" t="s">
        <v>6</v>
      </c>
      <c r="B374" t="s">
        <v>890</v>
      </c>
      <c r="E374" t="s">
        <v>134</v>
      </c>
      <c r="F374" t="s">
        <v>528</v>
      </c>
      <c r="H374" t="str" cm="1">
        <f t="array" ref="H374">_xlfn.TEXTJOIN(", ", TRUE, IF(I374:M374&gt;0, I$1:M$1, ""))</f>
        <v/>
      </c>
      <c r="I374">
        <v>0</v>
      </c>
      <c r="J374">
        <v>0</v>
      </c>
      <c r="K374">
        <v>0</v>
      </c>
      <c r="L374">
        <v>0</v>
      </c>
      <c r="M374">
        <v>0</v>
      </c>
      <c r="N374">
        <v>0</v>
      </c>
    </row>
    <row r="375" spans="1:14" x14ac:dyDescent="0.35">
      <c r="A375" t="s">
        <v>6</v>
      </c>
      <c r="B375" t="s">
        <v>891</v>
      </c>
      <c r="D375" t="s">
        <v>892</v>
      </c>
      <c r="E375" t="s">
        <v>230</v>
      </c>
      <c r="F375" t="s">
        <v>152</v>
      </c>
      <c r="H375" t="str" cm="1">
        <f t="array" ref="H375">_xlfn.TEXTJOIN(", ", TRUE, IF(I375:M375&gt;0, I$1:M$1, ""))</f>
        <v>Tech Infrastructure</v>
      </c>
      <c r="I375">
        <v>1</v>
      </c>
      <c r="J375">
        <v>0</v>
      </c>
      <c r="K375">
        <v>0</v>
      </c>
      <c r="L375">
        <v>0</v>
      </c>
      <c r="M375">
        <v>0</v>
      </c>
      <c r="N375">
        <v>0</v>
      </c>
    </row>
    <row r="376" spans="1:14" x14ac:dyDescent="0.35">
      <c r="A376" t="s">
        <v>6</v>
      </c>
      <c r="B376" t="s">
        <v>893</v>
      </c>
      <c r="E376" t="s">
        <v>360</v>
      </c>
      <c r="F376" t="s">
        <v>342</v>
      </c>
      <c r="H376" t="str" cm="1">
        <f t="array" ref="H376">_xlfn.TEXTJOIN(", ", TRUE, IF(I376:M376&gt;0, I$1:M$1, ""))</f>
        <v>Semantic View</v>
      </c>
      <c r="I376">
        <v>0</v>
      </c>
      <c r="J376">
        <v>0</v>
      </c>
      <c r="K376">
        <v>0</v>
      </c>
      <c r="L376">
        <v>0</v>
      </c>
      <c r="M376">
        <v>3</v>
      </c>
      <c r="N376">
        <v>0</v>
      </c>
    </row>
    <row r="377" spans="1:14" x14ac:dyDescent="0.35">
      <c r="A377" t="s">
        <v>6</v>
      </c>
      <c r="B377" t="s">
        <v>894</v>
      </c>
      <c r="E377" t="s">
        <v>62</v>
      </c>
      <c r="F377" t="s">
        <v>55</v>
      </c>
      <c r="H377" t="str" cm="1">
        <f t="array" ref="H377">_xlfn.TEXTJOIN(", ", TRUE, IF(I377:M377&gt;0, I$1:M$1, ""))</f>
        <v>Tech Application</v>
      </c>
      <c r="I377">
        <v>0</v>
      </c>
      <c r="J377">
        <v>2</v>
      </c>
      <c r="K377">
        <v>0</v>
      </c>
      <c r="L377">
        <v>0</v>
      </c>
      <c r="M377">
        <v>0</v>
      </c>
      <c r="N377">
        <v>0</v>
      </c>
    </row>
    <row r="378" spans="1:14" x14ac:dyDescent="0.35">
      <c r="A378" t="s">
        <v>6</v>
      </c>
      <c r="B378" t="s">
        <v>895</v>
      </c>
      <c r="D378" t="s">
        <v>896</v>
      </c>
      <c r="E378" t="s">
        <v>59</v>
      </c>
      <c r="F378" t="s">
        <v>100</v>
      </c>
      <c r="H378" t="str" cm="1">
        <f t="array" ref="H378">_xlfn.TEXTJOIN(", ", TRUE, IF(I378:M378&gt;0, I$1:M$1, ""))</f>
        <v>Tech Infrastructure, Tech Application</v>
      </c>
      <c r="I378">
        <v>1</v>
      </c>
      <c r="J378">
        <v>4</v>
      </c>
      <c r="K378">
        <v>0</v>
      </c>
      <c r="L378">
        <v>0</v>
      </c>
      <c r="M378">
        <v>0</v>
      </c>
      <c r="N378">
        <v>0</v>
      </c>
    </row>
    <row r="379" spans="1:14" x14ac:dyDescent="0.35">
      <c r="A379" t="s">
        <v>6</v>
      </c>
      <c r="B379" t="s">
        <v>897</v>
      </c>
      <c r="D379" t="s">
        <v>898</v>
      </c>
      <c r="E379" t="s">
        <v>69</v>
      </c>
      <c r="F379" t="s">
        <v>55</v>
      </c>
      <c r="H379" t="str" cm="1">
        <f t="array" ref="H379">_xlfn.TEXTJOIN(", ", TRUE, IF(I379:M379&gt;0, I$1:M$1, ""))</f>
        <v>Tech Application</v>
      </c>
      <c r="I379">
        <v>0</v>
      </c>
      <c r="J379">
        <v>2</v>
      </c>
      <c r="K379">
        <v>0</v>
      </c>
      <c r="L379">
        <v>0</v>
      </c>
      <c r="M379">
        <v>0</v>
      </c>
      <c r="N379">
        <v>0</v>
      </c>
    </row>
    <row r="380" spans="1:14" x14ac:dyDescent="0.35">
      <c r="A380" t="s">
        <v>6</v>
      </c>
      <c r="B380" t="s">
        <v>899</v>
      </c>
      <c r="C380" t="s">
        <v>900</v>
      </c>
      <c r="E380" t="s">
        <v>62</v>
      </c>
      <c r="F380" t="s">
        <v>55</v>
      </c>
      <c r="H380" t="str" cm="1">
        <f t="array" ref="H380">_xlfn.TEXTJOIN(", ", TRUE, IF(I380:M380&gt;0, I$1:M$1, ""))</f>
        <v>Tech Infrastructure</v>
      </c>
      <c r="I380">
        <v>1</v>
      </c>
      <c r="J380">
        <v>0</v>
      </c>
      <c r="K380">
        <v>0</v>
      </c>
      <c r="L380">
        <v>0</v>
      </c>
      <c r="M380">
        <v>0</v>
      </c>
      <c r="N380">
        <v>0</v>
      </c>
    </row>
    <row r="381" spans="1:14" x14ac:dyDescent="0.35">
      <c r="A381" t="s">
        <v>6</v>
      </c>
      <c r="B381" t="s">
        <v>901</v>
      </c>
      <c r="C381" t="s">
        <v>902</v>
      </c>
      <c r="E381" t="s">
        <v>121</v>
      </c>
      <c r="F381" t="s">
        <v>152</v>
      </c>
      <c r="H381" t="str" cm="1">
        <f t="array" ref="H381">_xlfn.TEXTJOIN(", ", TRUE, IF(I381:M381&gt;0, I$1:M$1, ""))</f>
        <v>Tech Application</v>
      </c>
      <c r="I381">
        <v>0</v>
      </c>
      <c r="J381">
        <v>2</v>
      </c>
      <c r="K381">
        <v>0</v>
      </c>
      <c r="L381">
        <v>0</v>
      </c>
      <c r="M381">
        <v>0</v>
      </c>
      <c r="N381">
        <v>0</v>
      </c>
    </row>
    <row r="382" spans="1:14" x14ac:dyDescent="0.35">
      <c r="A382" t="s">
        <v>6</v>
      </c>
      <c r="B382" t="s">
        <v>903</v>
      </c>
      <c r="C382" t="s">
        <v>662</v>
      </c>
      <c r="E382" t="s">
        <v>59</v>
      </c>
      <c r="F382" t="s">
        <v>100</v>
      </c>
      <c r="H382" t="str" cm="1">
        <f t="array" ref="H382">_xlfn.TEXTJOIN(", ", TRUE, IF(I382:M382&gt;0, I$1:M$1, ""))</f>
        <v>Tech Application</v>
      </c>
      <c r="I382">
        <v>0</v>
      </c>
      <c r="J382">
        <v>4</v>
      </c>
      <c r="K382">
        <v>0</v>
      </c>
      <c r="L382">
        <v>0</v>
      </c>
      <c r="M382">
        <v>0</v>
      </c>
      <c r="N382">
        <v>0</v>
      </c>
    </row>
    <row r="383" spans="1:14" x14ac:dyDescent="0.35">
      <c r="A383" t="s">
        <v>6</v>
      </c>
      <c r="B383" t="s">
        <v>903</v>
      </c>
      <c r="C383" t="s">
        <v>662</v>
      </c>
      <c r="E383" t="s">
        <v>59</v>
      </c>
      <c r="F383" t="s">
        <v>155</v>
      </c>
      <c r="H383" t="str" cm="1">
        <f t="array" ref="H383">_xlfn.TEXTJOIN(", ", TRUE, IF(I383:M383&gt;0, I$1:M$1, ""))</f>
        <v>Tech Application</v>
      </c>
      <c r="I383">
        <v>0</v>
      </c>
      <c r="J383">
        <v>4</v>
      </c>
      <c r="K383">
        <v>0</v>
      </c>
      <c r="L383">
        <v>0</v>
      </c>
      <c r="M383">
        <v>0</v>
      </c>
      <c r="N383">
        <v>1</v>
      </c>
    </row>
    <row r="384" spans="1:14" x14ac:dyDescent="0.35">
      <c r="A384" t="s">
        <v>6</v>
      </c>
      <c r="B384" t="s">
        <v>904</v>
      </c>
      <c r="D384" t="s">
        <v>905</v>
      </c>
      <c r="E384" t="s">
        <v>69</v>
      </c>
      <c r="F384" t="s">
        <v>55</v>
      </c>
      <c r="H384" t="str" cm="1">
        <f t="array" ref="H384">_xlfn.TEXTJOIN(", ", TRUE, IF(I384:M384&gt;0, I$1:M$1, ""))</f>
        <v>Tech Application</v>
      </c>
      <c r="I384">
        <v>0</v>
      </c>
      <c r="J384">
        <v>2</v>
      </c>
      <c r="K384">
        <v>0</v>
      </c>
      <c r="L384">
        <v>0</v>
      </c>
      <c r="M384">
        <v>0</v>
      </c>
      <c r="N384">
        <v>0</v>
      </c>
    </row>
    <row r="385" spans="1:14" x14ac:dyDescent="0.35">
      <c r="A385" t="s">
        <v>6</v>
      </c>
      <c r="B385" t="s">
        <v>906</v>
      </c>
      <c r="C385" t="s">
        <v>581</v>
      </c>
      <c r="E385" t="s">
        <v>62</v>
      </c>
      <c r="F385" t="s">
        <v>907</v>
      </c>
      <c r="H385" t="str" cm="1">
        <f t="array" ref="H385">_xlfn.TEXTJOIN(", ", TRUE, IF(I385:M385&gt;0, I$1:M$1, ""))</f>
        <v>Tech Application, Organisational View</v>
      </c>
      <c r="I385">
        <v>0</v>
      </c>
      <c r="J385">
        <v>1</v>
      </c>
      <c r="K385">
        <v>0</v>
      </c>
      <c r="L385">
        <v>1</v>
      </c>
      <c r="M385">
        <v>0</v>
      </c>
      <c r="N385">
        <v>1</v>
      </c>
    </row>
    <row r="386" spans="1:14" x14ac:dyDescent="0.35">
      <c r="A386" t="s">
        <v>6</v>
      </c>
      <c r="B386" t="s">
        <v>908</v>
      </c>
      <c r="E386" t="s">
        <v>121</v>
      </c>
      <c r="F386" t="s">
        <v>55</v>
      </c>
      <c r="H386" t="str" cm="1">
        <f t="array" ref="H386">_xlfn.TEXTJOIN(", ", TRUE, IF(I386:M386&gt;0, I$1:M$1, ""))</f>
        <v>Tech Infrastructure</v>
      </c>
      <c r="I386">
        <v>1</v>
      </c>
      <c r="J386">
        <v>0</v>
      </c>
      <c r="K386">
        <v>0</v>
      </c>
      <c r="L386">
        <v>0</v>
      </c>
      <c r="M386">
        <v>0</v>
      </c>
      <c r="N386">
        <v>0</v>
      </c>
    </row>
    <row r="387" spans="1:14" x14ac:dyDescent="0.35">
      <c r="A387" t="s">
        <v>6</v>
      </c>
      <c r="B387" t="s">
        <v>909</v>
      </c>
      <c r="D387" t="s">
        <v>910</v>
      </c>
      <c r="E387" t="s">
        <v>230</v>
      </c>
      <c r="F387" t="s">
        <v>55</v>
      </c>
      <c r="H387" t="str" cm="1">
        <f t="array" ref="H387">_xlfn.TEXTJOIN(", ", TRUE, IF(I387:M387&gt;0, I$1:M$1, ""))</f>
        <v>Tech Infrastructure</v>
      </c>
      <c r="I387">
        <v>2</v>
      </c>
      <c r="J387">
        <v>0</v>
      </c>
      <c r="K387">
        <v>0</v>
      </c>
      <c r="L387">
        <v>0</v>
      </c>
      <c r="M387">
        <v>0</v>
      </c>
      <c r="N387">
        <v>0</v>
      </c>
    </row>
    <row r="388" spans="1:14" x14ac:dyDescent="0.35">
      <c r="A388" t="s">
        <v>6</v>
      </c>
      <c r="B388" t="s">
        <v>911</v>
      </c>
      <c r="C388" t="s">
        <v>912</v>
      </c>
      <c r="E388" t="s">
        <v>59</v>
      </c>
      <c r="F388" t="s">
        <v>100</v>
      </c>
      <c r="H388" t="str" cm="1">
        <f t="array" ref="H388">_xlfn.TEXTJOIN(", ", TRUE, IF(I388:M388&gt;0, I$1:M$1, ""))</f>
        <v>Tech Application</v>
      </c>
      <c r="I388">
        <v>0</v>
      </c>
      <c r="J388">
        <v>4</v>
      </c>
      <c r="K388">
        <v>0</v>
      </c>
      <c r="L388">
        <v>0</v>
      </c>
      <c r="M388">
        <v>0</v>
      </c>
      <c r="N388">
        <v>0</v>
      </c>
    </row>
    <row r="389" spans="1:14" x14ac:dyDescent="0.35">
      <c r="A389" t="s">
        <v>6</v>
      </c>
      <c r="B389" t="s">
        <v>913</v>
      </c>
      <c r="D389" t="s">
        <v>914</v>
      </c>
      <c r="E389" t="s">
        <v>69</v>
      </c>
      <c r="F389" t="s">
        <v>55</v>
      </c>
      <c r="H389" t="str" cm="1">
        <f t="array" ref="H389">_xlfn.TEXTJOIN(", ", TRUE, IF(I389:M389&gt;0, I$1:M$1, ""))</f>
        <v/>
      </c>
      <c r="I389">
        <v>0</v>
      </c>
      <c r="J389">
        <v>0</v>
      </c>
      <c r="K389">
        <v>0</v>
      </c>
      <c r="L389">
        <v>0</v>
      </c>
      <c r="M389">
        <v>0</v>
      </c>
      <c r="N389">
        <v>0</v>
      </c>
    </row>
    <row r="390" spans="1:14" x14ac:dyDescent="0.35">
      <c r="A390" t="s">
        <v>6</v>
      </c>
      <c r="B390" t="s">
        <v>915</v>
      </c>
      <c r="E390" t="s">
        <v>916</v>
      </c>
      <c r="F390" t="s">
        <v>51</v>
      </c>
      <c r="H390" t="str" cm="1">
        <f t="array" ref="H390">_xlfn.TEXTJOIN(", ", TRUE, IF(I390:M390&gt;0, I$1:M$1, ""))</f>
        <v>Tech Application, Semantic View</v>
      </c>
      <c r="I390">
        <v>0</v>
      </c>
      <c r="J390">
        <v>4</v>
      </c>
      <c r="K390">
        <v>0</v>
      </c>
      <c r="L390">
        <v>0</v>
      </c>
      <c r="M390">
        <v>2</v>
      </c>
      <c r="N390">
        <v>0</v>
      </c>
    </row>
    <row r="391" spans="1:14" x14ac:dyDescent="0.35">
      <c r="A391" t="s">
        <v>6</v>
      </c>
      <c r="B391" t="s">
        <v>917</v>
      </c>
      <c r="E391" t="s">
        <v>62</v>
      </c>
      <c r="F391" t="s">
        <v>444</v>
      </c>
      <c r="H391" t="str" cm="1">
        <f t="array" ref="H391">_xlfn.TEXTJOIN(", ", TRUE, IF(I391:M391&gt;0, I$1:M$1, ""))</f>
        <v>Tech Application</v>
      </c>
      <c r="I391">
        <v>0</v>
      </c>
      <c r="J391">
        <v>2</v>
      </c>
      <c r="K391">
        <v>0</v>
      </c>
      <c r="L391">
        <v>0</v>
      </c>
      <c r="M391">
        <v>0</v>
      </c>
      <c r="N391">
        <v>0</v>
      </c>
    </row>
    <row r="392" spans="1:14" x14ac:dyDescent="0.35">
      <c r="A392" t="s">
        <v>6</v>
      </c>
      <c r="B392" t="s">
        <v>918</v>
      </c>
      <c r="C392" t="s">
        <v>919</v>
      </c>
      <c r="E392" t="s">
        <v>920</v>
      </c>
      <c r="F392" t="s">
        <v>152</v>
      </c>
      <c r="H392" t="str" cm="1">
        <f t="array" ref="H392">_xlfn.TEXTJOIN(", ", TRUE, IF(I392:M392&gt;0, I$1:M$1, ""))</f>
        <v>Tech Application</v>
      </c>
      <c r="I392">
        <v>0</v>
      </c>
      <c r="J392">
        <v>3</v>
      </c>
      <c r="K392">
        <v>0</v>
      </c>
      <c r="L392">
        <v>0</v>
      </c>
      <c r="M392">
        <v>0</v>
      </c>
      <c r="N392">
        <v>0</v>
      </c>
    </row>
    <row r="393" spans="1:14" x14ac:dyDescent="0.35">
      <c r="A393" t="s">
        <v>6</v>
      </c>
      <c r="B393" t="s">
        <v>921</v>
      </c>
      <c r="E393" t="s">
        <v>922</v>
      </c>
      <c r="F393" t="s">
        <v>55</v>
      </c>
      <c r="H393" t="str" cm="1">
        <f t="array" ref="H393">_xlfn.TEXTJOIN(", ", TRUE, IF(I393:M393&gt;0, I$1:M$1, ""))</f>
        <v>Tech Application</v>
      </c>
      <c r="I393">
        <v>0</v>
      </c>
      <c r="J393">
        <v>3</v>
      </c>
      <c r="K393">
        <v>0</v>
      </c>
      <c r="L393">
        <v>0</v>
      </c>
      <c r="M393">
        <v>0</v>
      </c>
      <c r="N393">
        <v>0</v>
      </c>
    </row>
    <row r="394" spans="1:14" x14ac:dyDescent="0.35">
      <c r="A394" t="s">
        <v>6</v>
      </c>
      <c r="B394" t="s">
        <v>923</v>
      </c>
      <c r="E394" t="s">
        <v>121</v>
      </c>
      <c r="F394" t="s">
        <v>281</v>
      </c>
      <c r="H394" t="str" cm="1">
        <f t="array" ref="H394">_xlfn.TEXTJOIN(", ", TRUE, IF(I394:M394&gt;0, I$1:M$1, ""))</f>
        <v>Semantic View</v>
      </c>
      <c r="I394">
        <v>0</v>
      </c>
      <c r="J394">
        <v>0</v>
      </c>
      <c r="K394">
        <v>0</v>
      </c>
      <c r="L394">
        <v>0</v>
      </c>
      <c r="M394">
        <v>4</v>
      </c>
      <c r="N394">
        <v>0</v>
      </c>
    </row>
    <row r="395" spans="1:14" x14ac:dyDescent="0.35">
      <c r="A395" t="s">
        <v>6</v>
      </c>
      <c r="B395" t="s">
        <v>924</v>
      </c>
      <c r="C395" t="s">
        <v>925</v>
      </c>
      <c r="E395" t="s">
        <v>230</v>
      </c>
      <c r="F395" t="s">
        <v>92</v>
      </c>
      <c r="H395" t="str" cm="1">
        <f t="array" ref="H395">_xlfn.TEXTJOIN(", ", TRUE, IF(I395:M395&gt;0, I$1:M$1, ""))</f>
        <v>Tech Infrastructure</v>
      </c>
      <c r="I395">
        <v>1</v>
      </c>
      <c r="J395">
        <v>0</v>
      </c>
      <c r="K395">
        <v>0</v>
      </c>
      <c r="L395">
        <v>0</v>
      </c>
      <c r="M395">
        <v>0</v>
      </c>
      <c r="N395">
        <v>0</v>
      </c>
    </row>
    <row r="396" spans="1:14" x14ac:dyDescent="0.35">
      <c r="A396" t="s">
        <v>6</v>
      </c>
      <c r="B396" t="s">
        <v>926</v>
      </c>
      <c r="E396" t="s">
        <v>926</v>
      </c>
      <c r="F396" t="s">
        <v>55</v>
      </c>
      <c r="H396" t="str" cm="1">
        <f t="array" ref="H396">_xlfn.TEXTJOIN(", ", TRUE, IF(I396:M396&gt;0, I$1:M$1, ""))</f>
        <v>Tech Application</v>
      </c>
      <c r="I396">
        <v>0</v>
      </c>
      <c r="J396">
        <v>2</v>
      </c>
      <c r="K396">
        <v>0</v>
      </c>
      <c r="L396">
        <v>0</v>
      </c>
      <c r="M396">
        <v>0</v>
      </c>
      <c r="N396">
        <v>0</v>
      </c>
    </row>
    <row r="397" spans="1:14" x14ac:dyDescent="0.35">
      <c r="A397" t="s">
        <v>6</v>
      </c>
      <c r="B397" t="s">
        <v>927</v>
      </c>
      <c r="C397" t="s">
        <v>928</v>
      </c>
      <c r="E397" t="s">
        <v>59</v>
      </c>
      <c r="F397" t="s">
        <v>155</v>
      </c>
      <c r="H397" t="str" cm="1">
        <f t="array" ref="H397">_xlfn.TEXTJOIN(", ", TRUE, IF(I397:M397&gt;0, I$1:M$1, ""))</f>
        <v>Tech Application</v>
      </c>
      <c r="I397">
        <v>0</v>
      </c>
      <c r="J397">
        <v>1</v>
      </c>
      <c r="K397">
        <v>0</v>
      </c>
      <c r="L397">
        <v>0</v>
      </c>
      <c r="M397">
        <v>0</v>
      </c>
      <c r="N397">
        <v>0</v>
      </c>
    </row>
    <row r="398" spans="1:14" x14ac:dyDescent="0.35">
      <c r="A398" t="s">
        <v>6</v>
      </c>
      <c r="B398" t="s">
        <v>929</v>
      </c>
      <c r="C398" t="s">
        <v>930</v>
      </c>
      <c r="E398" t="s">
        <v>99</v>
      </c>
      <c r="F398" t="s">
        <v>155</v>
      </c>
      <c r="H398" t="str" cm="1">
        <f t="array" ref="H398">_xlfn.TEXTJOIN(", ", TRUE, IF(I398:M398&gt;0, I$1:M$1, ""))</f>
        <v>Tech Application</v>
      </c>
      <c r="I398">
        <v>0</v>
      </c>
      <c r="J398">
        <v>2</v>
      </c>
      <c r="K398">
        <v>0</v>
      </c>
      <c r="L398">
        <v>0</v>
      </c>
      <c r="M398">
        <v>0</v>
      </c>
      <c r="N398">
        <v>0</v>
      </c>
    </row>
    <row r="399" spans="1:14" x14ac:dyDescent="0.35">
      <c r="A399" t="s">
        <v>6</v>
      </c>
      <c r="B399" t="s">
        <v>931</v>
      </c>
      <c r="C399" t="s">
        <v>932</v>
      </c>
      <c r="E399" t="s">
        <v>59</v>
      </c>
      <c r="F399" t="s">
        <v>444</v>
      </c>
      <c r="H399" t="str" cm="1">
        <f t="array" ref="H399">_xlfn.TEXTJOIN(", ", TRUE, IF(I399:M399&gt;0, I$1:M$1, ""))</f>
        <v>Organisational View</v>
      </c>
      <c r="I399">
        <v>0</v>
      </c>
      <c r="J399">
        <v>0</v>
      </c>
      <c r="K399">
        <v>0</v>
      </c>
      <c r="L399">
        <v>1</v>
      </c>
      <c r="M399">
        <v>0</v>
      </c>
      <c r="N399">
        <v>0</v>
      </c>
    </row>
    <row r="400" spans="1:14" x14ac:dyDescent="0.35">
      <c r="A400" t="s">
        <v>6</v>
      </c>
      <c r="B400" t="s">
        <v>933</v>
      </c>
      <c r="E400" t="s">
        <v>62</v>
      </c>
      <c r="F400" t="s">
        <v>55</v>
      </c>
      <c r="H400" t="str" cm="1">
        <f t="array" ref="H400">_xlfn.TEXTJOIN(", ", TRUE, IF(I400:M400&gt;0, I$1:M$1, ""))</f>
        <v>Legal View</v>
      </c>
      <c r="I400">
        <v>0</v>
      </c>
      <c r="J400">
        <v>0</v>
      </c>
      <c r="K400">
        <v>1</v>
      </c>
      <c r="L400">
        <v>0</v>
      </c>
      <c r="M400">
        <v>0</v>
      </c>
      <c r="N400">
        <v>0</v>
      </c>
    </row>
    <row r="401" spans="1:14" x14ac:dyDescent="0.35">
      <c r="A401" t="s">
        <v>6</v>
      </c>
      <c r="B401" t="s">
        <v>934</v>
      </c>
      <c r="C401" t="s">
        <v>935</v>
      </c>
      <c r="E401" t="s">
        <v>936</v>
      </c>
      <c r="F401" t="s">
        <v>55</v>
      </c>
      <c r="H401" t="str" cm="1">
        <f t="array" ref="H401">_xlfn.TEXTJOIN(", ", TRUE, IF(I401:M401&gt;0, I$1:M$1, ""))</f>
        <v>Organisational View</v>
      </c>
      <c r="I401">
        <v>0</v>
      </c>
      <c r="J401">
        <v>0</v>
      </c>
      <c r="K401">
        <v>0</v>
      </c>
      <c r="L401">
        <v>2</v>
      </c>
      <c r="M401">
        <v>0</v>
      </c>
      <c r="N401">
        <v>0</v>
      </c>
    </row>
    <row r="402" spans="1:14" x14ac:dyDescent="0.35">
      <c r="A402" t="s">
        <v>6</v>
      </c>
      <c r="B402" t="s">
        <v>937</v>
      </c>
      <c r="D402" t="s">
        <v>938</v>
      </c>
      <c r="E402" t="s">
        <v>59</v>
      </c>
      <c r="F402" t="s">
        <v>305</v>
      </c>
      <c r="H402" t="str" cm="1">
        <f t="array" ref="H402">_xlfn.TEXTJOIN(", ", TRUE, IF(I402:M402&gt;0, I$1:M$1, ""))</f>
        <v/>
      </c>
      <c r="I402">
        <v>0</v>
      </c>
      <c r="J402">
        <v>0</v>
      </c>
      <c r="K402">
        <v>0</v>
      </c>
      <c r="L402">
        <v>0</v>
      </c>
      <c r="M402">
        <v>0</v>
      </c>
      <c r="N402">
        <v>0</v>
      </c>
    </row>
    <row r="403" spans="1:14" x14ac:dyDescent="0.35">
      <c r="A403" t="s">
        <v>6</v>
      </c>
      <c r="B403" t="s">
        <v>939</v>
      </c>
      <c r="C403" t="s">
        <v>940</v>
      </c>
      <c r="E403" t="s">
        <v>121</v>
      </c>
      <c r="F403" t="s">
        <v>51</v>
      </c>
      <c r="H403" t="str" cm="1">
        <f t="array" ref="H403">_xlfn.TEXTJOIN(", ", TRUE, IF(I403:M403&gt;0, I$1:M$1, ""))</f>
        <v>Tech Infrastructure, Tech Application</v>
      </c>
      <c r="I403">
        <v>1</v>
      </c>
      <c r="J403">
        <v>3</v>
      </c>
      <c r="K403">
        <v>0</v>
      </c>
      <c r="L403">
        <v>0</v>
      </c>
      <c r="M403">
        <v>0</v>
      </c>
      <c r="N403">
        <v>1</v>
      </c>
    </row>
    <row r="404" spans="1:14" x14ac:dyDescent="0.35">
      <c r="A404" t="s">
        <v>6</v>
      </c>
      <c r="B404" t="s">
        <v>941</v>
      </c>
      <c r="E404" t="s">
        <v>666</v>
      </c>
      <c r="F404" t="s">
        <v>92</v>
      </c>
      <c r="H404" t="str" cm="1">
        <f t="array" ref="H404">_xlfn.TEXTJOIN(", ", TRUE, IF(I404:M404&gt;0, I$1:M$1, ""))</f>
        <v>Semantic View</v>
      </c>
      <c r="I404">
        <v>0</v>
      </c>
      <c r="J404">
        <v>0</v>
      </c>
      <c r="K404">
        <v>0</v>
      </c>
      <c r="L404">
        <v>0</v>
      </c>
      <c r="M404">
        <v>4</v>
      </c>
      <c r="N404">
        <v>0</v>
      </c>
    </row>
    <row r="405" spans="1:14" x14ac:dyDescent="0.35">
      <c r="A405" t="s">
        <v>6</v>
      </c>
      <c r="B405" t="s">
        <v>942</v>
      </c>
      <c r="C405" t="s">
        <v>943</v>
      </c>
      <c r="D405" t="s">
        <v>944</v>
      </c>
      <c r="E405" t="s">
        <v>230</v>
      </c>
      <c r="F405" t="s">
        <v>55</v>
      </c>
      <c r="H405" t="str" cm="1">
        <f t="array" ref="H405">_xlfn.TEXTJOIN(", ", TRUE, IF(I405:M405&gt;0, I$1:M$1, ""))</f>
        <v>Semantic View</v>
      </c>
      <c r="I405">
        <v>0</v>
      </c>
      <c r="J405">
        <v>0</v>
      </c>
      <c r="K405">
        <v>0</v>
      </c>
      <c r="L405">
        <v>0</v>
      </c>
      <c r="M405">
        <v>2</v>
      </c>
      <c r="N405">
        <v>0</v>
      </c>
    </row>
    <row r="406" spans="1:14" x14ac:dyDescent="0.35">
      <c r="A406" t="s">
        <v>6</v>
      </c>
      <c r="B406" t="s">
        <v>945</v>
      </c>
      <c r="E406" t="s">
        <v>946</v>
      </c>
      <c r="F406" t="s">
        <v>276</v>
      </c>
      <c r="H406" t="str" cm="1">
        <f t="array" ref="H406">_xlfn.TEXTJOIN(", ", TRUE, IF(I406:M406&gt;0, I$1:M$1, ""))</f>
        <v>Tech Application</v>
      </c>
      <c r="I406">
        <v>0</v>
      </c>
      <c r="J406">
        <v>1</v>
      </c>
      <c r="K406">
        <v>0</v>
      </c>
      <c r="L406">
        <v>0</v>
      </c>
      <c r="M406">
        <v>0</v>
      </c>
      <c r="N406">
        <v>0</v>
      </c>
    </row>
    <row r="407" spans="1:14" x14ac:dyDescent="0.35">
      <c r="A407" t="s">
        <v>6</v>
      </c>
      <c r="B407" t="s">
        <v>947</v>
      </c>
      <c r="E407" t="s">
        <v>148</v>
      </c>
      <c r="F407" t="s">
        <v>55</v>
      </c>
      <c r="H407" t="str" cm="1">
        <f t="array" ref="H407">_xlfn.TEXTJOIN(", ", TRUE, IF(I407:M407&gt;0, I$1:M$1, ""))</f>
        <v>Tech Application</v>
      </c>
      <c r="I407">
        <v>0</v>
      </c>
      <c r="J407">
        <v>4</v>
      </c>
      <c r="K407">
        <v>0</v>
      </c>
      <c r="L407">
        <v>0</v>
      </c>
      <c r="M407">
        <v>0</v>
      </c>
      <c r="N407">
        <v>0</v>
      </c>
    </row>
    <row r="408" spans="1:14" x14ac:dyDescent="0.35">
      <c r="A408" t="s">
        <v>6</v>
      </c>
      <c r="B408" t="s">
        <v>948</v>
      </c>
      <c r="E408" t="s">
        <v>230</v>
      </c>
      <c r="F408" t="s">
        <v>276</v>
      </c>
      <c r="H408" t="str" cm="1">
        <f t="array" ref="H408">_xlfn.TEXTJOIN(", ", TRUE, IF(I408:M408&gt;0, I$1:M$1, ""))</f>
        <v>Tech Application</v>
      </c>
      <c r="I408">
        <v>0</v>
      </c>
      <c r="J408">
        <v>2</v>
      </c>
      <c r="K408">
        <v>0</v>
      </c>
      <c r="L408">
        <v>0</v>
      </c>
      <c r="M408">
        <v>0</v>
      </c>
      <c r="N408">
        <v>0</v>
      </c>
    </row>
    <row r="409" spans="1:14" x14ac:dyDescent="0.35">
      <c r="A409" t="s">
        <v>6</v>
      </c>
      <c r="B409" t="s">
        <v>949</v>
      </c>
      <c r="E409" t="s">
        <v>50</v>
      </c>
      <c r="F409" t="s">
        <v>55</v>
      </c>
      <c r="H409" t="str" cm="1">
        <f t="array" ref="H409">_xlfn.TEXTJOIN(", ", TRUE, IF(I409:M409&gt;0, I$1:M$1, ""))</f>
        <v>Semantic View</v>
      </c>
      <c r="I409">
        <v>0</v>
      </c>
      <c r="J409">
        <v>0</v>
      </c>
      <c r="K409">
        <v>0</v>
      </c>
      <c r="L409">
        <v>0</v>
      </c>
      <c r="M409">
        <v>2</v>
      </c>
      <c r="N409">
        <v>0</v>
      </c>
    </row>
    <row r="410" spans="1:14" x14ac:dyDescent="0.35">
      <c r="A410" t="s">
        <v>6</v>
      </c>
      <c r="B410" t="s">
        <v>950</v>
      </c>
      <c r="C410" t="s">
        <v>424</v>
      </c>
      <c r="E410" t="s">
        <v>62</v>
      </c>
      <c r="F410" t="s">
        <v>951</v>
      </c>
      <c r="H410" t="str" cm="1">
        <f t="array" ref="H410">_xlfn.TEXTJOIN(", ", TRUE, IF(I410:M410&gt;0, I$1:M$1, ""))</f>
        <v/>
      </c>
      <c r="I410">
        <v>0</v>
      </c>
      <c r="J410">
        <v>0</v>
      </c>
      <c r="K410">
        <v>0</v>
      </c>
      <c r="L410">
        <v>0</v>
      </c>
      <c r="M410">
        <v>0</v>
      </c>
      <c r="N410">
        <v>0</v>
      </c>
    </row>
    <row r="411" spans="1:14" x14ac:dyDescent="0.35">
      <c r="A411" t="s">
        <v>6</v>
      </c>
      <c r="B411" t="s">
        <v>952</v>
      </c>
      <c r="D411" t="s">
        <v>953</v>
      </c>
      <c r="E411" t="s">
        <v>69</v>
      </c>
      <c r="F411" t="s">
        <v>55</v>
      </c>
      <c r="H411" t="str" cm="1">
        <f t="array" ref="H411">_xlfn.TEXTJOIN(", ", TRUE, IF(I411:M411&gt;0, I$1:M$1, ""))</f>
        <v>Tech Application</v>
      </c>
      <c r="I411">
        <v>0</v>
      </c>
      <c r="J411">
        <v>4</v>
      </c>
      <c r="K411">
        <v>0</v>
      </c>
      <c r="L411">
        <v>0</v>
      </c>
      <c r="M411">
        <v>0</v>
      </c>
      <c r="N411">
        <v>0</v>
      </c>
    </row>
    <row r="412" spans="1:14" x14ac:dyDescent="0.35">
      <c r="A412" t="s">
        <v>6</v>
      </c>
      <c r="B412" t="s">
        <v>954</v>
      </c>
      <c r="D412" t="s">
        <v>955</v>
      </c>
      <c r="E412" t="s">
        <v>69</v>
      </c>
      <c r="F412" t="s">
        <v>55</v>
      </c>
      <c r="H412" t="str" cm="1">
        <f t="array" ref="H412">_xlfn.TEXTJOIN(", ", TRUE, IF(I412:M412&gt;0, I$1:M$1, ""))</f>
        <v>Tech Infrastructure, Tech Application</v>
      </c>
      <c r="I412">
        <v>3</v>
      </c>
      <c r="J412">
        <v>4</v>
      </c>
      <c r="K412">
        <v>0</v>
      </c>
      <c r="L412">
        <v>0</v>
      </c>
      <c r="M412">
        <v>0</v>
      </c>
      <c r="N412">
        <v>0</v>
      </c>
    </row>
    <row r="413" spans="1:14" x14ac:dyDescent="0.35">
      <c r="A413" t="s">
        <v>6</v>
      </c>
      <c r="B413" t="s">
        <v>956</v>
      </c>
      <c r="D413" t="s">
        <v>957</v>
      </c>
      <c r="E413" t="s">
        <v>59</v>
      </c>
      <c r="F413" t="s">
        <v>206</v>
      </c>
      <c r="H413" t="str" cm="1">
        <f t="array" ref="H413">_xlfn.TEXTJOIN(", ", TRUE, IF(I413:M413&gt;0, I$1:M$1, ""))</f>
        <v>Tech Application</v>
      </c>
      <c r="I413">
        <v>0</v>
      </c>
      <c r="J413">
        <v>3</v>
      </c>
      <c r="K413">
        <v>0</v>
      </c>
      <c r="L413">
        <v>0</v>
      </c>
      <c r="M413">
        <v>0</v>
      </c>
      <c r="N413">
        <v>1</v>
      </c>
    </row>
    <row r="414" spans="1:14" x14ac:dyDescent="0.35">
      <c r="A414" t="s">
        <v>6</v>
      </c>
      <c r="B414" t="s">
        <v>958</v>
      </c>
      <c r="C414" t="s">
        <v>959</v>
      </c>
      <c r="E414" t="s">
        <v>50</v>
      </c>
      <c r="F414" t="s">
        <v>55</v>
      </c>
      <c r="H414" t="str" cm="1">
        <f t="array" ref="H414">_xlfn.TEXTJOIN(", ", TRUE, IF(I414:M414&gt;0, I$1:M$1, ""))</f>
        <v>Semantic View</v>
      </c>
      <c r="I414">
        <v>0</v>
      </c>
      <c r="J414">
        <v>0</v>
      </c>
      <c r="K414">
        <v>0</v>
      </c>
      <c r="L414">
        <v>0</v>
      </c>
      <c r="M414">
        <v>2</v>
      </c>
      <c r="N414">
        <v>0</v>
      </c>
    </row>
    <row r="415" spans="1:14" x14ac:dyDescent="0.35">
      <c r="A415" t="s">
        <v>6</v>
      </c>
      <c r="B415" t="s">
        <v>960</v>
      </c>
      <c r="C415" t="s">
        <v>961</v>
      </c>
      <c r="E415" t="s">
        <v>62</v>
      </c>
      <c r="F415" t="s">
        <v>51</v>
      </c>
      <c r="H415" t="str" cm="1">
        <f t="array" ref="H415">_xlfn.TEXTJOIN(", ", TRUE, IF(I415:M415&gt;0, I$1:M$1, ""))</f>
        <v>Semantic View</v>
      </c>
      <c r="I415">
        <v>0</v>
      </c>
      <c r="J415">
        <v>0</v>
      </c>
      <c r="K415">
        <v>0</v>
      </c>
      <c r="L415">
        <v>0</v>
      </c>
      <c r="M415">
        <v>4</v>
      </c>
      <c r="N415">
        <v>0</v>
      </c>
    </row>
    <row r="416" spans="1:14" x14ac:dyDescent="0.35">
      <c r="A416" t="s">
        <v>6</v>
      </c>
      <c r="B416" t="s">
        <v>962</v>
      </c>
      <c r="C416" t="s">
        <v>963</v>
      </c>
      <c r="E416" t="s">
        <v>66</v>
      </c>
      <c r="F416" t="s">
        <v>964</v>
      </c>
      <c r="H416" t="str" cm="1">
        <f t="array" ref="H416">_xlfn.TEXTJOIN(", ", TRUE, IF(I416:M416&gt;0, I$1:M$1, ""))</f>
        <v>Semantic View</v>
      </c>
      <c r="I416">
        <v>0</v>
      </c>
      <c r="J416">
        <v>0</v>
      </c>
      <c r="K416">
        <v>0</v>
      </c>
      <c r="L416">
        <v>0</v>
      </c>
      <c r="M416">
        <v>1</v>
      </c>
      <c r="N416">
        <v>0</v>
      </c>
    </row>
    <row r="417" spans="1:14" x14ac:dyDescent="0.35">
      <c r="A417" t="s">
        <v>6</v>
      </c>
      <c r="B417" t="s">
        <v>965</v>
      </c>
      <c r="C417" t="s">
        <v>912</v>
      </c>
      <c r="D417" t="s">
        <v>966</v>
      </c>
      <c r="E417" t="s">
        <v>230</v>
      </c>
      <c r="F417" t="s">
        <v>51</v>
      </c>
      <c r="H417" t="str" cm="1">
        <f t="array" ref="H417">_xlfn.TEXTJOIN(", ", TRUE, IF(I417:M417&gt;0, I$1:M$1, ""))</f>
        <v/>
      </c>
      <c r="I417">
        <v>0</v>
      </c>
      <c r="J417">
        <v>0</v>
      </c>
      <c r="K417">
        <v>0</v>
      </c>
      <c r="L417">
        <v>0</v>
      </c>
      <c r="M417">
        <v>0</v>
      </c>
      <c r="N417">
        <v>0</v>
      </c>
    </row>
    <row r="418" spans="1:14" x14ac:dyDescent="0.35">
      <c r="A418" t="s">
        <v>6</v>
      </c>
      <c r="B418" t="s">
        <v>967</v>
      </c>
      <c r="D418" t="s">
        <v>968</v>
      </c>
      <c r="E418" t="s">
        <v>69</v>
      </c>
      <c r="F418" t="s">
        <v>55</v>
      </c>
      <c r="H418" t="str" cm="1">
        <f t="array" ref="H418">_xlfn.TEXTJOIN(", ", TRUE, IF(I418:M418&gt;0, I$1:M$1, ""))</f>
        <v>Tech Application</v>
      </c>
      <c r="I418">
        <v>0</v>
      </c>
      <c r="J418">
        <v>3</v>
      </c>
      <c r="K418">
        <v>0</v>
      </c>
      <c r="L418">
        <v>0</v>
      </c>
      <c r="M418">
        <v>0</v>
      </c>
      <c r="N418">
        <v>0</v>
      </c>
    </row>
    <row r="419" spans="1:14" x14ac:dyDescent="0.35">
      <c r="A419" t="s">
        <v>6</v>
      </c>
      <c r="B419" t="s">
        <v>969</v>
      </c>
      <c r="D419" t="s">
        <v>970</v>
      </c>
      <c r="E419" t="s">
        <v>69</v>
      </c>
      <c r="F419" t="s">
        <v>55</v>
      </c>
      <c r="H419" t="str" cm="1">
        <f t="array" ref="H419">_xlfn.TEXTJOIN(", ", TRUE, IF(I419:M419&gt;0, I$1:M$1, ""))</f>
        <v>Tech Infrastructure, Tech Application</v>
      </c>
      <c r="I419">
        <v>1</v>
      </c>
      <c r="J419">
        <v>2</v>
      </c>
      <c r="K419">
        <v>0</v>
      </c>
      <c r="L419">
        <v>0</v>
      </c>
      <c r="M419">
        <v>0</v>
      </c>
      <c r="N419">
        <v>0</v>
      </c>
    </row>
    <row r="420" spans="1:14" x14ac:dyDescent="0.35">
      <c r="A420" t="s">
        <v>6</v>
      </c>
      <c r="B420" t="s">
        <v>971</v>
      </c>
      <c r="D420" t="s">
        <v>972</v>
      </c>
      <c r="E420" t="s">
        <v>124</v>
      </c>
      <c r="F420" t="s">
        <v>180</v>
      </c>
      <c r="H420" t="str" cm="1">
        <f t="array" ref="H420">_xlfn.TEXTJOIN(", ", TRUE, IF(I420:M420&gt;0, I$1:M$1, ""))</f>
        <v>Tech Application</v>
      </c>
      <c r="I420">
        <v>0</v>
      </c>
      <c r="J420">
        <v>1</v>
      </c>
      <c r="K420">
        <v>0</v>
      </c>
      <c r="L420">
        <v>0</v>
      </c>
      <c r="M420">
        <v>0</v>
      </c>
      <c r="N420">
        <v>0</v>
      </c>
    </row>
    <row r="421" spans="1:14" x14ac:dyDescent="0.35">
      <c r="A421" t="s">
        <v>6</v>
      </c>
      <c r="B421" t="s">
        <v>973</v>
      </c>
      <c r="E421" t="s">
        <v>66</v>
      </c>
      <c r="F421" t="s">
        <v>92</v>
      </c>
      <c r="H421" t="str" cm="1">
        <f t="array" ref="H421">_xlfn.TEXTJOIN(", ", TRUE, IF(I421:M421&gt;0, I$1:M$1, ""))</f>
        <v>Semantic View</v>
      </c>
      <c r="I421">
        <v>0</v>
      </c>
      <c r="J421">
        <v>0</v>
      </c>
      <c r="K421">
        <v>0</v>
      </c>
      <c r="L421">
        <v>0</v>
      </c>
      <c r="M421">
        <v>4</v>
      </c>
      <c r="N421">
        <v>0</v>
      </c>
    </row>
    <row r="422" spans="1:14" x14ac:dyDescent="0.35">
      <c r="A422" t="s">
        <v>6</v>
      </c>
      <c r="B422" t="s">
        <v>974</v>
      </c>
      <c r="D422" t="s">
        <v>975</v>
      </c>
      <c r="E422" t="s">
        <v>69</v>
      </c>
      <c r="F422" t="s">
        <v>55</v>
      </c>
      <c r="H422" t="str" cm="1">
        <f t="array" ref="H422">_xlfn.TEXTJOIN(", ", TRUE, IF(I422:M422&gt;0, I$1:M$1, ""))</f>
        <v/>
      </c>
      <c r="I422">
        <v>0</v>
      </c>
      <c r="J422">
        <v>0</v>
      </c>
      <c r="K422">
        <v>0</v>
      </c>
      <c r="L422">
        <v>0</v>
      </c>
      <c r="M422">
        <v>0</v>
      </c>
      <c r="N422">
        <v>0</v>
      </c>
    </row>
    <row r="423" spans="1:14" x14ac:dyDescent="0.35">
      <c r="A423" t="s">
        <v>6</v>
      </c>
      <c r="B423" t="s">
        <v>976</v>
      </c>
      <c r="C423" t="s">
        <v>977</v>
      </c>
      <c r="E423" t="s">
        <v>978</v>
      </c>
      <c r="F423" t="s">
        <v>51</v>
      </c>
      <c r="H423" t="str" cm="1">
        <f t="array" ref="H423">_xlfn.TEXTJOIN(", ", TRUE, IF(I423:M423&gt;0, I$1:M$1, ""))</f>
        <v>Semantic View</v>
      </c>
      <c r="I423">
        <v>0</v>
      </c>
      <c r="J423">
        <v>0</v>
      </c>
      <c r="K423">
        <v>0</v>
      </c>
      <c r="L423">
        <v>0</v>
      </c>
      <c r="M423">
        <v>2</v>
      </c>
      <c r="N423">
        <v>1</v>
      </c>
    </row>
    <row r="424" spans="1:14" x14ac:dyDescent="0.35">
      <c r="A424" t="s">
        <v>6</v>
      </c>
      <c r="B424" t="s">
        <v>979</v>
      </c>
      <c r="C424" t="s">
        <v>980</v>
      </c>
      <c r="E424" t="s">
        <v>981</v>
      </c>
      <c r="F424" t="s">
        <v>55</v>
      </c>
      <c r="H424" t="str" cm="1">
        <f t="array" ref="H424">_xlfn.TEXTJOIN(", ", TRUE, IF(I424:M424&gt;0, I$1:M$1, ""))</f>
        <v>Tech Infrastructure, Tech Application</v>
      </c>
      <c r="I424">
        <v>1</v>
      </c>
      <c r="J424">
        <v>1</v>
      </c>
      <c r="K424">
        <v>0</v>
      </c>
      <c r="L424">
        <v>0</v>
      </c>
      <c r="M424">
        <v>0</v>
      </c>
      <c r="N424">
        <v>0</v>
      </c>
    </row>
    <row r="425" spans="1:14" x14ac:dyDescent="0.35">
      <c r="A425" t="s">
        <v>6</v>
      </c>
      <c r="B425" t="s">
        <v>982</v>
      </c>
      <c r="C425" t="s">
        <v>983</v>
      </c>
      <c r="E425" t="s">
        <v>62</v>
      </c>
      <c r="F425" t="s">
        <v>51</v>
      </c>
      <c r="H425" t="str" cm="1">
        <f t="array" ref="H425">_xlfn.TEXTJOIN(", ", TRUE, IF(I425:M425&gt;0, I$1:M$1, ""))</f>
        <v>Tech Application, Semantic View</v>
      </c>
      <c r="I425">
        <v>0</v>
      </c>
      <c r="J425">
        <v>4</v>
      </c>
      <c r="K425">
        <v>0</v>
      </c>
      <c r="L425">
        <v>0</v>
      </c>
      <c r="M425">
        <v>8</v>
      </c>
      <c r="N425">
        <v>2</v>
      </c>
    </row>
    <row r="426" spans="1:14" x14ac:dyDescent="0.35">
      <c r="A426" t="s">
        <v>6</v>
      </c>
      <c r="B426" t="s">
        <v>984</v>
      </c>
      <c r="C426" t="s">
        <v>985</v>
      </c>
      <c r="E426" t="s">
        <v>66</v>
      </c>
      <c r="F426" t="s">
        <v>51</v>
      </c>
      <c r="H426" t="str" cm="1">
        <f t="array" ref="H426">_xlfn.TEXTJOIN(", ", TRUE, IF(I426:M426&gt;0, I$1:M$1, ""))</f>
        <v>Semantic View</v>
      </c>
      <c r="I426">
        <v>0</v>
      </c>
      <c r="J426">
        <v>0</v>
      </c>
      <c r="K426">
        <v>0</v>
      </c>
      <c r="L426">
        <v>0</v>
      </c>
      <c r="M426">
        <v>1</v>
      </c>
      <c r="N426">
        <v>0</v>
      </c>
    </row>
    <row r="427" spans="1:14" x14ac:dyDescent="0.35">
      <c r="A427" t="s">
        <v>6</v>
      </c>
      <c r="B427" t="s">
        <v>986</v>
      </c>
      <c r="D427" t="s">
        <v>987</v>
      </c>
      <c r="E427" t="s">
        <v>336</v>
      </c>
      <c r="F427" t="s">
        <v>55</v>
      </c>
      <c r="H427" t="str" cm="1">
        <f t="array" ref="H427">_xlfn.TEXTJOIN(", ", TRUE, IF(I427:M427&gt;0, I$1:M$1, ""))</f>
        <v>Tech Application</v>
      </c>
      <c r="I427">
        <v>0</v>
      </c>
      <c r="J427">
        <v>2</v>
      </c>
      <c r="K427">
        <v>0</v>
      </c>
      <c r="L427">
        <v>0</v>
      </c>
      <c r="M427">
        <v>0</v>
      </c>
      <c r="N427">
        <v>0</v>
      </c>
    </row>
    <row r="428" spans="1:14" x14ac:dyDescent="0.35">
      <c r="A428" t="s">
        <v>6</v>
      </c>
      <c r="B428" t="s">
        <v>988</v>
      </c>
      <c r="C428" t="s">
        <v>989</v>
      </c>
      <c r="D428" t="s">
        <v>990</v>
      </c>
      <c r="E428" t="s">
        <v>50</v>
      </c>
      <c r="F428" t="s">
        <v>92</v>
      </c>
      <c r="H428" t="str" cm="1">
        <f t="array" ref="H428">_xlfn.TEXTJOIN(", ", TRUE, IF(I428:M428&gt;0, I$1:M$1, ""))</f>
        <v>Tech Application</v>
      </c>
      <c r="I428">
        <v>0</v>
      </c>
      <c r="J428">
        <v>2</v>
      </c>
      <c r="K428">
        <v>0</v>
      </c>
      <c r="L428">
        <v>0</v>
      </c>
      <c r="M428">
        <v>0</v>
      </c>
      <c r="N428">
        <v>2</v>
      </c>
    </row>
    <row r="429" spans="1:14" x14ac:dyDescent="0.35">
      <c r="A429" t="s">
        <v>6</v>
      </c>
      <c r="B429" t="s">
        <v>351</v>
      </c>
      <c r="C429" t="s">
        <v>351</v>
      </c>
      <c r="E429" t="s">
        <v>50</v>
      </c>
      <c r="F429" t="s">
        <v>111</v>
      </c>
      <c r="H429" t="str" cm="1">
        <f t="array" ref="H429">_xlfn.TEXTJOIN(", ", TRUE, IF(I429:M429&gt;0, I$1:M$1, ""))</f>
        <v>Tech Application, Semantic View</v>
      </c>
      <c r="I429">
        <v>0</v>
      </c>
      <c r="J429">
        <v>1</v>
      </c>
      <c r="K429">
        <v>0</v>
      </c>
      <c r="L429">
        <v>0</v>
      </c>
      <c r="M429">
        <v>1</v>
      </c>
      <c r="N429">
        <v>0</v>
      </c>
    </row>
    <row r="430" spans="1:14" x14ac:dyDescent="0.35">
      <c r="A430" t="s">
        <v>6</v>
      </c>
      <c r="B430" t="s">
        <v>991</v>
      </c>
      <c r="D430" t="s">
        <v>992</v>
      </c>
      <c r="E430" t="s">
        <v>59</v>
      </c>
      <c r="F430" t="s">
        <v>100</v>
      </c>
      <c r="H430" t="str" cm="1">
        <f t="array" ref="H430">_xlfn.TEXTJOIN(", ", TRUE, IF(I430:M430&gt;0, I$1:M$1, ""))</f>
        <v/>
      </c>
      <c r="I430">
        <v>0</v>
      </c>
      <c r="J430">
        <v>0</v>
      </c>
      <c r="K430">
        <v>0</v>
      </c>
      <c r="L430">
        <v>0</v>
      </c>
      <c r="M430">
        <v>0</v>
      </c>
      <c r="N430">
        <v>0</v>
      </c>
    </row>
    <row r="431" spans="1:14" x14ac:dyDescent="0.35">
      <c r="A431" t="s">
        <v>6</v>
      </c>
      <c r="B431" t="s">
        <v>993</v>
      </c>
      <c r="D431" t="s">
        <v>994</v>
      </c>
      <c r="E431" t="s">
        <v>230</v>
      </c>
      <c r="F431" t="s">
        <v>276</v>
      </c>
      <c r="H431" t="str" cm="1">
        <f t="array" ref="H431">_xlfn.TEXTJOIN(", ", TRUE, IF(I431:M431&gt;0, I$1:M$1, ""))</f>
        <v>Tech Application</v>
      </c>
      <c r="I431">
        <v>0</v>
      </c>
      <c r="J431">
        <v>6</v>
      </c>
      <c r="K431">
        <v>0</v>
      </c>
      <c r="L431">
        <v>0</v>
      </c>
      <c r="M431">
        <v>0</v>
      </c>
      <c r="N431">
        <v>0</v>
      </c>
    </row>
    <row r="432" spans="1:14" x14ac:dyDescent="0.35">
      <c r="A432" t="s">
        <v>6</v>
      </c>
      <c r="B432" t="s">
        <v>995</v>
      </c>
      <c r="D432" t="s">
        <v>996</v>
      </c>
      <c r="E432" t="s">
        <v>69</v>
      </c>
      <c r="F432" t="s">
        <v>55</v>
      </c>
      <c r="H432" t="str" cm="1">
        <f t="array" ref="H432">_xlfn.TEXTJOIN(", ", TRUE, IF(I432:M432&gt;0, I$1:M$1, ""))</f>
        <v>Tech Infrastructure</v>
      </c>
      <c r="I432">
        <v>2</v>
      </c>
      <c r="J432">
        <v>0</v>
      </c>
      <c r="K432">
        <v>0</v>
      </c>
      <c r="L432">
        <v>0</v>
      </c>
      <c r="M432">
        <v>0</v>
      </c>
      <c r="N432">
        <v>0</v>
      </c>
    </row>
    <row r="433" spans="1:14" x14ac:dyDescent="0.35">
      <c r="A433" t="s">
        <v>6</v>
      </c>
      <c r="B433" t="s">
        <v>997</v>
      </c>
      <c r="C433" t="s">
        <v>998</v>
      </c>
      <c r="E433" t="s">
        <v>121</v>
      </c>
      <c r="F433" t="s">
        <v>55</v>
      </c>
      <c r="H433" t="str" cm="1">
        <f t="array" ref="H433">_xlfn.TEXTJOIN(", ", TRUE, IF(I433:M433&gt;0, I$1:M$1, ""))</f>
        <v>Semantic View</v>
      </c>
      <c r="I433">
        <v>0</v>
      </c>
      <c r="J433">
        <v>0</v>
      </c>
      <c r="K433">
        <v>0</v>
      </c>
      <c r="L433">
        <v>0</v>
      </c>
      <c r="M433">
        <v>5</v>
      </c>
      <c r="N433">
        <v>0</v>
      </c>
    </row>
    <row r="434" spans="1:14" x14ac:dyDescent="0.35">
      <c r="A434" t="s">
        <v>6</v>
      </c>
      <c r="B434" t="s">
        <v>999</v>
      </c>
      <c r="D434" t="s">
        <v>1000</v>
      </c>
      <c r="E434" t="s">
        <v>59</v>
      </c>
      <c r="F434" t="s">
        <v>1001</v>
      </c>
      <c r="H434" t="str" cm="1">
        <f t="array" ref="H434">_xlfn.TEXTJOIN(", ", TRUE, IF(I434:M434&gt;0, I$1:M$1, ""))</f>
        <v>Semantic View</v>
      </c>
      <c r="I434">
        <v>0</v>
      </c>
      <c r="J434">
        <v>0</v>
      </c>
      <c r="K434">
        <v>0</v>
      </c>
      <c r="L434">
        <v>0</v>
      </c>
      <c r="M434">
        <v>5</v>
      </c>
      <c r="N434">
        <v>0</v>
      </c>
    </row>
    <row r="435" spans="1:14" x14ac:dyDescent="0.35">
      <c r="A435" t="s">
        <v>6</v>
      </c>
      <c r="B435" t="s">
        <v>1002</v>
      </c>
      <c r="C435" t="s">
        <v>1003</v>
      </c>
      <c r="E435" t="s">
        <v>1004</v>
      </c>
      <c r="F435" t="s">
        <v>55</v>
      </c>
      <c r="H435" t="str" cm="1">
        <f t="array" ref="H435">_xlfn.TEXTJOIN(", ", TRUE, IF(I435:M435&gt;0, I$1:M$1, ""))</f>
        <v>Tech Application, Organisational View</v>
      </c>
      <c r="I435">
        <v>0</v>
      </c>
      <c r="J435">
        <v>7</v>
      </c>
      <c r="K435">
        <v>0</v>
      </c>
      <c r="L435">
        <v>2</v>
      </c>
      <c r="M435">
        <v>0</v>
      </c>
      <c r="N435">
        <v>0</v>
      </c>
    </row>
    <row r="436" spans="1:14" x14ac:dyDescent="0.35">
      <c r="A436" t="s">
        <v>6</v>
      </c>
      <c r="B436" t="s">
        <v>1005</v>
      </c>
      <c r="E436" t="s">
        <v>50</v>
      </c>
      <c r="F436" t="s">
        <v>55</v>
      </c>
      <c r="H436" t="str" cm="1">
        <f t="array" ref="H436">_xlfn.TEXTJOIN(", ", TRUE, IF(I436:M436&gt;0, I$1:M$1, ""))</f>
        <v>Tech Application</v>
      </c>
      <c r="I436">
        <v>0</v>
      </c>
      <c r="J436">
        <v>1</v>
      </c>
      <c r="K436">
        <v>0</v>
      </c>
      <c r="L436">
        <v>0</v>
      </c>
      <c r="M436">
        <v>0</v>
      </c>
      <c r="N436">
        <v>0</v>
      </c>
    </row>
    <row r="437" spans="1:14" x14ac:dyDescent="0.35">
      <c r="A437" t="s">
        <v>6</v>
      </c>
      <c r="B437" t="s">
        <v>1006</v>
      </c>
      <c r="C437" t="s">
        <v>129</v>
      </c>
      <c r="D437" t="s">
        <v>1007</v>
      </c>
      <c r="E437" t="s">
        <v>230</v>
      </c>
      <c r="F437" t="s">
        <v>535</v>
      </c>
      <c r="H437" t="str" cm="1">
        <f t="array" ref="H437">_xlfn.TEXTJOIN(", ", TRUE, IF(I437:M437&gt;0, I$1:M$1, ""))</f>
        <v/>
      </c>
      <c r="I437">
        <v>0</v>
      </c>
      <c r="J437">
        <v>0</v>
      </c>
      <c r="K437">
        <v>0</v>
      </c>
      <c r="L437">
        <v>0</v>
      </c>
      <c r="M437">
        <v>0</v>
      </c>
      <c r="N437">
        <v>0</v>
      </c>
    </row>
    <row r="438" spans="1:14" x14ac:dyDescent="0.35">
      <c r="A438" t="s">
        <v>6</v>
      </c>
      <c r="B438" t="s">
        <v>1008</v>
      </c>
      <c r="D438" t="s">
        <v>1009</v>
      </c>
      <c r="E438" t="s">
        <v>1010</v>
      </c>
      <c r="F438" t="s">
        <v>51</v>
      </c>
      <c r="H438" t="str" cm="1">
        <f t="array" ref="H438">_xlfn.TEXTJOIN(", ", TRUE, IF(I438:M438&gt;0, I$1:M$1, ""))</f>
        <v>Semantic View</v>
      </c>
      <c r="I438">
        <v>0</v>
      </c>
      <c r="J438">
        <v>0</v>
      </c>
      <c r="K438">
        <v>0</v>
      </c>
      <c r="L438">
        <v>0</v>
      </c>
      <c r="M438">
        <v>2</v>
      </c>
      <c r="N438">
        <v>0</v>
      </c>
    </row>
    <row r="439" spans="1:14" x14ac:dyDescent="0.35">
      <c r="A439" t="s">
        <v>6</v>
      </c>
      <c r="B439" t="s">
        <v>1011</v>
      </c>
      <c r="E439" t="s">
        <v>620</v>
      </c>
      <c r="F439" t="s">
        <v>1012</v>
      </c>
      <c r="H439" t="str" cm="1">
        <f t="array" ref="H439">_xlfn.TEXTJOIN(", ", TRUE, IF(I439:M439&gt;0, I$1:M$1, ""))</f>
        <v>Tech Application</v>
      </c>
      <c r="I439">
        <v>0</v>
      </c>
      <c r="J439">
        <v>3</v>
      </c>
      <c r="K439">
        <v>0</v>
      </c>
      <c r="L439">
        <v>0</v>
      </c>
      <c r="M439">
        <v>0</v>
      </c>
      <c r="N439">
        <v>0</v>
      </c>
    </row>
    <row r="440" spans="1:14" x14ac:dyDescent="0.35">
      <c r="A440" t="s">
        <v>6</v>
      </c>
      <c r="B440" t="s">
        <v>1013</v>
      </c>
      <c r="D440" t="s">
        <v>1014</v>
      </c>
      <c r="E440" t="s">
        <v>66</v>
      </c>
      <c r="F440" t="s">
        <v>1015</v>
      </c>
      <c r="H440" t="str" cm="1">
        <f t="array" ref="H440">_xlfn.TEXTJOIN(", ", TRUE, IF(I440:M440&gt;0, I$1:M$1, ""))</f>
        <v>Legal View</v>
      </c>
      <c r="I440">
        <v>0</v>
      </c>
      <c r="J440">
        <v>0</v>
      </c>
      <c r="K440">
        <v>5</v>
      </c>
      <c r="L440">
        <v>0</v>
      </c>
      <c r="M440">
        <v>0</v>
      </c>
      <c r="N440">
        <v>0</v>
      </c>
    </row>
    <row r="441" spans="1:14" x14ac:dyDescent="0.35">
      <c r="A441" t="s">
        <v>6</v>
      </c>
      <c r="B441" t="s">
        <v>1016</v>
      </c>
      <c r="E441" t="s">
        <v>99</v>
      </c>
      <c r="F441" t="s">
        <v>152</v>
      </c>
      <c r="H441" t="str" cm="1">
        <f t="array" ref="H441">_xlfn.TEXTJOIN(", ", TRUE, IF(I441:M441&gt;0, I$1:M$1, ""))</f>
        <v/>
      </c>
      <c r="I441">
        <v>0</v>
      </c>
      <c r="J441">
        <v>0</v>
      </c>
      <c r="K441">
        <v>0</v>
      </c>
      <c r="L441">
        <v>0</v>
      </c>
      <c r="M441">
        <v>0</v>
      </c>
      <c r="N441">
        <v>0</v>
      </c>
    </row>
    <row r="442" spans="1:14" x14ac:dyDescent="0.35">
      <c r="A442" t="s">
        <v>6</v>
      </c>
      <c r="B442" t="s">
        <v>1017</v>
      </c>
      <c r="E442" t="s">
        <v>1017</v>
      </c>
      <c r="F442" t="s">
        <v>1018</v>
      </c>
      <c r="H442" t="str" cm="1">
        <f t="array" ref="H442">_xlfn.TEXTJOIN(", ", TRUE, IF(I442:M442&gt;0, I$1:M$1, ""))</f>
        <v>Tech Infrastructure</v>
      </c>
      <c r="I442">
        <v>1</v>
      </c>
      <c r="J442">
        <v>0</v>
      </c>
      <c r="K442">
        <v>0</v>
      </c>
      <c r="L442">
        <v>0</v>
      </c>
      <c r="M442">
        <v>0</v>
      </c>
      <c r="N442">
        <v>0</v>
      </c>
    </row>
    <row r="443" spans="1:14" x14ac:dyDescent="0.35">
      <c r="A443" t="s">
        <v>6</v>
      </c>
      <c r="B443" t="s">
        <v>1019</v>
      </c>
      <c r="E443" t="s">
        <v>293</v>
      </c>
      <c r="F443" t="s">
        <v>535</v>
      </c>
      <c r="H443" t="str" cm="1">
        <f t="array" ref="H443">_xlfn.TEXTJOIN(", ", TRUE, IF(I443:M443&gt;0, I$1:M$1, ""))</f>
        <v/>
      </c>
      <c r="I443">
        <v>0</v>
      </c>
      <c r="J443">
        <v>0</v>
      </c>
      <c r="K443">
        <v>0</v>
      </c>
      <c r="L443">
        <v>0</v>
      </c>
      <c r="M443">
        <v>0</v>
      </c>
      <c r="N443">
        <v>0</v>
      </c>
    </row>
    <row r="444" spans="1:14" x14ac:dyDescent="0.35">
      <c r="A444" t="s">
        <v>6</v>
      </c>
      <c r="B444" t="s">
        <v>1020</v>
      </c>
      <c r="C444" t="s">
        <v>581</v>
      </c>
      <c r="E444" t="s">
        <v>62</v>
      </c>
      <c r="F444" t="s">
        <v>111</v>
      </c>
      <c r="H444" t="str" cm="1">
        <f t="array" ref="H444">_xlfn.TEXTJOIN(", ", TRUE, IF(I444:M444&gt;0, I$1:M$1, ""))</f>
        <v>Tech Application, Organisational View</v>
      </c>
      <c r="I444">
        <v>0</v>
      </c>
      <c r="J444">
        <v>1</v>
      </c>
      <c r="K444">
        <v>0</v>
      </c>
      <c r="L444">
        <v>1</v>
      </c>
      <c r="M444">
        <v>0</v>
      </c>
      <c r="N444">
        <v>0</v>
      </c>
    </row>
    <row r="445" spans="1:14" x14ac:dyDescent="0.35">
      <c r="A445" t="s">
        <v>6</v>
      </c>
      <c r="B445" t="s">
        <v>1021</v>
      </c>
      <c r="C445" t="s">
        <v>1021</v>
      </c>
      <c r="E445" t="s">
        <v>50</v>
      </c>
      <c r="F445" t="s">
        <v>554</v>
      </c>
      <c r="H445" t="str" cm="1">
        <f t="array" ref="H445">_xlfn.TEXTJOIN(", ", TRUE, IF(I445:M445&gt;0, I$1:M$1, ""))</f>
        <v>Tech Application</v>
      </c>
      <c r="I445">
        <v>0</v>
      </c>
      <c r="J445">
        <v>2</v>
      </c>
      <c r="K445">
        <v>0</v>
      </c>
      <c r="L445">
        <v>0</v>
      </c>
      <c r="M445">
        <v>0</v>
      </c>
      <c r="N445">
        <v>2</v>
      </c>
    </row>
    <row r="446" spans="1:14" x14ac:dyDescent="0.35">
      <c r="A446" t="s">
        <v>6</v>
      </c>
      <c r="B446" t="s">
        <v>1022</v>
      </c>
      <c r="E446" t="s">
        <v>733</v>
      </c>
      <c r="F446" t="s">
        <v>276</v>
      </c>
      <c r="H446" t="str" cm="1">
        <f t="array" ref="H446">_xlfn.TEXTJOIN(", ", TRUE, IF(I446:M446&gt;0, I$1:M$1, ""))</f>
        <v>Semantic View</v>
      </c>
      <c r="I446">
        <v>0</v>
      </c>
      <c r="J446">
        <v>0</v>
      </c>
      <c r="K446">
        <v>0</v>
      </c>
      <c r="L446">
        <v>0</v>
      </c>
      <c r="M446">
        <v>2</v>
      </c>
      <c r="N446">
        <v>0</v>
      </c>
    </row>
    <row r="447" spans="1:14" x14ac:dyDescent="0.35">
      <c r="A447" t="s">
        <v>6</v>
      </c>
      <c r="B447" t="s">
        <v>1023</v>
      </c>
      <c r="C447" t="s">
        <v>1024</v>
      </c>
      <c r="E447" t="s">
        <v>96</v>
      </c>
      <c r="F447" t="s">
        <v>55</v>
      </c>
      <c r="H447" t="str" cm="1">
        <f t="array" ref="H447">_xlfn.TEXTJOIN(", ", TRUE, IF(I447:M447&gt;0, I$1:M$1, ""))</f>
        <v>Tech Infrastructure, Tech Application</v>
      </c>
      <c r="I447">
        <v>1</v>
      </c>
      <c r="J447">
        <v>2</v>
      </c>
      <c r="K447">
        <v>0</v>
      </c>
      <c r="L447">
        <v>0</v>
      </c>
      <c r="M447">
        <v>0</v>
      </c>
      <c r="N447">
        <v>1</v>
      </c>
    </row>
    <row r="448" spans="1:14" x14ac:dyDescent="0.35">
      <c r="A448" t="s">
        <v>6</v>
      </c>
      <c r="B448" t="s">
        <v>1025</v>
      </c>
      <c r="C448" t="s">
        <v>1026</v>
      </c>
      <c r="E448" t="s">
        <v>733</v>
      </c>
      <c r="F448" t="s">
        <v>51</v>
      </c>
      <c r="H448" t="str" cm="1">
        <f t="array" ref="H448">_xlfn.TEXTJOIN(", ", TRUE, IF(I448:M448&gt;0, I$1:M$1, ""))</f>
        <v>Tech Application, Semantic View</v>
      </c>
      <c r="I448">
        <v>0</v>
      </c>
      <c r="J448">
        <v>1</v>
      </c>
      <c r="K448">
        <v>0</v>
      </c>
      <c r="L448">
        <v>0</v>
      </c>
      <c r="M448">
        <v>1</v>
      </c>
      <c r="N448">
        <v>0</v>
      </c>
    </row>
    <row r="449" spans="1:14" x14ac:dyDescent="0.35">
      <c r="A449" t="s">
        <v>6</v>
      </c>
      <c r="B449" t="s">
        <v>1027</v>
      </c>
      <c r="C449" t="s">
        <v>1028</v>
      </c>
      <c r="E449" t="s">
        <v>62</v>
      </c>
      <c r="F449" t="s">
        <v>55</v>
      </c>
      <c r="H449" t="str" cm="1">
        <f t="array" ref="H449">_xlfn.TEXTJOIN(", ", TRUE, IF(I449:M449&gt;0, I$1:M$1, ""))</f>
        <v>Tech Infrastructure, Tech Application, Semantic View</v>
      </c>
      <c r="I449">
        <v>2</v>
      </c>
      <c r="J449">
        <v>4</v>
      </c>
      <c r="K449">
        <v>0</v>
      </c>
      <c r="L449">
        <v>0</v>
      </c>
      <c r="M449">
        <v>1</v>
      </c>
      <c r="N449">
        <v>1</v>
      </c>
    </row>
    <row r="450" spans="1:14" x14ac:dyDescent="0.35">
      <c r="A450" t="s">
        <v>6</v>
      </c>
      <c r="B450" t="s">
        <v>1029</v>
      </c>
      <c r="E450" t="s">
        <v>148</v>
      </c>
      <c r="F450" t="s">
        <v>1030</v>
      </c>
      <c r="H450" t="str" cm="1">
        <f t="array" ref="H450">_xlfn.TEXTJOIN(", ", TRUE, IF(I450:M450&gt;0, I$1:M$1, ""))</f>
        <v>Tech Application, Organisational View</v>
      </c>
      <c r="I450">
        <v>0</v>
      </c>
      <c r="J450">
        <v>1</v>
      </c>
      <c r="K450">
        <v>0</v>
      </c>
      <c r="L450">
        <v>1</v>
      </c>
      <c r="M450">
        <v>0</v>
      </c>
      <c r="N450">
        <v>0</v>
      </c>
    </row>
    <row r="451" spans="1:14" x14ac:dyDescent="0.35">
      <c r="A451" t="s">
        <v>6</v>
      </c>
      <c r="B451" t="s">
        <v>1031</v>
      </c>
      <c r="C451" t="s">
        <v>1028</v>
      </c>
      <c r="E451" t="s">
        <v>62</v>
      </c>
      <c r="F451" t="s">
        <v>51</v>
      </c>
      <c r="H451" t="str" cm="1">
        <f t="array" ref="H451">_xlfn.TEXTJOIN(", ", TRUE, IF(I451:M451&gt;0, I$1:M$1, ""))</f>
        <v>Tech Infrastructure, Tech Application, Semantic View</v>
      </c>
      <c r="I451">
        <v>2</v>
      </c>
      <c r="J451">
        <v>4</v>
      </c>
      <c r="K451">
        <v>0</v>
      </c>
      <c r="L451">
        <v>0</v>
      </c>
      <c r="M451">
        <v>1</v>
      </c>
      <c r="N451">
        <v>0</v>
      </c>
    </row>
    <row r="452" spans="1:14" x14ac:dyDescent="0.35">
      <c r="A452" t="s">
        <v>6</v>
      </c>
      <c r="B452" t="s">
        <v>1032</v>
      </c>
      <c r="E452" t="s">
        <v>293</v>
      </c>
      <c r="F452" t="s">
        <v>535</v>
      </c>
      <c r="H452" t="str" cm="1">
        <f t="array" ref="H452">_xlfn.TEXTJOIN(", ", TRUE, IF(I452:M452&gt;0, I$1:M$1, ""))</f>
        <v/>
      </c>
      <c r="I452">
        <v>0</v>
      </c>
      <c r="J452">
        <v>0</v>
      </c>
      <c r="K452">
        <v>0</v>
      </c>
      <c r="L452">
        <v>0</v>
      </c>
      <c r="M452">
        <v>0</v>
      </c>
      <c r="N452">
        <v>0</v>
      </c>
    </row>
    <row r="453" spans="1:14" x14ac:dyDescent="0.35">
      <c r="A453" t="s">
        <v>6</v>
      </c>
      <c r="B453" t="s">
        <v>1033</v>
      </c>
      <c r="C453" t="s">
        <v>1034</v>
      </c>
      <c r="D453" t="s">
        <v>1035</v>
      </c>
      <c r="E453" t="s">
        <v>222</v>
      </c>
      <c r="F453" t="s">
        <v>276</v>
      </c>
      <c r="H453" t="str" cm="1">
        <f t="array" ref="H453">_xlfn.TEXTJOIN(", ", TRUE, IF(I453:M453&gt;0, I$1:M$1, ""))</f>
        <v>Organisational View</v>
      </c>
      <c r="I453">
        <v>0</v>
      </c>
      <c r="J453">
        <v>0</v>
      </c>
      <c r="K453">
        <v>0</v>
      </c>
      <c r="L453">
        <v>1</v>
      </c>
      <c r="M453">
        <v>0</v>
      </c>
      <c r="N453">
        <v>1</v>
      </c>
    </row>
    <row r="454" spans="1:14" x14ac:dyDescent="0.35">
      <c r="A454" t="s">
        <v>6</v>
      </c>
      <c r="B454" t="s">
        <v>1036</v>
      </c>
      <c r="E454" t="s">
        <v>584</v>
      </c>
      <c r="F454" t="s">
        <v>125</v>
      </c>
      <c r="H454" t="str" cm="1">
        <f t="array" ref="H454">_xlfn.TEXTJOIN(", ", TRUE, IF(I454:M454&gt;0, I$1:M$1, ""))</f>
        <v>Tech Application</v>
      </c>
      <c r="I454">
        <v>0</v>
      </c>
      <c r="J454">
        <v>5</v>
      </c>
      <c r="K454">
        <v>0</v>
      </c>
      <c r="L454">
        <v>0</v>
      </c>
      <c r="M454">
        <v>0</v>
      </c>
      <c r="N454">
        <v>0</v>
      </c>
    </row>
    <row r="455" spans="1:14" x14ac:dyDescent="0.35">
      <c r="A455" t="s">
        <v>6</v>
      </c>
      <c r="B455" t="s">
        <v>1037</v>
      </c>
      <c r="C455" t="s">
        <v>1038</v>
      </c>
      <c r="E455" t="s">
        <v>360</v>
      </c>
      <c r="F455" t="s">
        <v>97</v>
      </c>
      <c r="H455" t="str" cm="1">
        <f t="array" ref="H455">_xlfn.TEXTJOIN(", ", TRUE, IF(I455:M455&gt;0, I$1:M$1, ""))</f>
        <v>Tech Infrastructure, Tech Application</v>
      </c>
      <c r="I455">
        <v>2</v>
      </c>
      <c r="J455">
        <v>4</v>
      </c>
      <c r="K455">
        <v>0</v>
      </c>
      <c r="L455">
        <v>0</v>
      </c>
      <c r="M455">
        <v>0</v>
      </c>
      <c r="N455">
        <v>1</v>
      </c>
    </row>
    <row r="456" spans="1:14" x14ac:dyDescent="0.35">
      <c r="A456" t="s">
        <v>6</v>
      </c>
      <c r="B456" t="s">
        <v>1039</v>
      </c>
      <c r="D456" t="s">
        <v>1040</v>
      </c>
      <c r="E456" t="s">
        <v>69</v>
      </c>
      <c r="F456" t="s">
        <v>55</v>
      </c>
      <c r="H456" t="str" cm="1">
        <f t="array" ref="H456">_xlfn.TEXTJOIN(", ", TRUE, IF(I456:M456&gt;0, I$1:M$1, ""))</f>
        <v>Tech Infrastructure, Tech Application</v>
      </c>
      <c r="I456">
        <v>3</v>
      </c>
      <c r="J456">
        <v>4</v>
      </c>
      <c r="K456">
        <v>0</v>
      </c>
      <c r="L456">
        <v>0</v>
      </c>
      <c r="M456">
        <v>0</v>
      </c>
      <c r="N456">
        <v>0</v>
      </c>
    </row>
    <row r="457" spans="1:14" x14ac:dyDescent="0.35">
      <c r="A457" t="s">
        <v>6</v>
      </c>
      <c r="B457" t="s">
        <v>1041</v>
      </c>
      <c r="C457" t="s">
        <v>1042</v>
      </c>
      <c r="E457" t="s">
        <v>148</v>
      </c>
      <c r="F457" t="s">
        <v>1043</v>
      </c>
      <c r="H457" t="str" cm="1">
        <f t="array" ref="H457">_xlfn.TEXTJOIN(", ", TRUE, IF(I457:M457&gt;0, I$1:M$1, ""))</f>
        <v>Tech Infrastructure, Tech Application</v>
      </c>
      <c r="I457">
        <v>1</v>
      </c>
      <c r="J457">
        <v>3</v>
      </c>
      <c r="K457">
        <v>0</v>
      </c>
      <c r="L457">
        <v>0</v>
      </c>
      <c r="M457">
        <v>0</v>
      </c>
      <c r="N457">
        <v>0</v>
      </c>
    </row>
    <row r="458" spans="1:14" x14ac:dyDescent="0.35">
      <c r="A458" t="s">
        <v>6</v>
      </c>
      <c r="B458" t="s">
        <v>1044</v>
      </c>
      <c r="C458" t="s">
        <v>1045</v>
      </c>
      <c r="E458" t="s">
        <v>455</v>
      </c>
      <c r="F458" t="s">
        <v>180</v>
      </c>
      <c r="H458" t="str" cm="1">
        <f t="array" ref="H458">_xlfn.TEXTJOIN(", ", TRUE, IF(I458:M458&gt;0, I$1:M$1, ""))</f>
        <v>Tech Application</v>
      </c>
      <c r="I458">
        <v>0</v>
      </c>
      <c r="J458">
        <v>2</v>
      </c>
      <c r="K458">
        <v>0</v>
      </c>
      <c r="L458">
        <v>0</v>
      </c>
      <c r="M458">
        <v>0</v>
      </c>
      <c r="N458">
        <v>1</v>
      </c>
    </row>
    <row r="459" spans="1:14" x14ac:dyDescent="0.35">
      <c r="A459" t="s">
        <v>6</v>
      </c>
      <c r="B459" t="s">
        <v>1046</v>
      </c>
      <c r="D459" t="s">
        <v>1047</v>
      </c>
      <c r="E459" t="s">
        <v>59</v>
      </c>
      <c r="F459" t="s">
        <v>100</v>
      </c>
      <c r="H459" t="str" cm="1">
        <f t="array" ref="H459">_xlfn.TEXTJOIN(", ", TRUE, IF(I459:M459&gt;0, I$1:M$1, ""))</f>
        <v>Tech Application</v>
      </c>
      <c r="I459">
        <v>0</v>
      </c>
      <c r="J459">
        <v>7</v>
      </c>
      <c r="K459">
        <v>0</v>
      </c>
      <c r="L459">
        <v>0</v>
      </c>
      <c r="M459">
        <v>0</v>
      </c>
      <c r="N459">
        <v>1</v>
      </c>
    </row>
    <row r="460" spans="1:14" x14ac:dyDescent="0.35">
      <c r="A460" t="s">
        <v>6</v>
      </c>
      <c r="B460" t="s">
        <v>1048</v>
      </c>
      <c r="D460" t="s">
        <v>1049</v>
      </c>
      <c r="E460" t="s">
        <v>50</v>
      </c>
      <c r="F460" t="s">
        <v>55</v>
      </c>
      <c r="H460" t="str" cm="1">
        <f t="array" ref="H460">_xlfn.TEXTJOIN(", ", TRUE, IF(I460:M460&gt;0, I$1:M$1, ""))</f>
        <v/>
      </c>
      <c r="I460">
        <v>0</v>
      </c>
      <c r="J460">
        <v>0</v>
      </c>
      <c r="K460">
        <v>0</v>
      </c>
      <c r="L460">
        <v>0</v>
      </c>
      <c r="M460">
        <v>0</v>
      </c>
      <c r="N460">
        <v>0</v>
      </c>
    </row>
    <row r="461" spans="1:14" x14ac:dyDescent="0.35">
      <c r="A461" t="s">
        <v>6</v>
      </c>
      <c r="B461" t="s">
        <v>1050</v>
      </c>
      <c r="C461" t="s">
        <v>1051</v>
      </c>
      <c r="E461" t="s">
        <v>438</v>
      </c>
      <c r="F461" t="s">
        <v>55</v>
      </c>
      <c r="H461" t="str" cm="1">
        <f t="array" ref="H461">_xlfn.TEXTJOIN(", ", TRUE, IF(I461:M461&gt;0, I$1:M$1, ""))</f>
        <v>Tech Infrastructure, Tech Application</v>
      </c>
      <c r="I461">
        <v>1</v>
      </c>
      <c r="J461">
        <v>1</v>
      </c>
      <c r="K461">
        <v>0</v>
      </c>
      <c r="L461">
        <v>0</v>
      </c>
      <c r="M461">
        <v>0</v>
      </c>
      <c r="N461">
        <v>0</v>
      </c>
    </row>
    <row r="462" spans="1:14" x14ac:dyDescent="0.35">
      <c r="A462" t="s">
        <v>6</v>
      </c>
      <c r="B462" t="s">
        <v>1052</v>
      </c>
      <c r="C462" t="s">
        <v>912</v>
      </c>
      <c r="D462" t="s">
        <v>1053</v>
      </c>
      <c r="E462" t="s">
        <v>59</v>
      </c>
      <c r="F462" t="s">
        <v>155</v>
      </c>
      <c r="H462" t="str" cm="1">
        <f t="array" ref="H462">_xlfn.TEXTJOIN(", ", TRUE, IF(I462:M462&gt;0, I$1:M$1, ""))</f>
        <v>Tech Application</v>
      </c>
      <c r="I462">
        <v>0</v>
      </c>
      <c r="J462">
        <v>4</v>
      </c>
      <c r="K462">
        <v>0</v>
      </c>
      <c r="L462">
        <v>0</v>
      </c>
      <c r="M462">
        <v>0</v>
      </c>
      <c r="N462">
        <v>0</v>
      </c>
    </row>
    <row r="463" spans="1:14" x14ac:dyDescent="0.35">
      <c r="A463" t="s">
        <v>6</v>
      </c>
      <c r="B463" t="s">
        <v>1052</v>
      </c>
      <c r="C463" t="s">
        <v>912</v>
      </c>
      <c r="D463" t="s">
        <v>1053</v>
      </c>
      <c r="E463" t="s">
        <v>59</v>
      </c>
      <c r="F463" t="s">
        <v>189</v>
      </c>
      <c r="H463" t="str" cm="1">
        <f t="array" ref="H463">_xlfn.TEXTJOIN(", ", TRUE, IF(I463:M463&gt;0, I$1:M$1, ""))</f>
        <v>Tech Application</v>
      </c>
      <c r="I463">
        <v>0</v>
      </c>
      <c r="J463">
        <v>4</v>
      </c>
      <c r="K463">
        <v>0</v>
      </c>
      <c r="L463">
        <v>0</v>
      </c>
      <c r="M463">
        <v>0</v>
      </c>
      <c r="N463">
        <v>1</v>
      </c>
    </row>
    <row r="464" spans="1:14" x14ac:dyDescent="0.35">
      <c r="A464" t="s">
        <v>6</v>
      </c>
      <c r="B464" t="s">
        <v>1054</v>
      </c>
      <c r="E464" t="s">
        <v>62</v>
      </c>
      <c r="F464" t="s">
        <v>1055</v>
      </c>
      <c r="H464" t="str" cm="1">
        <f t="array" ref="H464">_xlfn.TEXTJOIN(", ", TRUE, IF(I464:M464&gt;0, I$1:M$1, ""))</f>
        <v>Tech Application</v>
      </c>
      <c r="I464">
        <v>0</v>
      </c>
      <c r="J464">
        <v>1</v>
      </c>
      <c r="K464">
        <v>0</v>
      </c>
      <c r="L464">
        <v>0</v>
      </c>
      <c r="M464">
        <v>0</v>
      </c>
      <c r="N464">
        <v>0</v>
      </c>
    </row>
    <row r="465" spans="1:14" x14ac:dyDescent="0.35">
      <c r="A465" t="s">
        <v>6</v>
      </c>
      <c r="B465" t="s">
        <v>1056</v>
      </c>
      <c r="D465" t="s">
        <v>1057</v>
      </c>
      <c r="E465" t="s">
        <v>66</v>
      </c>
      <c r="F465" t="s">
        <v>1058</v>
      </c>
      <c r="H465" t="str" cm="1">
        <f t="array" ref="H465">_xlfn.TEXTJOIN(", ", TRUE, IF(I465:M465&gt;0, I$1:M$1, ""))</f>
        <v>Legal View</v>
      </c>
      <c r="I465">
        <v>0</v>
      </c>
      <c r="J465">
        <v>0</v>
      </c>
      <c r="K465">
        <v>1</v>
      </c>
      <c r="L465">
        <v>0</v>
      </c>
      <c r="M465">
        <v>0</v>
      </c>
      <c r="N465">
        <v>0</v>
      </c>
    </row>
    <row r="466" spans="1:14" x14ac:dyDescent="0.35">
      <c r="A466" t="s">
        <v>6</v>
      </c>
      <c r="B466" t="s">
        <v>1059</v>
      </c>
      <c r="C466" t="s">
        <v>1059</v>
      </c>
      <c r="E466" t="s">
        <v>1060</v>
      </c>
      <c r="F466" t="s">
        <v>1061</v>
      </c>
      <c r="H466" t="str" cm="1">
        <f t="array" ref="H466">_xlfn.TEXTJOIN(", ", TRUE, IF(I466:M466&gt;0, I$1:M$1, ""))</f>
        <v>Tech Application, Semantic View</v>
      </c>
      <c r="I466">
        <v>0</v>
      </c>
      <c r="J466">
        <v>1</v>
      </c>
      <c r="K466">
        <v>0</v>
      </c>
      <c r="L466">
        <v>0</v>
      </c>
      <c r="M466">
        <v>1</v>
      </c>
      <c r="N466">
        <v>1</v>
      </c>
    </row>
    <row r="467" spans="1:14" x14ac:dyDescent="0.35">
      <c r="A467" t="s">
        <v>6</v>
      </c>
      <c r="B467" t="s">
        <v>1062</v>
      </c>
      <c r="D467" t="s">
        <v>1063</v>
      </c>
      <c r="E467" t="s">
        <v>59</v>
      </c>
      <c r="F467" t="s">
        <v>305</v>
      </c>
      <c r="H467" t="str" cm="1">
        <f t="array" ref="H467">_xlfn.TEXTJOIN(", ", TRUE, IF(I467:M467&gt;0, I$1:M$1, ""))</f>
        <v>Tech Application, Organisational View</v>
      </c>
      <c r="I467">
        <v>0</v>
      </c>
      <c r="J467">
        <v>2</v>
      </c>
      <c r="K467">
        <v>0</v>
      </c>
      <c r="L467">
        <v>2</v>
      </c>
      <c r="M467">
        <v>0</v>
      </c>
      <c r="N467">
        <v>0</v>
      </c>
    </row>
    <row r="468" spans="1:14" x14ac:dyDescent="0.35">
      <c r="A468" t="s">
        <v>6</v>
      </c>
      <c r="B468" t="s">
        <v>1064</v>
      </c>
      <c r="C468" t="s">
        <v>1065</v>
      </c>
      <c r="E468" t="s">
        <v>50</v>
      </c>
      <c r="F468" t="s">
        <v>111</v>
      </c>
      <c r="H468" t="str" cm="1">
        <f t="array" ref="H468">_xlfn.TEXTJOIN(", ", TRUE, IF(I468:M468&gt;0, I$1:M$1, ""))</f>
        <v>Tech Application</v>
      </c>
      <c r="I468">
        <v>0</v>
      </c>
      <c r="J468">
        <v>2</v>
      </c>
      <c r="K468">
        <v>0</v>
      </c>
      <c r="L468">
        <v>0</v>
      </c>
      <c r="M468">
        <v>0</v>
      </c>
      <c r="N468">
        <v>0</v>
      </c>
    </row>
    <row r="469" spans="1:14" x14ac:dyDescent="0.35">
      <c r="A469" t="s">
        <v>6</v>
      </c>
      <c r="B469" t="s">
        <v>1066</v>
      </c>
      <c r="E469" t="s">
        <v>1067</v>
      </c>
      <c r="F469" t="s">
        <v>55</v>
      </c>
      <c r="H469" t="str" cm="1">
        <f t="array" ref="H469">_xlfn.TEXTJOIN(", ", TRUE, IF(I469:M469&gt;0, I$1:M$1, ""))</f>
        <v>Tech Application</v>
      </c>
      <c r="I469">
        <v>0</v>
      </c>
      <c r="J469">
        <v>4</v>
      </c>
      <c r="K469">
        <v>0</v>
      </c>
      <c r="L469">
        <v>0</v>
      </c>
      <c r="M469">
        <v>0</v>
      </c>
      <c r="N469">
        <v>0</v>
      </c>
    </row>
    <row r="470" spans="1:14" x14ac:dyDescent="0.35">
      <c r="A470" t="s">
        <v>6</v>
      </c>
      <c r="B470" t="s">
        <v>1068</v>
      </c>
      <c r="D470" t="s">
        <v>1069</v>
      </c>
      <c r="E470" t="s">
        <v>230</v>
      </c>
      <c r="F470" t="s">
        <v>55</v>
      </c>
      <c r="H470" t="str" cm="1">
        <f t="array" ref="H470">_xlfn.TEXTJOIN(", ", TRUE, IF(I470:M470&gt;0, I$1:M$1, ""))</f>
        <v>Tech Infrastructure, Tech Application</v>
      </c>
      <c r="I470">
        <v>1</v>
      </c>
      <c r="J470">
        <v>1</v>
      </c>
      <c r="K470">
        <v>0</v>
      </c>
      <c r="L470">
        <v>0</v>
      </c>
      <c r="M470">
        <v>0</v>
      </c>
      <c r="N470">
        <v>0</v>
      </c>
    </row>
    <row r="471" spans="1:14" x14ac:dyDescent="0.35">
      <c r="A471" t="s">
        <v>6</v>
      </c>
      <c r="B471" t="s">
        <v>1070</v>
      </c>
      <c r="C471" t="s">
        <v>1070</v>
      </c>
      <c r="E471" t="s">
        <v>86</v>
      </c>
      <c r="F471" t="s">
        <v>92</v>
      </c>
      <c r="H471" t="str" cm="1">
        <f t="array" ref="H471">_xlfn.TEXTJOIN(", ", TRUE, IF(I471:M471&gt;0, I$1:M$1, ""))</f>
        <v>Tech Application, Semantic View</v>
      </c>
      <c r="I471">
        <v>0</v>
      </c>
      <c r="J471">
        <v>1</v>
      </c>
      <c r="K471">
        <v>0</v>
      </c>
      <c r="L471">
        <v>0</v>
      </c>
      <c r="M471">
        <v>1</v>
      </c>
      <c r="N471">
        <v>0</v>
      </c>
    </row>
    <row r="472" spans="1:14" x14ac:dyDescent="0.35">
      <c r="A472" t="s">
        <v>6</v>
      </c>
      <c r="B472" t="s">
        <v>1071</v>
      </c>
      <c r="E472" t="s">
        <v>69</v>
      </c>
      <c r="F472" t="s">
        <v>1072</v>
      </c>
      <c r="H472" t="str" cm="1">
        <f t="array" ref="H472">_xlfn.TEXTJOIN(", ", TRUE, IF(I472:M472&gt;0, I$1:M$1, ""))</f>
        <v>Tech Application</v>
      </c>
      <c r="I472">
        <v>0</v>
      </c>
      <c r="J472">
        <v>4</v>
      </c>
      <c r="K472">
        <v>0</v>
      </c>
      <c r="L472">
        <v>0</v>
      </c>
      <c r="M472">
        <v>0</v>
      </c>
      <c r="N472">
        <v>0</v>
      </c>
    </row>
    <row r="473" spans="1:14" x14ac:dyDescent="0.35">
      <c r="A473" t="s">
        <v>6</v>
      </c>
      <c r="B473" t="s">
        <v>1073</v>
      </c>
      <c r="C473" t="s">
        <v>546</v>
      </c>
      <c r="E473" t="s">
        <v>121</v>
      </c>
      <c r="F473" t="s">
        <v>51</v>
      </c>
      <c r="H473" t="str" cm="1">
        <f t="array" ref="H473">_xlfn.TEXTJOIN(", ", TRUE, IF(I473:M473&gt;0, I$1:M$1, ""))</f>
        <v>Tech Application, Semantic View</v>
      </c>
      <c r="I473">
        <v>0</v>
      </c>
      <c r="J473">
        <v>4</v>
      </c>
      <c r="K473">
        <v>0</v>
      </c>
      <c r="L473">
        <v>0</v>
      </c>
      <c r="M473">
        <v>8</v>
      </c>
      <c r="N473">
        <v>2</v>
      </c>
    </row>
    <row r="474" spans="1:14" x14ac:dyDescent="0.35">
      <c r="A474" t="s">
        <v>6</v>
      </c>
      <c r="B474" t="s">
        <v>1074</v>
      </c>
      <c r="E474" t="s">
        <v>1074</v>
      </c>
      <c r="F474" t="s">
        <v>55</v>
      </c>
      <c r="H474" t="str" cm="1">
        <f t="array" ref="H474">_xlfn.TEXTJOIN(", ", TRUE, IF(I474:M474&gt;0, I$1:M$1, ""))</f>
        <v>Tech Application</v>
      </c>
      <c r="I474">
        <v>0</v>
      </c>
      <c r="J474">
        <v>2</v>
      </c>
      <c r="K474">
        <v>0</v>
      </c>
      <c r="L474">
        <v>0</v>
      </c>
      <c r="M474">
        <v>0</v>
      </c>
      <c r="N474">
        <v>0</v>
      </c>
    </row>
    <row r="475" spans="1:14" x14ac:dyDescent="0.35">
      <c r="A475" t="s">
        <v>6</v>
      </c>
      <c r="B475" t="s">
        <v>1075</v>
      </c>
      <c r="C475" t="s">
        <v>1076</v>
      </c>
      <c r="D475" t="s">
        <v>1077</v>
      </c>
      <c r="E475" t="s">
        <v>50</v>
      </c>
      <c r="F475" t="s">
        <v>55</v>
      </c>
      <c r="H475" t="str" cm="1">
        <f t="array" ref="H475">_xlfn.TEXTJOIN(", ", TRUE, IF(I475:M475&gt;0, I$1:M$1, ""))</f>
        <v>Semantic View</v>
      </c>
      <c r="I475">
        <v>0</v>
      </c>
      <c r="J475">
        <v>0</v>
      </c>
      <c r="K475">
        <v>0</v>
      </c>
      <c r="L475">
        <v>0</v>
      </c>
      <c r="M475">
        <v>1</v>
      </c>
      <c r="N475">
        <v>0</v>
      </c>
    </row>
    <row r="476" spans="1:14" x14ac:dyDescent="0.35">
      <c r="A476" t="s">
        <v>6</v>
      </c>
      <c r="B476" t="s">
        <v>1078</v>
      </c>
      <c r="D476" t="s">
        <v>1079</v>
      </c>
      <c r="E476" t="s">
        <v>50</v>
      </c>
      <c r="F476" t="s">
        <v>55</v>
      </c>
      <c r="H476" t="str" cm="1">
        <f t="array" ref="H476">_xlfn.TEXTJOIN(", ", TRUE, IF(I476:M476&gt;0, I$1:M$1, ""))</f>
        <v>Tech Application</v>
      </c>
      <c r="I476">
        <v>0</v>
      </c>
      <c r="J476">
        <v>4</v>
      </c>
      <c r="K476">
        <v>0</v>
      </c>
      <c r="L476">
        <v>0</v>
      </c>
      <c r="M476">
        <v>0</v>
      </c>
      <c r="N476">
        <v>0</v>
      </c>
    </row>
    <row r="477" spans="1:14" x14ac:dyDescent="0.35">
      <c r="A477" t="s">
        <v>6</v>
      </c>
      <c r="B477" t="s">
        <v>1080</v>
      </c>
      <c r="D477" t="s">
        <v>1081</v>
      </c>
      <c r="E477" t="s">
        <v>69</v>
      </c>
      <c r="F477" t="s">
        <v>55</v>
      </c>
      <c r="H477" t="str" cm="1">
        <f t="array" ref="H477">_xlfn.TEXTJOIN(", ", TRUE, IF(I477:M477&gt;0, I$1:M$1, ""))</f>
        <v>Tech Application, Semantic View</v>
      </c>
      <c r="I477">
        <v>0</v>
      </c>
      <c r="J477">
        <v>2</v>
      </c>
      <c r="K477">
        <v>0</v>
      </c>
      <c r="L477">
        <v>0</v>
      </c>
      <c r="M477">
        <v>2</v>
      </c>
      <c r="N477">
        <v>0</v>
      </c>
    </row>
    <row r="478" spans="1:14" x14ac:dyDescent="0.35">
      <c r="A478" t="s">
        <v>6</v>
      </c>
      <c r="B478" t="s">
        <v>1082</v>
      </c>
      <c r="C478" t="s">
        <v>1083</v>
      </c>
      <c r="D478" t="s">
        <v>1084</v>
      </c>
      <c r="E478" t="s">
        <v>50</v>
      </c>
      <c r="F478" t="s">
        <v>1085</v>
      </c>
      <c r="H478" t="str" cm="1">
        <f t="array" ref="H478">_xlfn.TEXTJOIN(", ", TRUE, IF(I478:M478&gt;0, I$1:M$1, ""))</f>
        <v>Tech Application</v>
      </c>
      <c r="I478">
        <v>0</v>
      </c>
      <c r="J478">
        <v>2</v>
      </c>
      <c r="K478">
        <v>0</v>
      </c>
      <c r="L478">
        <v>0</v>
      </c>
      <c r="M478">
        <v>0</v>
      </c>
      <c r="N478">
        <v>2</v>
      </c>
    </row>
    <row r="479" spans="1:14" x14ac:dyDescent="0.35">
      <c r="A479" t="s">
        <v>6</v>
      </c>
      <c r="B479" t="s">
        <v>1086</v>
      </c>
      <c r="C479" t="s">
        <v>1086</v>
      </c>
      <c r="E479" t="s">
        <v>66</v>
      </c>
      <c r="F479" t="s">
        <v>55</v>
      </c>
      <c r="H479" t="str" cm="1">
        <f t="array" ref="H479">_xlfn.TEXTJOIN(", ", TRUE, IF(I479:M479&gt;0, I$1:M$1, ""))</f>
        <v/>
      </c>
      <c r="I479">
        <v>0</v>
      </c>
      <c r="J479">
        <v>0</v>
      </c>
      <c r="K479">
        <v>0</v>
      </c>
      <c r="L479">
        <v>0</v>
      </c>
      <c r="M479">
        <v>0</v>
      </c>
      <c r="N479">
        <v>0</v>
      </c>
    </row>
    <row r="480" spans="1:14" x14ac:dyDescent="0.35">
      <c r="A480" t="s">
        <v>6</v>
      </c>
      <c r="B480" t="s">
        <v>1087</v>
      </c>
      <c r="C480" t="s">
        <v>1088</v>
      </c>
      <c r="E480" t="s">
        <v>121</v>
      </c>
      <c r="F480" t="s">
        <v>55</v>
      </c>
      <c r="H480" t="str" cm="1">
        <f t="array" ref="H480">_xlfn.TEXTJOIN(", ", TRUE, IF(I480:M480&gt;0, I$1:M$1, ""))</f>
        <v>Semantic View</v>
      </c>
      <c r="I480">
        <v>0</v>
      </c>
      <c r="J480">
        <v>0</v>
      </c>
      <c r="K480">
        <v>0</v>
      </c>
      <c r="L480">
        <v>0</v>
      </c>
      <c r="M480">
        <v>1</v>
      </c>
      <c r="N480">
        <v>0</v>
      </c>
    </row>
    <row r="481" spans="1:14" x14ac:dyDescent="0.35">
      <c r="A481" t="s">
        <v>6</v>
      </c>
      <c r="B481" t="s">
        <v>1089</v>
      </c>
      <c r="E481" t="s">
        <v>592</v>
      </c>
      <c r="F481" t="s">
        <v>92</v>
      </c>
      <c r="H481" t="str" cm="1">
        <f t="array" ref="H481">_xlfn.TEXTJOIN(", ", TRUE, IF(I481:M481&gt;0, I$1:M$1, ""))</f>
        <v>Tech Application</v>
      </c>
      <c r="I481">
        <v>0</v>
      </c>
      <c r="J481">
        <v>3</v>
      </c>
      <c r="K481">
        <v>0</v>
      </c>
      <c r="L481">
        <v>0</v>
      </c>
      <c r="M481">
        <v>0</v>
      </c>
      <c r="N481">
        <v>0</v>
      </c>
    </row>
    <row r="482" spans="1:14" x14ac:dyDescent="0.35">
      <c r="A482" t="s">
        <v>6</v>
      </c>
      <c r="B482" t="s">
        <v>1090</v>
      </c>
      <c r="C482" t="s">
        <v>73</v>
      </c>
      <c r="E482" t="s">
        <v>50</v>
      </c>
      <c r="F482" t="s">
        <v>152</v>
      </c>
      <c r="H482" t="str" cm="1">
        <f t="array" ref="H482">_xlfn.TEXTJOIN(", ", TRUE, IF(I482:M482&gt;0, I$1:M$1, ""))</f>
        <v/>
      </c>
      <c r="I482">
        <v>0</v>
      </c>
      <c r="J482">
        <v>0</v>
      </c>
      <c r="K482">
        <v>0</v>
      </c>
      <c r="L482">
        <v>0</v>
      </c>
      <c r="M482">
        <v>0</v>
      </c>
      <c r="N482">
        <v>0</v>
      </c>
    </row>
    <row r="483" spans="1:14" x14ac:dyDescent="0.35">
      <c r="A483" t="s">
        <v>6</v>
      </c>
      <c r="B483" t="s">
        <v>1091</v>
      </c>
      <c r="E483" t="s">
        <v>1092</v>
      </c>
      <c r="F483" t="s">
        <v>1093</v>
      </c>
      <c r="H483" t="str" cm="1">
        <f t="array" ref="H483">_xlfn.TEXTJOIN(", ", TRUE, IF(I483:M483&gt;0, I$1:M$1, ""))</f>
        <v>Semantic View</v>
      </c>
      <c r="I483">
        <v>0</v>
      </c>
      <c r="J483">
        <v>0</v>
      </c>
      <c r="K483">
        <v>0</v>
      </c>
      <c r="L483">
        <v>0</v>
      </c>
      <c r="M483">
        <v>6</v>
      </c>
      <c r="N483">
        <v>1</v>
      </c>
    </row>
    <row r="484" spans="1:14" x14ac:dyDescent="0.35">
      <c r="A484" t="s">
        <v>6</v>
      </c>
      <c r="B484" t="s">
        <v>1094</v>
      </c>
      <c r="C484" t="s">
        <v>1095</v>
      </c>
      <c r="E484" t="s">
        <v>99</v>
      </c>
      <c r="F484" t="s">
        <v>152</v>
      </c>
      <c r="H484" t="str" cm="1">
        <f t="array" ref="H484">_xlfn.TEXTJOIN(", ", TRUE, IF(I484:M484&gt;0, I$1:M$1, ""))</f>
        <v>Tech Infrastructure, Tech Application</v>
      </c>
      <c r="I484">
        <v>1</v>
      </c>
      <c r="J484">
        <v>2</v>
      </c>
      <c r="K484">
        <v>0</v>
      </c>
      <c r="L484">
        <v>0</v>
      </c>
      <c r="M484">
        <v>0</v>
      </c>
      <c r="N484">
        <v>0</v>
      </c>
    </row>
    <row r="485" spans="1:14" x14ac:dyDescent="0.35">
      <c r="A485" t="s">
        <v>6</v>
      </c>
      <c r="B485" t="s">
        <v>1096</v>
      </c>
      <c r="C485" t="s">
        <v>1097</v>
      </c>
      <c r="E485" t="s">
        <v>96</v>
      </c>
      <c r="F485" t="s">
        <v>97</v>
      </c>
      <c r="H485" t="str" cm="1">
        <f t="array" ref="H485">_xlfn.TEXTJOIN(", ", TRUE, IF(I485:M485&gt;0, I$1:M$1, ""))</f>
        <v>Tech Infrastructure</v>
      </c>
      <c r="I485">
        <v>1</v>
      </c>
      <c r="J485">
        <v>0</v>
      </c>
      <c r="K485">
        <v>0</v>
      </c>
      <c r="L485">
        <v>0</v>
      </c>
      <c r="M485">
        <v>0</v>
      </c>
      <c r="N485">
        <v>0</v>
      </c>
    </row>
    <row r="486" spans="1:14" x14ac:dyDescent="0.35">
      <c r="A486" t="s">
        <v>6</v>
      </c>
      <c r="B486" t="s">
        <v>983</v>
      </c>
      <c r="E486" t="s">
        <v>62</v>
      </c>
      <c r="F486" t="s">
        <v>92</v>
      </c>
      <c r="H486" t="str" cm="1">
        <f t="array" ref="H486">_xlfn.TEXTJOIN(", ", TRUE, IF(I486:M486&gt;0, I$1:M$1, ""))</f>
        <v>Tech Application, Semantic View</v>
      </c>
      <c r="I486">
        <v>0</v>
      </c>
      <c r="J486">
        <v>4</v>
      </c>
      <c r="K486">
        <v>0</v>
      </c>
      <c r="L486">
        <v>0</v>
      </c>
      <c r="M486">
        <v>11</v>
      </c>
      <c r="N486">
        <v>0</v>
      </c>
    </row>
    <row r="487" spans="1:14" x14ac:dyDescent="0.35">
      <c r="A487" t="s">
        <v>6</v>
      </c>
      <c r="B487" t="s">
        <v>1098</v>
      </c>
      <c r="C487" t="s">
        <v>1098</v>
      </c>
      <c r="E487" t="s">
        <v>62</v>
      </c>
      <c r="F487" t="s">
        <v>180</v>
      </c>
      <c r="H487" t="str" cm="1">
        <f t="array" ref="H487">_xlfn.TEXTJOIN(", ", TRUE, IF(I487:M487&gt;0, I$1:M$1, ""))</f>
        <v>Semantic View</v>
      </c>
      <c r="I487">
        <v>0</v>
      </c>
      <c r="J487">
        <v>0</v>
      </c>
      <c r="K487">
        <v>0</v>
      </c>
      <c r="L487">
        <v>0</v>
      </c>
      <c r="M487">
        <v>2</v>
      </c>
      <c r="N487">
        <v>0</v>
      </c>
    </row>
    <row r="488" spans="1:14" x14ac:dyDescent="0.35">
      <c r="A488" t="s">
        <v>6</v>
      </c>
      <c r="B488" t="s">
        <v>1099</v>
      </c>
      <c r="D488" t="s">
        <v>1100</v>
      </c>
      <c r="E488" t="s">
        <v>69</v>
      </c>
      <c r="F488" t="s">
        <v>55</v>
      </c>
      <c r="H488" t="str" cm="1">
        <f t="array" ref="H488">_xlfn.TEXTJOIN(", ", TRUE, IF(I488:M488&gt;0, I$1:M$1, ""))</f>
        <v>Tech Infrastructure</v>
      </c>
      <c r="I488">
        <v>1</v>
      </c>
      <c r="J488">
        <v>0</v>
      </c>
      <c r="K488">
        <v>0</v>
      </c>
      <c r="L488">
        <v>0</v>
      </c>
      <c r="M488">
        <v>0</v>
      </c>
      <c r="N488">
        <v>0</v>
      </c>
    </row>
    <row r="489" spans="1:14" x14ac:dyDescent="0.35">
      <c r="A489" t="s">
        <v>6</v>
      </c>
      <c r="B489" t="s">
        <v>1101</v>
      </c>
      <c r="E489" t="s">
        <v>1102</v>
      </c>
      <c r="F489" t="s">
        <v>55</v>
      </c>
      <c r="H489" t="str" cm="1">
        <f t="array" ref="H489">_xlfn.TEXTJOIN(", ", TRUE, IF(I489:M489&gt;0, I$1:M$1, ""))</f>
        <v>Tech Application, Organisational View</v>
      </c>
      <c r="I489">
        <v>0</v>
      </c>
      <c r="J489">
        <v>1</v>
      </c>
      <c r="K489">
        <v>0</v>
      </c>
      <c r="L489">
        <v>1</v>
      </c>
      <c r="M489">
        <v>0</v>
      </c>
      <c r="N489">
        <v>0</v>
      </c>
    </row>
    <row r="490" spans="1:14" x14ac:dyDescent="0.35">
      <c r="A490" t="s">
        <v>6</v>
      </c>
      <c r="B490" t="s">
        <v>1103</v>
      </c>
      <c r="E490" t="s">
        <v>1104</v>
      </c>
      <c r="F490" t="s">
        <v>1105</v>
      </c>
      <c r="H490" t="str" cm="1">
        <f t="array" ref="H490">_xlfn.TEXTJOIN(", ", TRUE, IF(I490:M490&gt;0, I$1:M$1, ""))</f>
        <v>Tech Application</v>
      </c>
      <c r="I490">
        <v>0</v>
      </c>
      <c r="J490">
        <v>4</v>
      </c>
      <c r="K490">
        <v>0</v>
      </c>
      <c r="L490">
        <v>0</v>
      </c>
      <c r="M490">
        <v>0</v>
      </c>
      <c r="N490">
        <v>0</v>
      </c>
    </row>
    <row r="491" spans="1:14" x14ac:dyDescent="0.35">
      <c r="A491" t="s">
        <v>6</v>
      </c>
      <c r="B491" t="s">
        <v>1106</v>
      </c>
      <c r="C491" t="s">
        <v>1107</v>
      </c>
      <c r="E491" t="s">
        <v>864</v>
      </c>
      <c r="F491" t="s">
        <v>51</v>
      </c>
      <c r="H491" t="str" cm="1">
        <f t="array" ref="H491">_xlfn.TEXTJOIN(", ", TRUE, IF(I491:M491&gt;0, I$1:M$1, ""))</f>
        <v>Semantic View</v>
      </c>
      <c r="I491">
        <v>0</v>
      </c>
      <c r="J491">
        <v>0</v>
      </c>
      <c r="K491">
        <v>0</v>
      </c>
      <c r="L491">
        <v>0</v>
      </c>
      <c r="M491">
        <v>9</v>
      </c>
      <c r="N491">
        <v>0</v>
      </c>
    </row>
    <row r="492" spans="1:14" x14ac:dyDescent="0.35">
      <c r="A492" t="s">
        <v>6</v>
      </c>
      <c r="B492" t="s">
        <v>1108</v>
      </c>
      <c r="E492" t="s">
        <v>62</v>
      </c>
      <c r="F492" t="s">
        <v>152</v>
      </c>
      <c r="H492" t="str" cm="1">
        <f t="array" ref="H492">_xlfn.TEXTJOIN(", ", TRUE, IF(I492:M492&gt;0, I$1:M$1, ""))</f>
        <v>Tech Application</v>
      </c>
      <c r="I492">
        <v>0</v>
      </c>
      <c r="J492">
        <v>2</v>
      </c>
      <c r="K492">
        <v>0</v>
      </c>
      <c r="L492">
        <v>0</v>
      </c>
      <c r="M492">
        <v>0</v>
      </c>
      <c r="N492">
        <v>0</v>
      </c>
    </row>
    <row r="493" spans="1:14" x14ac:dyDescent="0.35">
      <c r="A493" t="s">
        <v>6</v>
      </c>
      <c r="B493" t="s">
        <v>1109</v>
      </c>
      <c r="E493" t="s">
        <v>59</v>
      </c>
      <c r="F493" t="s">
        <v>100</v>
      </c>
      <c r="H493" t="str" cm="1">
        <f t="array" ref="H493">_xlfn.TEXTJOIN(", ", TRUE, IF(I493:M493&gt;0, I$1:M$1, ""))</f>
        <v/>
      </c>
      <c r="I493">
        <v>0</v>
      </c>
      <c r="J493">
        <v>0</v>
      </c>
      <c r="K493">
        <v>0</v>
      </c>
      <c r="L493">
        <v>0</v>
      </c>
      <c r="M493">
        <v>0</v>
      </c>
      <c r="N493">
        <v>0</v>
      </c>
    </row>
    <row r="494" spans="1:14" x14ac:dyDescent="0.35">
      <c r="A494" t="s">
        <v>6</v>
      </c>
      <c r="B494" t="s">
        <v>1110</v>
      </c>
      <c r="C494" t="s">
        <v>1111</v>
      </c>
      <c r="E494" t="s">
        <v>864</v>
      </c>
      <c r="F494" t="s">
        <v>92</v>
      </c>
      <c r="H494" t="str" cm="1">
        <f t="array" ref="H494">_xlfn.TEXTJOIN(", ", TRUE, IF(I494:M494&gt;0, I$1:M$1, ""))</f>
        <v>Semantic View</v>
      </c>
      <c r="I494">
        <v>0</v>
      </c>
      <c r="J494">
        <v>0</v>
      </c>
      <c r="K494">
        <v>0</v>
      </c>
      <c r="L494">
        <v>0</v>
      </c>
      <c r="M494">
        <v>3</v>
      </c>
      <c r="N494">
        <v>0</v>
      </c>
    </row>
    <row r="495" spans="1:14" x14ac:dyDescent="0.35">
      <c r="A495" t="s">
        <v>6</v>
      </c>
      <c r="B495" t="s">
        <v>1112</v>
      </c>
      <c r="E495" t="s">
        <v>66</v>
      </c>
      <c r="F495" t="s">
        <v>55</v>
      </c>
      <c r="H495" t="str" cm="1">
        <f t="array" ref="H495">_xlfn.TEXTJOIN(", ", TRUE, IF(I495:M495&gt;0, I$1:M$1, ""))</f>
        <v>Semantic View</v>
      </c>
      <c r="I495">
        <v>0</v>
      </c>
      <c r="J495">
        <v>0</v>
      </c>
      <c r="K495">
        <v>0</v>
      </c>
      <c r="L495">
        <v>0</v>
      </c>
      <c r="M495">
        <v>2</v>
      </c>
      <c r="N495">
        <v>0</v>
      </c>
    </row>
    <row r="496" spans="1:14" x14ac:dyDescent="0.35">
      <c r="A496" t="s">
        <v>6</v>
      </c>
      <c r="B496" t="s">
        <v>1113</v>
      </c>
      <c r="C496" t="s">
        <v>1114</v>
      </c>
      <c r="D496" t="s">
        <v>1115</v>
      </c>
      <c r="E496" t="s">
        <v>230</v>
      </c>
      <c r="F496" t="s">
        <v>55</v>
      </c>
      <c r="H496" t="str" cm="1">
        <f t="array" ref="H496">_xlfn.TEXTJOIN(", ", TRUE, IF(I496:M496&gt;0, I$1:M$1, ""))</f>
        <v/>
      </c>
      <c r="I496">
        <v>0</v>
      </c>
      <c r="J496">
        <v>0</v>
      </c>
      <c r="K496">
        <v>0</v>
      </c>
      <c r="L496">
        <v>0</v>
      </c>
      <c r="M496">
        <v>0</v>
      </c>
      <c r="N496">
        <v>0</v>
      </c>
    </row>
    <row r="497" spans="1:14" x14ac:dyDescent="0.35">
      <c r="A497" t="s">
        <v>6</v>
      </c>
      <c r="B497" t="s">
        <v>1116</v>
      </c>
      <c r="C497" t="s">
        <v>1117</v>
      </c>
      <c r="E497" t="s">
        <v>96</v>
      </c>
      <c r="F497" t="s">
        <v>152</v>
      </c>
      <c r="H497" t="str" cm="1">
        <f t="array" ref="H497">_xlfn.TEXTJOIN(", ", TRUE, IF(I497:M497&gt;0, I$1:M$1, ""))</f>
        <v>Tech Application, Organisational View</v>
      </c>
      <c r="I497">
        <v>0</v>
      </c>
      <c r="J497">
        <v>2</v>
      </c>
      <c r="K497">
        <v>0</v>
      </c>
      <c r="L497">
        <v>1</v>
      </c>
      <c r="M497">
        <v>0</v>
      </c>
      <c r="N497">
        <v>0</v>
      </c>
    </row>
    <row r="498" spans="1:14" x14ac:dyDescent="0.35">
      <c r="A498" t="s">
        <v>6</v>
      </c>
      <c r="B498" t="s">
        <v>1118</v>
      </c>
      <c r="C498" t="s">
        <v>1119</v>
      </c>
      <c r="D498" t="s">
        <v>1120</v>
      </c>
      <c r="E498" t="s">
        <v>230</v>
      </c>
      <c r="F498" t="s">
        <v>55</v>
      </c>
      <c r="H498" t="str" cm="1">
        <f t="array" ref="H498">_xlfn.TEXTJOIN(", ", TRUE, IF(I498:M498&gt;0, I$1:M$1, ""))</f>
        <v/>
      </c>
      <c r="I498">
        <v>0</v>
      </c>
      <c r="J498">
        <v>0</v>
      </c>
      <c r="K498">
        <v>0</v>
      </c>
      <c r="L498">
        <v>0</v>
      </c>
      <c r="M498">
        <v>0</v>
      </c>
      <c r="N498">
        <v>0</v>
      </c>
    </row>
    <row r="499" spans="1:14" x14ac:dyDescent="0.35">
      <c r="A499" t="s">
        <v>6</v>
      </c>
      <c r="B499" t="s">
        <v>1121</v>
      </c>
      <c r="C499" t="s">
        <v>1122</v>
      </c>
      <c r="D499" t="s">
        <v>1123</v>
      </c>
      <c r="E499" t="s">
        <v>50</v>
      </c>
      <c r="F499" t="s">
        <v>554</v>
      </c>
      <c r="H499" t="str" cm="1">
        <f t="array" ref="H499">_xlfn.TEXTJOIN(", ", TRUE, IF(I499:M499&gt;0, I$1:M$1, ""))</f>
        <v>Tech Application</v>
      </c>
      <c r="I499">
        <v>0</v>
      </c>
      <c r="J499">
        <v>2</v>
      </c>
      <c r="K499">
        <v>0</v>
      </c>
      <c r="L499">
        <v>0</v>
      </c>
      <c r="M499">
        <v>0</v>
      </c>
      <c r="N499">
        <v>2</v>
      </c>
    </row>
    <row r="500" spans="1:14" x14ac:dyDescent="0.35">
      <c r="A500" t="s">
        <v>6</v>
      </c>
      <c r="B500" t="s">
        <v>1124</v>
      </c>
      <c r="E500" t="s">
        <v>99</v>
      </c>
      <c r="F500" t="s">
        <v>55</v>
      </c>
      <c r="H500" t="str" cm="1">
        <f t="array" ref="H500">_xlfn.TEXTJOIN(", ", TRUE, IF(I500:M500&gt;0, I$1:M$1, ""))</f>
        <v>Tech Infrastructure</v>
      </c>
      <c r="I500">
        <v>2</v>
      </c>
      <c r="J500">
        <v>0</v>
      </c>
      <c r="K500">
        <v>0</v>
      </c>
      <c r="L500">
        <v>0</v>
      </c>
      <c r="M500">
        <v>0</v>
      </c>
      <c r="N500">
        <v>0</v>
      </c>
    </row>
    <row r="501" spans="1:14" x14ac:dyDescent="0.35">
      <c r="A501" t="s">
        <v>6</v>
      </c>
      <c r="B501" t="s">
        <v>1125</v>
      </c>
      <c r="D501" t="s">
        <v>1126</v>
      </c>
      <c r="E501" t="s">
        <v>59</v>
      </c>
      <c r="F501" t="s">
        <v>100</v>
      </c>
      <c r="H501" t="str" cm="1">
        <f t="array" ref="H501">_xlfn.TEXTJOIN(", ", TRUE, IF(I501:M501&gt;0, I$1:M$1, ""))</f>
        <v>Tech Application</v>
      </c>
      <c r="I501">
        <v>0</v>
      </c>
      <c r="J501">
        <v>2</v>
      </c>
      <c r="K501">
        <v>0</v>
      </c>
      <c r="L501">
        <v>0</v>
      </c>
      <c r="M501">
        <v>0</v>
      </c>
      <c r="N501">
        <v>0</v>
      </c>
    </row>
    <row r="502" spans="1:14" x14ac:dyDescent="0.35">
      <c r="A502" t="s">
        <v>6</v>
      </c>
      <c r="B502" t="s">
        <v>1127</v>
      </c>
      <c r="C502" t="s">
        <v>930</v>
      </c>
      <c r="E502" t="s">
        <v>733</v>
      </c>
      <c r="F502" t="s">
        <v>74</v>
      </c>
      <c r="H502" t="str" cm="1">
        <f t="array" ref="H502">_xlfn.TEXTJOIN(", ", TRUE, IF(I502:M502&gt;0, I$1:M$1, ""))</f>
        <v>Tech Application</v>
      </c>
      <c r="I502">
        <v>0</v>
      </c>
      <c r="J502">
        <v>2</v>
      </c>
      <c r="K502">
        <v>0</v>
      </c>
      <c r="L502">
        <v>0</v>
      </c>
      <c r="M502">
        <v>0</v>
      </c>
      <c r="N502">
        <v>0</v>
      </c>
    </row>
    <row r="503" spans="1:14" x14ac:dyDescent="0.35">
      <c r="A503" t="s">
        <v>6</v>
      </c>
      <c r="B503" t="s">
        <v>1128</v>
      </c>
      <c r="D503" t="s">
        <v>1129</v>
      </c>
      <c r="E503" t="s">
        <v>69</v>
      </c>
      <c r="F503" t="s">
        <v>55</v>
      </c>
      <c r="H503" t="str" cm="1">
        <f t="array" ref="H503">_xlfn.TEXTJOIN(", ", TRUE, IF(I503:M503&gt;0, I$1:M$1, ""))</f>
        <v>Tech Application</v>
      </c>
      <c r="I503">
        <v>0</v>
      </c>
      <c r="J503">
        <v>2</v>
      </c>
      <c r="K503">
        <v>0</v>
      </c>
      <c r="L503">
        <v>0</v>
      </c>
      <c r="M503">
        <v>0</v>
      </c>
      <c r="N503">
        <v>0</v>
      </c>
    </row>
    <row r="504" spans="1:14" x14ac:dyDescent="0.35">
      <c r="A504" t="s">
        <v>6</v>
      </c>
      <c r="B504" t="s">
        <v>1130</v>
      </c>
      <c r="C504" t="s">
        <v>1131</v>
      </c>
      <c r="D504" t="s">
        <v>1132</v>
      </c>
      <c r="E504" t="s">
        <v>59</v>
      </c>
      <c r="F504" t="s">
        <v>100</v>
      </c>
      <c r="H504" t="str" cm="1">
        <f t="array" ref="H504">_xlfn.TEXTJOIN(", ", TRUE, IF(I504:M504&gt;0, I$1:M$1, ""))</f>
        <v>Tech Application</v>
      </c>
      <c r="I504">
        <v>0</v>
      </c>
      <c r="J504">
        <v>2</v>
      </c>
      <c r="K504">
        <v>0</v>
      </c>
      <c r="L504">
        <v>0</v>
      </c>
      <c r="M504">
        <v>0</v>
      </c>
      <c r="N504">
        <v>0</v>
      </c>
    </row>
    <row r="505" spans="1:14" x14ac:dyDescent="0.35">
      <c r="A505" t="s">
        <v>6</v>
      </c>
      <c r="B505" t="s">
        <v>1133</v>
      </c>
      <c r="D505" t="s">
        <v>1134</v>
      </c>
      <c r="E505" t="s">
        <v>50</v>
      </c>
      <c r="F505" t="s">
        <v>330</v>
      </c>
      <c r="H505" t="str" cm="1">
        <f t="array" ref="H505">_xlfn.TEXTJOIN(", ", TRUE, IF(I505:M505&gt;0, I$1:M$1, ""))</f>
        <v>Tech Infrastructure</v>
      </c>
      <c r="I505">
        <v>1</v>
      </c>
      <c r="J505">
        <v>0</v>
      </c>
      <c r="K505">
        <v>0</v>
      </c>
      <c r="L505">
        <v>0</v>
      </c>
      <c r="M505">
        <v>0</v>
      </c>
      <c r="N505">
        <v>0</v>
      </c>
    </row>
    <row r="506" spans="1:14" x14ac:dyDescent="0.35">
      <c r="A506" t="s">
        <v>6</v>
      </c>
      <c r="B506" t="s">
        <v>1135</v>
      </c>
      <c r="C506" t="s">
        <v>1136</v>
      </c>
      <c r="E506" t="s">
        <v>920</v>
      </c>
      <c r="F506" t="s">
        <v>55</v>
      </c>
      <c r="H506" t="str" cm="1">
        <f t="array" ref="H506">_xlfn.TEXTJOIN(", ", TRUE, IF(I506:M506&gt;0, I$1:M$1, ""))</f>
        <v>Semantic View</v>
      </c>
      <c r="I506">
        <v>0</v>
      </c>
      <c r="J506">
        <v>0</v>
      </c>
      <c r="K506">
        <v>0</v>
      </c>
      <c r="L506">
        <v>0</v>
      </c>
      <c r="M506">
        <v>4</v>
      </c>
      <c r="N506">
        <v>0</v>
      </c>
    </row>
    <row r="507" spans="1:14" x14ac:dyDescent="0.35">
      <c r="A507" t="s">
        <v>6</v>
      </c>
      <c r="B507" t="s">
        <v>1137</v>
      </c>
      <c r="E507" t="s">
        <v>154</v>
      </c>
      <c r="F507" t="s">
        <v>155</v>
      </c>
      <c r="H507" t="str" cm="1">
        <f t="array" ref="H507">_xlfn.TEXTJOIN(", ", TRUE, IF(I507:M507&gt;0, I$1:M$1, ""))</f>
        <v>Tech Application</v>
      </c>
      <c r="I507">
        <v>0</v>
      </c>
      <c r="J507">
        <v>3</v>
      </c>
      <c r="K507">
        <v>0</v>
      </c>
      <c r="L507">
        <v>0</v>
      </c>
      <c r="M507">
        <v>0</v>
      </c>
      <c r="N507">
        <v>0</v>
      </c>
    </row>
    <row r="508" spans="1:14" x14ac:dyDescent="0.35">
      <c r="A508" t="s">
        <v>6</v>
      </c>
      <c r="B508" t="s">
        <v>1138</v>
      </c>
      <c r="C508" t="s">
        <v>1139</v>
      </c>
      <c r="E508" t="s">
        <v>91</v>
      </c>
      <c r="F508" t="s">
        <v>281</v>
      </c>
      <c r="H508" t="str" cm="1">
        <f t="array" ref="H508">_xlfn.TEXTJOIN(", ", TRUE, IF(I508:M508&gt;0, I$1:M$1, ""))</f>
        <v>Semantic View</v>
      </c>
      <c r="I508">
        <v>0</v>
      </c>
      <c r="J508">
        <v>0</v>
      </c>
      <c r="K508">
        <v>0</v>
      </c>
      <c r="L508">
        <v>0</v>
      </c>
      <c r="M508">
        <v>1</v>
      </c>
      <c r="N508">
        <v>0</v>
      </c>
    </row>
    <row r="509" spans="1:14" x14ac:dyDescent="0.35">
      <c r="A509" t="s">
        <v>6</v>
      </c>
      <c r="B509" t="s">
        <v>1140</v>
      </c>
      <c r="E509" t="s">
        <v>121</v>
      </c>
      <c r="F509" t="s">
        <v>92</v>
      </c>
      <c r="H509" t="str" cm="1">
        <f t="array" ref="H509">_xlfn.TEXTJOIN(", ", TRUE, IF(I509:M509&gt;0, I$1:M$1, ""))</f>
        <v>Tech Application</v>
      </c>
      <c r="I509">
        <v>0</v>
      </c>
      <c r="J509">
        <v>2</v>
      </c>
      <c r="K509">
        <v>0</v>
      </c>
      <c r="L509">
        <v>0</v>
      </c>
      <c r="M509">
        <v>0</v>
      </c>
      <c r="N509">
        <v>0</v>
      </c>
    </row>
    <row r="510" spans="1:14" x14ac:dyDescent="0.35">
      <c r="A510" t="s">
        <v>6</v>
      </c>
      <c r="B510" t="s">
        <v>1141</v>
      </c>
      <c r="E510" t="s">
        <v>1142</v>
      </c>
      <c r="F510" t="s">
        <v>276</v>
      </c>
      <c r="H510" t="str" cm="1">
        <f t="array" ref="H510">_xlfn.TEXTJOIN(", ", TRUE, IF(I510:M510&gt;0, I$1:M$1, ""))</f>
        <v>Tech Application</v>
      </c>
      <c r="I510">
        <v>0</v>
      </c>
      <c r="J510">
        <v>2</v>
      </c>
      <c r="K510">
        <v>0</v>
      </c>
      <c r="L510">
        <v>0</v>
      </c>
      <c r="M510">
        <v>0</v>
      </c>
      <c r="N510">
        <v>0</v>
      </c>
    </row>
    <row r="511" spans="1:14" x14ac:dyDescent="0.35">
      <c r="A511" t="s">
        <v>6</v>
      </c>
      <c r="B511" t="s">
        <v>1143</v>
      </c>
      <c r="E511" t="s">
        <v>1144</v>
      </c>
      <c r="F511" t="s">
        <v>1145</v>
      </c>
      <c r="H511" t="str" cm="1">
        <f t="array" ref="H511">_xlfn.TEXTJOIN(", ", TRUE, IF(I511:M511&gt;0, I$1:M$1, ""))</f>
        <v>Tech Application</v>
      </c>
      <c r="I511">
        <v>0</v>
      </c>
      <c r="J511">
        <v>3</v>
      </c>
      <c r="K511">
        <v>0</v>
      </c>
      <c r="L511">
        <v>0</v>
      </c>
      <c r="M511">
        <v>0</v>
      </c>
      <c r="N511">
        <v>0</v>
      </c>
    </row>
    <row r="512" spans="1:14" x14ac:dyDescent="0.35">
      <c r="A512" t="s">
        <v>6</v>
      </c>
      <c r="B512" t="s">
        <v>1146</v>
      </c>
      <c r="D512" t="s">
        <v>1147</v>
      </c>
      <c r="E512" t="s">
        <v>1148</v>
      </c>
      <c r="F512" t="s">
        <v>51</v>
      </c>
      <c r="H512" t="str" cm="1">
        <f t="array" ref="H512">_xlfn.TEXTJOIN(", ", TRUE, IF(I512:M512&gt;0, I$1:M$1, ""))</f>
        <v>Tech Application, Organisational View</v>
      </c>
      <c r="I512">
        <v>0</v>
      </c>
      <c r="J512">
        <v>1</v>
      </c>
      <c r="K512">
        <v>0</v>
      </c>
      <c r="L512">
        <v>9</v>
      </c>
      <c r="M512">
        <v>0</v>
      </c>
      <c r="N512">
        <v>0</v>
      </c>
    </row>
    <row r="513" spans="1:14" x14ac:dyDescent="0.35">
      <c r="A513" t="s">
        <v>6</v>
      </c>
      <c r="B513" t="s">
        <v>1149</v>
      </c>
      <c r="C513" t="s">
        <v>1149</v>
      </c>
      <c r="E513" t="s">
        <v>678</v>
      </c>
      <c r="F513" t="s">
        <v>51</v>
      </c>
      <c r="H513" t="str" cm="1">
        <f t="array" ref="H513">_xlfn.TEXTJOIN(", ", TRUE, IF(I513:M513&gt;0, I$1:M$1, ""))</f>
        <v>Tech Application</v>
      </c>
      <c r="I513">
        <v>0</v>
      </c>
      <c r="J513">
        <v>1</v>
      </c>
      <c r="K513">
        <v>0</v>
      </c>
      <c r="L513">
        <v>0</v>
      </c>
      <c r="M513">
        <v>0</v>
      </c>
      <c r="N513">
        <v>0</v>
      </c>
    </row>
    <row r="514" spans="1:14" x14ac:dyDescent="0.35">
      <c r="A514" t="s">
        <v>6</v>
      </c>
      <c r="B514" t="s">
        <v>1150</v>
      </c>
      <c r="D514" t="s">
        <v>1151</v>
      </c>
      <c r="E514" t="s">
        <v>66</v>
      </c>
      <c r="F514" t="s">
        <v>1152</v>
      </c>
      <c r="H514" t="str" cm="1">
        <f t="array" ref="H514">_xlfn.TEXTJOIN(", ", TRUE, IF(I514:M514&gt;0, I$1:M$1, ""))</f>
        <v>Legal View</v>
      </c>
      <c r="I514">
        <v>0</v>
      </c>
      <c r="J514">
        <v>0</v>
      </c>
      <c r="K514">
        <v>5</v>
      </c>
      <c r="L514">
        <v>0</v>
      </c>
      <c r="M514">
        <v>0</v>
      </c>
      <c r="N514">
        <v>0</v>
      </c>
    </row>
    <row r="515" spans="1:14" x14ac:dyDescent="0.35">
      <c r="A515" t="s">
        <v>6</v>
      </c>
      <c r="B515" t="s">
        <v>1153</v>
      </c>
      <c r="E515" t="s">
        <v>66</v>
      </c>
      <c r="F515" t="s">
        <v>1154</v>
      </c>
      <c r="H515" t="str" cm="1">
        <f t="array" ref="H515">_xlfn.TEXTJOIN(", ", TRUE, IF(I515:M515&gt;0, I$1:M$1, ""))</f>
        <v>Legal View</v>
      </c>
      <c r="I515">
        <v>0</v>
      </c>
      <c r="J515">
        <v>0</v>
      </c>
      <c r="K515">
        <v>1</v>
      </c>
      <c r="L515">
        <v>0</v>
      </c>
      <c r="M515">
        <v>0</v>
      </c>
      <c r="N515">
        <v>0</v>
      </c>
    </row>
    <row r="516" spans="1:14" x14ac:dyDescent="0.35">
      <c r="A516" t="s">
        <v>6</v>
      </c>
      <c r="B516" t="s">
        <v>1155</v>
      </c>
      <c r="D516" t="s">
        <v>1156</v>
      </c>
      <c r="E516" t="s">
        <v>50</v>
      </c>
      <c r="F516" t="s">
        <v>55</v>
      </c>
      <c r="H516" t="str" cm="1">
        <f t="array" ref="H516">_xlfn.TEXTJOIN(", ", TRUE, IF(I516:M516&gt;0, I$1:M$1, ""))</f>
        <v>Semantic View</v>
      </c>
      <c r="I516">
        <v>0</v>
      </c>
      <c r="J516">
        <v>0</v>
      </c>
      <c r="K516">
        <v>0</v>
      </c>
      <c r="L516">
        <v>0</v>
      </c>
      <c r="M516">
        <v>2</v>
      </c>
      <c r="N516">
        <v>0</v>
      </c>
    </row>
    <row r="517" spans="1:14" x14ac:dyDescent="0.35">
      <c r="A517" t="s">
        <v>6</v>
      </c>
      <c r="B517" t="s">
        <v>1157</v>
      </c>
      <c r="D517" t="s">
        <v>1158</v>
      </c>
      <c r="E517" t="s">
        <v>59</v>
      </c>
      <c r="F517" t="s">
        <v>100</v>
      </c>
      <c r="H517" t="str" cm="1">
        <f t="array" ref="H517">_xlfn.TEXTJOIN(", ", TRUE, IF(I517:M517&gt;0, I$1:M$1, ""))</f>
        <v>Tech Application, Legal View, Organisational View</v>
      </c>
      <c r="I517">
        <v>0</v>
      </c>
      <c r="J517">
        <v>5</v>
      </c>
      <c r="K517">
        <v>3</v>
      </c>
      <c r="L517">
        <v>1</v>
      </c>
      <c r="M517">
        <v>0</v>
      </c>
      <c r="N517">
        <v>0</v>
      </c>
    </row>
    <row r="518" spans="1:14" x14ac:dyDescent="0.35">
      <c r="A518" t="s">
        <v>6</v>
      </c>
      <c r="B518" t="s">
        <v>1159</v>
      </c>
      <c r="D518" t="s">
        <v>1160</v>
      </c>
      <c r="E518" t="s">
        <v>59</v>
      </c>
      <c r="F518" t="s">
        <v>100</v>
      </c>
      <c r="H518" t="str" cm="1">
        <f t="array" ref="H518">_xlfn.TEXTJOIN(", ", TRUE, IF(I518:M518&gt;0, I$1:M$1, ""))</f>
        <v>Tech Infrastructure, Tech Application</v>
      </c>
      <c r="I518">
        <v>1</v>
      </c>
      <c r="J518">
        <v>4</v>
      </c>
      <c r="K518">
        <v>0</v>
      </c>
      <c r="L518">
        <v>0</v>
      </c>
      <c r="M518">
        <v>0</v>
      </c>
      <c r="N518">
        <v>0</v>
      </c>
    </row>
    <row r="519" spans="1:14" x14ac:dyDescent="0.35">
      <c r="A519" t="s">
        <v>6</v>
      </c>
      <c r="B519" t="s">
        <v>1161</v>
      </c>
      <c r="D519" t="s">
        <v>1162</v>
      </c>
      <c r="E519" t="s">
        <v>50</v>
      </c>
      <c r="F519" t="s">
        <v>55</v>
      </c>
      <c r="H519" t="str" cm="1">
        <f t="array" ref="H519">_xlfn.TEXTJOIN(", ", TRUE, IF(I519:M519&gt;0, I$1:M$1, ""))</f>
        <v>Tech Application</v>
      </c>
      <c r="I519">
        <v>0</v>
      </c>
      <c r="J519">
        <v>4</v>
      </c>
      <c r="K519">
        <v>0</v>
      </c>
      <c r="L519">
        <v>0</v>
      </c>
      <c r="M519">
        <v>0</v>
      </c>
      <c r="N519">
        <v>0</v>
      </c>
    </row>
    <row r="520" spans="1:14" x14ac:dyDescent="0.35">
      <c r="A520" t="s">
        <v>6</v>
      </c>
      <c r="B520" t="s">
        <v>1163</v>
      </c>
      <c r="C520" t="s">
        <v>1164</v>
      </c>
      <c r="E520" t="s">
        <v>50</v>
      </c>
      <c r="F520" t="s">
        <v>1165</v>
      </c>
      <c r="H520" t="str" cm="1">
        <f t="array" ref="H520">_xlfn.TEXTJOIN(", ", TRUE, IF(I520:M520&gt;0, I$1:M$1, ""))</f>
        <v>Tech Application</v>
      </c>
      <c r="I520">
        <v>0</v>
      </c>
      <c r="J520">
        <v>2</v>
      </c>
      <c r="K520">
        <v>0</v>
      </c>
      <c r="L520">
        <v>0</v>
      </c>
      <c r="M520">
        <v>0</v>
      </c>
      <c r="N520">
        <v>0</v>
      </c>
    </row>
    <row r="521" spans="1:14" x14ac:dyDescent="0.35">
      <c r="A521" t="s">
        <v>6</v>
      </c>
      <c r="B521" t="s">
        <v>1166</v>
      </c>
      <c r="D521" t="s">
        <v>1167</v>
      </c>
      <c r="E521" t="s">
        <v>121</v>
      </c>
      <c r="F521" t="s">
        <v>92</v>
      </c>
      <c r="H521" t="str" cm="1">
        <f t="array" ref="H521">_xlfn.TEXTJOIN(", ", TRUE, IF(I521:M521&gt;0, I$1:M$1, ""))</f>
        <v>Tech Infrastructure, Tech Application</v>
      </c>
      <c r="I521">
        <v>4</v>
      </c>
      <c r="J521">
        <v>2</v>
      </c>
      <c r="K521">
        <v>0</v>
      </c>
      <c r="L521">
        <v>0</v>
      </c>
      <c r="M521">
        <v>0</v>
      </c>
      <c r="N521">
        <v>1</v>
      </c>
    </row>
    <row r="522" spans="1:14" x14ac:dyDescent="0.35">
      <c r="A522" t="s">
        <v>6</v>
      </c>
      <c r="B522" t="s">
        <v>1168</v>
      </c>
      <c r="C522" t="s">
        <v>1169</v>
      </c>
      <c r="E522" t="s">
        <v>121</v>
      </c>
      <c r="F522" t="s">
        <v>97</v>
      </c>
      <c r="H522" t="str" cm="1">
        <f t="array" ref="H522">_xlfn.TEXTJOIN(", ", TRUE, IF(I522:M522&gt;0, I$1:M$1, ""))</f>
        <v>Tech Application, Semantic View</v>
      </c>
      <c r="I522">
        <v>0</v>
      </c>
      <c r="J522">
        <v>1</v>
      </c>
      <c r="K522">
        <v>0</v>
      </c>
      <c r="L522">
        <v>0</v>
      </c>
      <c r="M522">
        <v>3</v>
      </c>
      <c r="N522">
        <v>2</v>
      </c>
    </row>
    <row r="523" spans="1:14" x14ac:dyDescent="0.35">
      <c r="A523" t="s">
        <v>6</v>
      </c>
      <c r="B523" t="s">
        <v>1170</v>
      </c>
      <c r="E523" t="s">
        <v>886</v>
      </c>
      <c r="F523" t="s">
        <v>55</v>
      </c>
      <c r="H523" t="str" cm="1">
        <f t="array" ref="H523">_xlfn.TEXTJOIN(", ", TRUE, IF(I523:M523&gt;0, I$1:M$1, ""))</f>
        <v>Tech Infrastructure</v>
      </c>
      <c r="I523">
        <v>2</v>
      </c>
      <c r="J523">
        <v>0</v>
      </c>
      <c r="K523">
        <v>0</v>
      </c>
      <c r="L523">
        <v>0</v>
      </c>
      <c r="M523">
        <v>0</v>
      </c>
      <c r="N523">
        <v>0</v>
      </c>
    </row>
    <row r="524" spans="1:14" x14ac:dyDescent="0.35">
      <c r="A524" t="s">
        <v>6</v>
      </c>
      <c r="B524" t="s">
        <v>1171</v>
      </c>
      <c r="E524" t="s">
        <v>66</v>
      </c>
      <c r="F524" t="s">
        <v>55</v>
      </c>
      <c r="H524" t="str" cm="1">
        <f t="array" ref="H524">_xlfn.TEXTJOIN(", ", TRUE, IF(I524:M524&gt;0, I$1:M$1, ""))</f>
        <v>Legal View, Organisational View, Semantic View</v>
      </c>
      <c r="I524">
        <v>0</v>
      </c>
      <c r="J524">
        <v>0</v>
      </c>
      <c r="K524">
        <v>1</v>
      </c>
      <c r="L524">
        <v>2</v>
      </c>
      <c r="M524">
        <v>6</v>
      </c>
      <c r="N524">
        <v>0</v>
      </c>
    </row>
    <row r="525" spans="1:14" x14ac:dyDescent="0.35">
      <c r="A525" t="s">
        <v>6</v>
      </c>
      <c r="B525" t="s">
        <v>1172</v>
      </c>
      <c r="C525" t="s">
        <v>211</v>
      </c>
      <c r="E525" t="s">
        <v>62</v>
      </c>
      <c r="F525" t="s">
        <v>55</v>
      </c>
      <c r="H525" t="str" cm="1">
        <f t="array" ref="H525">_xlfn.TEXTJOIN(", ", TRUE, IF(I525:M525&gt;0, I$1:M$1, ""))</f>
        <v>Semantic View</v>
      </c>
      <c r="I525">
        <v>0</v>
      </c>
      <c r="J525">
        <v>0</v>
      </c>
      <c r="K525">
        <v>0</v>
      </c>
      <c r="L525">
        <v>0</v>
      </c>
      <c r="M525">
        <v>7</v>
      </c>
      <c r="N525">
        <v>2</v>
      </c>
    </row>
    <row r="526" spans="1:14" x14ac:dyDescent="0.35">
      <c r="A526" t="s">
        <v>6</v>
      </c>
      <c r="B526" t="s">
        <v>1173</v>
      </c>
      <c r="D526" t="s">
        <v>1174</v>
      </c>
      <c r="E526" t="s">
        <v>59</v>
      </c>
      <c r="F526" t="s">
        <v>1175</v>
      </c>
      <c r="H526" t="str" cm="1">
        <f t="array" ref="H526">_xlfn.TEXTJOIN(", ", TRUE, IF(I526:M526&gt;0, I$1:M$1, ""))</f>
        <v>Tech Application, Semantic View</v>
      </c>
      <c r="I526">
        <v>0</v>
      </c>
      <c r="J526">
        <v>2</v>
      </c>
      <c r="K526">
        <v>0</v>
      </c>
      <c r="L526">
        <v>0</v>
      </c>
      <c r="M526">
        <v>1</v>
      </c>
      <c r="N526">
        <v>0</v>
      </c>
    </row>
    <row r="527" spans="1:14" x14ac:dyDescent="0.35">
      <c r="A527" t="s">
        <v>6</v>
      </c>
      <c r="B527" t="s">
        <v>1176</v>
      </c>
      <c r="C527" t="s">
        <v>1177</v>
      </c>
      <c r="E527" t="s">
        <v>62</v>
      </c>
      <c r="F527" t="s">
        <v>55</v>
      </c>
      <c r="H527" t="str" cm="1">
        <f t="array" ref="H527">_xlfn.TEXTJOIN(", ", TRUE, IF(I527:M527&gt;0, I$1:M$1, ""))</f>
        <v>Semantic View</v>
      </c>
      <c r="I527">
        <v>0</v>
      </c>
      <c r="J527">
        <v>0</v>
      </c>
      <c r="K527">
        <v>0</v>
      </c>
      <c r="L527">
        <v>0</v>
      </c>
      <c r="M527">
        <v>7</v>
      </c>
      <c r="N527">
        <v>2</v>
      </c>
    </row>
    <row r="528" spans="1:14" x14ac:dyDescent="0.35">
      <c r="A528" t="s">
        <v>6</v>
      </c>
      <c r="B528" t="s">
        <v>1178</v>
      </c>
      <c r="C528" t="s">
        <v>1179</v>
      </c>
      <c r="E528" t="s">
        <v>59</v>
      </c>
      <c r="F528" t="s">
        <v>60</v>
      </c>
      <c r="H528" t="str" cm="1">
        <f t="array" ref="H528">_xlfn.TEXTJOIN(", ", TRUE, IF(I528:M528&gt;0, I$1:M$1, ""))</f>
        <v>Tech Infrastructure</v>
      </c>
      <c r="I528">
        <v>1</v>
      </c>
      <c r="J528">
        <v>0</v>
      </c>
      <c r="K528">
        <v>0</v>
      </c>
      <c r="L528">
        <v>0</v>
      </c>
      <c r="M528">
        <v>0</v>
      </c>
      <c r="N528">
        <v>0</v>
      </c>
    </row>
    <row r="529" spans="1:14" x14ac:dyDescent="0.35">
      <c r="A529" t="s">
        <v>6</v>
      </c>
      <c r="B529" t="s">
        <v>1180</v>
      </c>
      <c r="C529" t="s">
        <v>1181</v>
      </c>
      <c r="E529" t="s">
        <v>311</v>
      </c>
      <c r="F529" t="s">
        <v>1182</v>
      </c>
      <c r="H529" t="str" cm="1">
        <f t="array" ref="H529">_xlfn.TEXTJOIN(", ", TRUE, IF(I529:M529&gt;0, I$1:M$1, ""))</f>
        <v>Tech Infrastructure</v>
      </c>
      <c r="I529">
        <v>1</v>
      </c>
      <c r="J529">
        <v>0</v>
      </c>
      <c r="K529">
        <v>0</v>
      </c>
      <c r="L529">
        <v>0</v>
      </c>
      <c r="M529">
        <v>0</v>
      </c>
      <c r="N529">
        <v>0</v>
      </c>
    </row>
    <row r="530" spans="1:14" x14ac:dyDescent="0.35">
      <c r="A530" t="s">
        <v>6</v>
      </c>
      <c r="B530" t="s">
        <v>1183</v>
      </c>
      <c r="C530" t="s">
        <v>1184</v>
      </c>
      <c r="E530" t="s">
        <v>1185</v>
      </c>
      <c r="F530" t="s">
        <v>314</v>
      </c>
      <c r="H530" t="str" cm="1">
        <f t="array" ref="H530">_xlfn.TEXTJOIN(", ", TRUE, IF(I530:M530&gt;0, I$1:M$1, ""))</f>
        <v>Tech Application</v>
      </c>
      <c r="I530">
        <v>0</v>
      </c>
      <c r="J530">
        <v>4</v>
      </c>
      <c r="K530">
        <v>0</v>
      </c>
      <c r="L530">
        <v>0</v>
      </c>
      <c r="M530">
        <v>0</v>
      </c>
      <c r="N530">
        <v>0</v>
      </c>
    </row>
    <row r="531" spans="1:14" x14ac:dyDescent="0.35">
      <c r="A531" t="s">
        <v>6</v>
      </c>
      <c r="B531" t="s">
        <v>1186</v>
      </c>
      <c r="D531" t="s">
        <v>1187</v>
      </c>
      <c r="E531" t="s">
        <v>69</v>
      </c>
      <c r="F531" t="s">
        <v>55</v>
      </c>
      <c r="H531" t="str" cm="1">
        <f t="array" ref="H531">_xlfn.TEXTJOIN(", ", TRUE, IF(I531:M531&gt;0, I$1:M$1, ""))</f>
        <v>Tech Application</v>
      </c>
      <c r="I531">
        <v>0</v>
      </c>
      <c r="J531">
        <v>5</v>
      </c>
      <c r="K531">
        <v>0</v>
      </c>
      <c r="L531">
        <v>0</v>
      </c>
      <c r="M531">
        <v>0</v>
      </c>
      <c r="N531">
        <v>0</v>
      </c>
    </row>
    <row r="532" spans="1:14" x14ac:dyDescent="0.35">
      <c r="A532" t="s">
        <v>6</v>
      </c>
      <c r="B532" t="s">
        <v>1188</v>
      </c>
      <c r="E532" t="s">
        <v>182</v>
      </c>
      <c r="F532" t="s">
        <v>1189</v>
      </c>
      <c r="H532" t="str" cm="1">
        <f t="array" ref="H532">_xlfn.TEXTJOIN(", ", TRUE, IF(I532:M532&gt;0, I$1:M$1, ""))</f>
        <v>Tech Application, Semantic View</v>
      </c>
      <c r="I532">
        <v>0</v>
      </c>
      <c r="J532">
        <v>2</v>
      </c>
      <c r="K532">
        <v>0</v>
      </c>
      <c r="L532">
        <v>0</v>
      </c>
      <c r="M532">
        <v>1</v>
      </c>
      <c r="N532">
        <v>0</v>
      </c>
    </row>
    <row r="533" spans="1:14" x14ac:dyDescent="0.35">
      <c r="A533" t="s">
        <v>6</v>
      </c>
      <c r="B533" t="s">
        <v>1190</v>
      </c>
      <c r="C533" t="s">
        <v>1191</v>
      </c>
      <c r="E533" t="s">
        <v>62</v>
      </c>
      <c r="F533" t="s">
        <v>152</v>
      </c>
      <c r="H533" t="str" cm="1">
        <f t="array" ref="H533">_xlfn.TEXTJOIN(", ", TRUE, IF(I533:M533&gt;0, I$1:M$1, ""))</f>
        <v>Tech Application</v>
      </c>
      <c r="I533">
        <v>0</v>
      </c>
      <c r="J533">
        <v>1</v>
      </c>
      <c r="K533">
        <v>0</v>
      </c>
      <c r="L533">
        <v>0</v>
      </c>
      <c r="M533">
        <v>0</v>
      </c>
      <c r="N533">
        <v>0</v>
      </c>
    </row>
    <row r="534" spans="1:14" x14ac:dyDescent="0.35">
      <c r="A534" t="s">
        <v>6</v>
      </c>
      <c r="B534" t="s">
        <v>1192</v>
      </c>
      <c r="C534" t="s">
        <v>1193</v>
      </c>
      <c r="E534" t="s">
        <v>50</v>
      </c>
      <c r="F534" t="s">
        <v>554</v>
      </c>
      <c r="H534" t="str" cm="1">
        <f t="array" ref="H534">_xlfn.TEXTJOIN(", ", TRUE, IF(I534:M534&gt;0, I$1:M$1, ""))</f>
        <v>Tech Application</v>
      </c>
      <c r="I534">
        <v>0</v>
      </c>
      <c r="J534">
        <v>3</v>
      </c>
      <c r="K534">
        <v>0</v>
      </c>
      <c r="L534">
        <v>0</v>
      </c>
      <c r="M534">
        <v>0</v>
      </c>
      <c r="N534">
        <v>0</v>
      </c>
    </row>
    <row r="535" spans="1:14" x14ac:dyDescent="0.35">
      <c r="A535" t="s">
        <v>6</v>
      </c>
      <c r="B535" t="s">
        <v>1194</v>
      </c>
      <c r="D535" t="s">
        <v>1195</v>
      </c>
      <c r="E535" t="s">
        <v>62</v>
      </c>
      <c r="F535" t="s">
        <v>1196</v>
      </c>
      <c r="H535" t="str" cm="1">
        <f t="array" ref="H535">_xlfn.TEXTJOIN(", ", TRUE, IF(I535:M535&gt;0, I$1:M$1, ""))</f>
        <v>Legal View</v>
      </c>
      <c r="I535">
        <v>0</v>
      </c>
      <c r="J535">
        <v>0</v>
      </c>
      <c r="K535">
        <v>5</v>
      </c>
      <c r="L535">
        <v>0</v>
      </c>
      <c r="M535">
        <v>0</v>
      </c>
      <c r="N535">
        <v>0</v>
      </c>
    </row>
    <row r="536" spans="1:14" x14ac:dyDescent="0.35">
      <c r="A536" t="s">
        <v>6</v>
      </c>
      <c r="B536" t="s">
        <v>1197</v>
      </c>
      <c r="D536" t="s">
        <v>1198</v>
      </c>
      <c r="E536" t="s">
        <v>121</v>
      </c>
      <c r="F536" t="s">
        <v>55</v>
      </c>
      <c r="H536" t="str" cm="1">
        <f t="array" ref="H536">_xlfn.TEXTJOIN(", ", TRUE, IF(I536:M536&gt;0, I$1:M$1, ""))</f>
        <v>Semantic View</v>
      </c>
      <c r="I536">
        <v>0</v>
      </c>
      <c r="J536">
        <v>0</v>
      </c>
      <c r="K536">
        <v>0</v>
      </c>
      <c r="L536">
        <v>0</v>
      </c>
      <c r="M536">
        <v>8</v>
      </c>
      <c r="N536">
        <v>0</v>
      </c>
    </row>
    <row r="537" spans="1:14" x14ac:dyDescent="0.35">
      <c r="A537" t="s">
        <v>6</v>
      </c>
      <c r="B537" t="s">
        <v>1199</v>
      </c>
      <c r="C537" t="s">
        <v>1200</v>
      </c>
      <c r="E537" t="s">
        <v>336</v>
      </c>
      <c r="F537" t="s">
        <v>51</v>
      </c>
      <c r="H537" t="str" cm="1">
        <f t="array" ref="H537">_xlfn.TEXTJOIN(", ", TRUE, IF(I537:M537&gt;0, I$1:M$1, ""))</f>
        <v/>
      </c>
      <c r="I537">
        <v>0</v>
      </c>
      <c r="J537">
        <v>0</v>
      </c>
      <c r="K537">
        <v>0</v>
      </c>
      <c r="L537">
        <v>0</v>
      </c>
      <c r="M537">
        <v>0</v>
      </c>
      <c r="N537">
        <v>0</v>
      </c>
    </row>
    <row r="538" spans="1:14" x14ac:dyDescent="0.35">
      <c r="A538" t="s">
        <v>6</v>
      </c>
      <c r="B538" t="s">
        <v>1201</v>
      </c>
      <c r="C538" t="s">
        <v>1202</v>
      </c>
      <c r="E538" t="s">
        <v>50</v>
      </c>
      <c r="F538" t="s">
        <v>1203</v>
      </c>
      <c r="H538" t="str" cm="1">
        <f t="array" ref="H538">_xlfn.TEXTJOIN(", ", TRUE, IF(I538:M538&gt;0, I$1:M$1, ""))</f>
        <v>Tech Infrastructure</v>
      </c>
      <c r="I538">
        <v>1</v>
      </c>
      <c r="J538">
        <v>0</v>
      </c>
      <c r="K538">
        <v>0</v>
      </c>
      <c r="L538">
        <v>0</v>
      </c>
      <c r="M538">
        <v>0</v>
      </c>
      <c r="N538">
        <v>0</v>
      </c>
    </row>
    <row r="539" spans="1:14" x14ac:dyDescent="0.35">
      <c r="A539" t="s">
        <v>6</v>
      </c>
      <c r="B539" t="s">
        <v>1204</v>
      </c>
      <c r="D539" t="s">
        <v>1205</v>
      </c>
      <c r="E539" t="s">
        <v>69</v>
      </c>
      <c r="F539" t="s">
        <v>55</v>
      </c>
      <c r="H539" t="str" cm="1">
        <f t="array" ref="H539">_xlfn.TEXTJOIN(", ", TRUE, IF(I539:M539&gt;0, I$1:M$1, ""))</f>
        <v>Tech Application</v>
      </c>
      <c r="I539">
        <v>0</v>
      </c>
      <c r="J539">
        <v>3</v>
      </c>
      <c r="K539">
        <v>0</v>
      </c>
      <c r="L539">
        <v>0</v>
      </c>
      <c r="M539">
        <v>0</v>
      </c>
      <c r="N539">
        <v>0</v>
      </c>
    </row>
    <row r="540" spans="1:14" x14ac:dyDescent="0.35">
      <c r="A540" t="s">
        <v>6</v>
      </c>
      <c r="B540" t="s">
        <v>1206</v>
      </c>
      <c r="C540" t="s">
        <v>1207</v>
      </c>
      <c r="E540" t="s">
        <v>121</v>
      </c>
      <c r="F540" t="s">
        <v>55</v>
      </c>
      <c r="H540" t="str" cm="1">
        <f t="array" ref="H540">_xlfn.TEXTJOIN(", ", TRUE, IF(I540:M540&gt;0, I$1:M$1, ""))</f>
        <v>Tech Application, Semantic View</v>
      </c>
      <c r="I540">
        <v>0</v>
      </c>
      <c r="J540">
        <v>2</v>
      </c>
      <c r="K540">
        <v>0</v>
      </c>
      <c r="L540">
        <v>0</v>
      </c>
      <c r="M540">
        <v>5</v>
      </c>
      <c r="N540">
        <v>0</v>
      </c>
    </row>
    <row r="541" spans="1:14" x14ac:dyDescent="0.35">
      <c r="A541" t="s">
        <v>6</v>
      </c>
      <c r="B541" t="s">
        <v>1208</v>
      </c>
      <c r="C541" t="s">
        <v>1209</v>
      </c>
      <c r="D541" t="s">
        <v>1210</v>
      </c>
      <c r="E541" t="s">
        <v>230</v>
      </c>
      <c r="F541" t="s">
        <v>55</v>
      </c>
      <c r="H541" t="str" cm="1">
        <f t="array" ref="H541">_xlfn.TEXTJOIN(", ", TRUE, IF(I541:M541&gt;0, I$1:M$1, ""))</f>
        <v>Semantic View</v>
      </c>
      <c r="I541">
        <v>0</v>
      </c>
      <c r="J541">
        <v>0</v>
      </c>
      <c r="K541">
        <v>0</v>
      </c>
      <c r="L541">
        <v>0</v>
      </c>
      <c r="M541">
        <v>2</v>
      </c>
      <c r="N541">
        <v>0</v>
      </c>
    </row>
    <row r="542" spans="1:14" x14ac:dyDescent="0.35">
      <c r="A542" t="s">
        <v>6</v>
      </c>
      <c r="B542" t="s">
        <v>1211</v>
      </c>
      <c r="D542" t="s">
        <v>1212</v>
      </c>
      <c r="E542" t="s">
        <v>59</v>
      </c>
      <c r="F542" t="s">
        <v>1213</v>
      </c>
      <c r="H542" t="str" cm="1">
        <f t="array" ref="H542">_xlfn.TEXTJOIN(", ", TRUE, IF(I542:M542&gt;0, I$1:M$1, ""))</f>
        <v>Semantic View</v>
      </c>
      <c r="I542">
        <v>0</v>
      </c>
      <c r="J542">
        <v>0</v>
      </c>
      <c r="K542">
        <v>0</v>
      </c>
      <c r="L542">
        <v>0</v>
      </c>
      <c r="M542">
        <v>1</v>
      </c>
      <c r="N542">
        <v>0</v>
      </c>
    </row>
    <row r="543" spans="1:14" x14ac:dyDescent="0.35">
      <c r="A543" t="s">
        <v>6</v>
      </c>
      <c r="B543" t="s">
        <v>1214</v>
      </c>
      <c r="E543" t="s">
        <v>121</v>
      </c>
      <c r="F543" t="s">
        <v>97</v>
      </c>
      <c r="H543" t="str" cm="1">
        <f t="array" ref="H543">_xlfn.TEXTJOIN(", ", TRUE, IF(I543:M543&gt;0, I$1:M$1, ""))</f>
        <v>Tech Application, Semantic View</v>
      </c>
      <c r="I543">
        <v>0</v>
      </c>
      <c r="J543">
        <v>2</v>
      </c>
      <c r="K543">
        <v>0</v>
      </c>
      <c r="L543">
        <v>0</v>
      </c>
      <c r="M543">
        <v>1</v>
      </c>
      <c r="N543">
        <v>0</v>
      </c>
    </row>
    <row r="544" spans="1:14" x14ac:dyDescent="0.35">
      <c r="A544" t="s">
        <v>6</v>
      </c>
      <c r="B544" t="s">
        <v>1215</v>
      </c>
      <c r="C544" t="s">
        <v>1216</v>
      </c>
      <c r="E544" t="s">
        <v>121</v>
      </c>
      <c r="F544" t="s">
        <v>180</v>
      </c>
      <c r="H544" t="str" cm="1">
        <f t="array" ref="H544">_xlfn.TEXTJOIN(", ", TRUE, IF(I544:M544&gt;0, I$1:M$1, ""))</f>
        <v>Organisational View, Semantic View</v>
      </c>
      <c r="I544">
        <v>0</v>
      </c>
      <c r="J544">
        <v>0</v>
      </c>
      <c r="K544">
        <v>0</v>
      </c>
      <c r="L544">
        <v>2</v>
      </c>
      <c r="M544">
        <v>7</v>
      </c>
      <c r="N544">
        <v>0</v>
      </c>
    </row>
    <row r="545" spans="1:14" x14ac:dyDescent="0.35">
      <c r="A545" t="s">
        <v>6</v>
      </c>
      <c r="B545" t="s">
        <v>1217</v>
      </c>
      <c r="C545" t="s">
        <v>682</v>
      </c>
      <c r="E545" t="s">
        <v>66</v>
      </c>
      <c r="F545" t="s">
        <v>55</v>
      </c>
      <c r="H545" t="str" cm="1">
        <f t="array" ref="H545">_xlfn.TEXTJOIN(", ", TRUE, IF(I545:M545&gt;0, I$1:M$1, ""))</f>
        <v>Semantic View</v>
      </c>
      <c r="I545">
        <v>0</v>
      </c>
      <c r="J545">
        <v>0</v>
      </c>
      <c r="K545">
        <v>0</v>
      </c>
      <c r="L545">
        <v>0</v>
      </c>
      <c r="M545">
        <v>1</v>
      </c>
      <c r="N545">
        <v>0</v>
      </c>
    </row>
    <row r="546" spans="1:14" x14ac:dyDescent="0.35">
      <c r="A546" t="s">
        <v>6</v>
      </c>
      <c r="B546" t="s">
        <v>1218</v>
      </c>
      <c r="D546" t="s">
        <v>1219</v>
      </c>
      <c r="E546" t="s">
        <v>69</v>
      </c>
      <c r="F546" t="s">
        <v>55</v>
      </c>
      <c r="H546" t="str" cm="1">
        <f t="array" ref="H546">_xlfn.TEXTJOIN(", ", TRUE, IF(I546:M546&gt;0, I$1:M$1, ""))</f>
        <v>Tech Infrastructure, Tech Application</v>
      </c>
      <c r="I546">
        <v>2</v>
      </c>
      <c r="J546">
        <v>4</v>
      </c>
      <c r="K546">
        <v>0</v>
      </c>
      <c r="L546">
        <v>0</v>
      </c>
      <c r="M546">
        <v>0</v>
      </c>
      <c r="N546">
        <v>0</v>
      </c>
    </row>
    <row r="547" spans="1:14" x14ac:dyDescent="0.35">
      <c r="A547" t="s">
        <v>6</v>
      </c>
      <c r="B547" t="s">
        <v>1220</v>
      </c>
      <c r="E547" t="s">
        <v>62</v>
      </c>
      <c r="F547" t="s">
        <v>206</v>
      </c>
      <c r="H547" t="str" cm="1">
        <f t="array" ref="H547">_xlfn.TEXTJOIN(", ", TRUE, IF(I547:M547&gt;0, I$1:M$1, ""))</f>
        <v>Tech Application</v>
      </c>
      <c r="I547">
        <v>0</v>
      </c>
      <c r="J547">
        <v>1</v>
      </c>
      <c r="K547">
        <v>0</v>
      </c>
      <c r="L547">
        <v>0</v>
      </c>
      <c r="M547">
        <v>0</v>
      </c>
      <c r="N547">
        <v>0</v>
      </c>
    </row>
    <row r="548" spans="1:14" x14ac:dyDescent="0.35">
      <c r="A548" t="s">
        <v>6</v>
      </c>
      <c r="B548" t="s">
        <v>1221</v>
      </c>
      <c r="E548" t="s">
        <v>66</v>
      </c>
      <c r="F548" t="s">
        <v>74</v>
      </c>
      <c r="H548" t="str" cm="1">
        <f t="array" ref="H548">_xlfn.TEXTJOIN(", ", TRUE, IF(I548:M548&gt;0, I$1:M$1, ""))</f>
        <v>Semantic View</v>
      </c>
      <c r="I548">
        <v>0</v>
      </c>
      <c r="J548">
        <v>0</v>
      </c>
      <c r="K548">
        <v>0</v>
      </c>
      <c r="L548">
        <v>0</v>
      </c>
      <c r="M548">
        <v>1</v>
      </c>
      <c r="N548">
        <v>0</v>
      </c>
    </row>
    <row r="549" spans="1:14" x14ac:dyDescent="0.35">
      <c r="A549" t="s">
        <v>6</v>
      </c>
      <c r="B549" t="s">
        <v>1222</v>
      </c>
      <c r="C549" t="s">
        <v>1223</v>
      </c>
      <c r="E549" t="s">
        <v>148</v>
      </c>
      <c r="F549" t="s">
        <v>55</v>
      </c>
      <c r="H549" t="str" cm="1">
        <f t="array" ref="H549">_xlfn.TEXTJOIN(", ", TRUE, IF(I549:M549&gt;0, I$1:M$1, ""))</f>
        <v>Tech Application</v>
      </c>
      <c r="I549">
        <v>0</v>
      </c>
      <c r="J549">
        <v>3</v>
      </c>
      <c r="K549">
        <v>0</v>
      </c>
      <c r="L549">
        <v>0</v>
      </c>
      <c r="M549">
        <v>0</v>
      </c>
      <c r="N549">
        <v>0</v>
      </c>
    </row>
    <row r="550" spans="1:14" x14ac:dyDescent="0.35">
      <c r="A550" t="s">
        <v>6</v>
      </c>
      <c r="B550" t="s">
        <v>1224</v>
      </c>
      <c r="D550" t="s">
        <v>1225</v>
      </c>
      <c r="E550" t="s">
        <v>69</v>
      </c>
      <c r="F550" t="s">
        <v>55</v>
      </c>
      <c r="H550" t="str" cm="1">
        <f t="array" ref="H550">_xlfn.TEXTJOIN(", ", TRUE, IF(I550:M550&gt;0, I$1:M$1, ""))</f>
        <v>Tech Infrastructure</v>
      </c>
      <c r="I550">
        <v>1</v>
      </c>
      <c r="J550">
        <v>0</v>
      </c>
      <c r="K550">
        <v>0</v>
      </c>
      <c r="L550">
        <v>0</v>
      </c>
      <c r="M550">
        <v>0</v>
      </c>
      <c r="N550">
        <v>0</v>
      </c>
    </row>
    <row r="551" spans="1:14" x14ac:dyDescent="0.35">
      <c r="A551" t="s">
        <v>6</v>
      </c>
      <c r="B551" t="s">
        <v>1226</v>
      </c>
      <c r="C551" t="s">
        <v>1227</v>
      </c>
      <c r="E551" t="s">
        <v>62</v>
      </c>
      <c r="F551" t="s">
        <v>152</v>
      </c>
      <c r="H551" t="str" cm="1">
        <f t="array" ref="H551">_xlfn.TEXTJOIN(", ", TRUE, IF(I551:M551&gt;0, I$1:M$1, ""))</f>
        <v>Semantic View</v>
      </c>
      <c r="I551">
        <v>0</v>
      </c>
      <c r="J551">
        <v>0</v>
      </c>
      <c r="K551">
        <v>0</v>
      </c>
      <c r="L551">
        <v>0</v>
      </c>
      <c r="M551">
        <v>10</v>
      </c>
      <c r="N551">
        <v>0</v>
      </c>
    </row>
    <row r="552" spans="1:14" x14ac:dyDescent="0.35">
      <c r="A552" t="s">
        <v>6</v>
      </c>
      <c r="B552" t="s">
        <v>1228</v>
      </c>
      <c r="C552" t="s">
        <v>1229</v>
      </c>
      <c r="E552" t="s">
        <v>50</v>
      </c>
      <c r="F552" t="s">
        <v>440</v>
      </c>
      <c r="H552" t="str" cm="1">
        <f t="array" ref="H552">_xlfn.TEXTJOIN(", ", TRUE, IF(I552:M552&gt;0, I$1:M$1, ""))</f>
        <v>Tech Infrastructure, Tech Application</v>
      </c>
      <c r="I552">
        <v>1</v>
      </c>
      <c r="J552">
        <v>2</v>
      </c>
      <c r="K552">
        <v>0</v>
      </c>
      <c r="L552">
        <v>0</v>
      </c>
      <c r="M552">
        <v>0</v>
      </c>
      <c r="N552">
        <v>0</v>
      </c>
    </row>
    <row r="553" spans="1:14" x14ac:dyDescent="0.35">
      <c r="A553" t="s">
        <v>6</v>
      </c>
      <c r="B553" t="s">
        <v>1230</v>
      </c>
      <c r="C553" t="s">
        <v>1231</v>
      </c>
      <c r="E553" t="s">
        <v>96</v>
      </c>
      <c r="F553" t="s">
        <v>92</v>
      </c>
      <c r="H553" t="str" cm="1">
        <f t="array" ref="H553">_xlfn.TEXTJOIN(", ", TRUE, IF(I553:M553&gt;0, I$1:M$1, ""))</f>
        <v>Tech Application, Semantic View</v>
      </c>
      <c r="I553">
        <v>0</v>
      </c>
      <c r="J553">
        <v>2</v>
      </c>
      <c r="K553">
        <v>0</v>
      </c>
      <c r="L553">
        <v>0</v>
      </c>
      <c r="M553">
        <v>1</v>
      </c>
      <c r="N553">
        <v>0</v>
      </c>
    </row>
    <row r="554" spans="1:14" x14ac:dyDescent="0.35">
      <c r="A554" t="s">
        <v>6</v>
      </c>
      <c r="B554" t="s">
        <v>1232</v>
      </c>
      <c r="E554" t="s">
        <v>50</v>
      </c>
      <c r="F554" t="s">
        <v>55</v>
      </c>
      <c r="H554" t="str" cm="1">
        <f t="array" ref="H554">_xlfn.TEXTJOIN(", ", TRUE, IF(I554:M554&gt;0, I$1:M$1, ""))</f>
        <v>Tech Application</v>
      </c>
      <c r="I554">
        <v>0</v>
      </c>
      <c r="J554">
        <v>3</v>
      </c>
      <c r="K554">
        <v>0</v>
      </c>
      <c r="L554">
        <v>0</v>
      </c>
      <c r="M554">
        <v>0</v>
      </c>
      <c r="N554">
        <v>0</v>
      </c>
    </row>
    <row r="555" spans="1:14" x14ac:dyDescent="0.35">
      <c r="A555" t="s">
        <v>6</v>
      </c>
      <c r="B555" t="s">
        <v>1233</v>
      </c>
      <c r="C555" t="s">
        <v>136</v>
      </c>
      <c r="E555" t="s">
        <v>50</v>
      </c>
      <c r="F555" t="s">
        <v>51</v>
      </c>
      <c r="H555" t="str" cm="1">
        <f t="array" ref="H555">_xlfn.TEXTJOIN(", ", TRUE, IF(I555:M555&gt;0, I$1:M$1, ""))</f>
        <v>Tech Infrastructure, Tech Application</v>
      </c>
      <c r="I555">
        <v>1</v>
      </c>
      <c r="J555">
        <v>2</v>
      </c>
      <c r="K555">
        <v>0</v>
      </c>
      <c r="L555">
        <v>0</v>
      </c>
      <c r="M555">
        <v>0</v>
      </c>
      <c r="N555">
        <v>0</v>
      </c>
    </row>
    <row r="556" spans="1:14" x14ac:dyDescent="0.35">
      <c r="A556" t="s">
        <v>6</v>
      </c>
      <c r="B556" t="s">
        <v>1234</v>
      </c>
      <c r="D556" t="s">
        <v>1235</v>
      </c>
      <c r="E556" t="s">
        <v>66</v>
      </c>
      <c r="F556" t="s">
        <v>1236</v>
      </c>
      <c r="H556" t="str" cm="1">
        <f t="array" ref="H556">_xlfn.TEXTJOIN(", ", TRUE, IF(I556:M556&gt;0, I$1:M$1, ""))</f>
        <v>Legal View</v>
      </c>
      <c r="I556">
        <v>0</v>
      </c>
      <c r="J556">
        <v>0</v>
      </c>
      <c r="K556">
        <v>1</v>
      </c>
      <c r="L556">
        <v>0</v>
      </c>
      <c r="M556">
        <v>0</v>
      </c>
      <c r="N556">
        <v>0</v>
      </c>
    </row>
    <row r="557" spans="1:14" x14ac:dyDescent="0.35">
      <c r="A557" t="s">
        <v>6</v>
      </c>
      <c r="B557" t="s">
        <v>1237</v>
      </c>
      <c r="E557" t="s">
        <v>62</v>
      </c>
      <c r="F557" t="s">
        <v>92</v>
      </c>
      <c r="H557" t="str" cm="1">
        <f t="array" ref="H557">_xlfn.TEXTJOIN(", ", TRUE, IF(I557:M557&gt;0, I$1:M$1, ""))</f>
        <v/>
      </c>
      <c r="I557">
        <v>0</v>
      </c>
      <c r="J557">
        <v>0</v>
      </c>
      <c r="K557">
        <v>0</v>
      </c>
      <c r="L557">
        <v>0</v>
      </c>
      <c r="M557">
        <v>0</v>
      </c>
      <c r="N557">
        <v>0</v>
      </c>
    </row>
    <row r="558" spans="1:14" x14ac:dyDescent="0.35">
      <c r="A558" t="s">
        <v>6</v>
      </c>
      <c r="B558" t="s">
        <v>1238</v>
      </c>
      <c r="E558" t="s">
        <v>148</v>
      </c>
      <c r="F558" t="s">
        <v>1239</v>
      </c>
      <c r="H558" t="str" cm="1">
        <f t="array" ref="H558">_xlfn.TEXTJOIN(", ", TRUE, IF(I558:M558&gt;0, I$1:M$1, ""))</f>
        <v>Tech Infrastructure, Tech Application, Organisational View</v>
      </c>
      <c r="I558">
        <v>1</v>
      </c>
      <c r="J558">
        <v>5</v>
      </c>
      <c r="K558">
        <v>0</v>
      </c>
      <c r="L558">
        <v>1</v>
      </c>
      <c r="M558">
        <v>0</v>
      </c>
      <c r="N558">
        <v>0</v>
      </c>
    </row>
    <row r="559" spans="1:14" x14ac:dyDescent="0.35">
      <c r="A559" t="s">
        <v>6</v>
      </c>
      <c r="B559" t="s">
        <v>1240</v>
      </c>
      <c r="C559" t="s">
        <v>1241</v>
      </c>
      <c r="E559" t="s">
        <v>96</v>
      </c>
      <c r="F559" t="s">
        <v>1055</v>
      </c>
      <c r="H559" t="str" cm="1">
        <f t="array" ref="H559">_xlfn.TEXTJOIN(", ", TRUE, IF(I559:M559&gt;0, I$1:M$1, ""))</f>
        <v>Semantic View</v>
      </c>
      <c r="I559">
        <v>0</v>
      </c>
      <c r="J559">
        <v>0</v>
      </c>
      <c r="K559">
        <v>0</v>
      </c>
      <c r="L559">
        <v>0</v>
      </c>
      <c r="M559">
        <v>4</v>
      </c>
      <c r="N559">
        <v>1</v>
      </c>
    </row>
    <row r="560" spans="1:14" x14ac:dyDescent="0.35">
      <c r="A560" t="s">
        <v>6</v>
      </c>
      <c r="B560" t="s">
        <v>1242</v>
      </c>
      <c r="C560" t="s">
        <v>1241</v>
      </c>
      <c r="E560" t="s">
        <v>96</v>
      </c>
      <c r="F560" t="s">
        <v>1243</v>
      </c>
      <c r="H560" t="str" cm="1">
        <f t="array" ref="H560">_xlfn.TEXTJOIN(", ", TRUE, IF(I560:M560&gt;0, I$1:M$1, ""))</f>
        <v>Semantic View</v>
      </c>
      <c r="I560">
        <v>0</v>
      </c>
      <c r="J560">
        <v>0</v>
      </c>
      <c r="K560">
        <v>0</v>
      </c>
      <c r="L560">
        <v>0</v>
      </c>
      <c r="M560">
        <v>4</v>
      </c>
      <c r="N560">
        <v>0</v>
      </c>
    </row>
    <row r="561" spans="1:14" x14ac:dyDescent="0.35">
      <c r="A561" t="s">
        <v>6</v>
      </c>
      <c r="B561" t="s">
        <v>1244</v>
      </c>
      <c r="C561" t="s">
        <v>1245</v>
      </c>
      <c r="E561" t="s">
        <v>1246</v>
      </c>
      <c r="F561" t="s">
        <v>51</v>
      </c>
      <c r="H561" t="str" cm="1">
        <f t="array" ref="H561">_xlfn.TEXTJOIN(", ", TRUE, IF(I561:M561&gt;0, I$1:M$1, ""))</f>
        <v>Semantic View</v>
      </c>
      <c r="I561">
        <v>0</v>
      </c>
      <c r="J561">
        <v>0</v>
      </c>
      <c r="K561">
        <v>0</v>
      </c>
      <c r="L561">
        <v>0</v>
      </c>
      <c r="M561">
        <v>2</v>
      </c>
      <c r="N561">
        <v>0</v>
      </c>
    </row>
    <row r="562" spans="1:14" x14ac:dyDescent="0.35">
      <c r="A562" t="s">
        <v>6</v>
      </c>
      <c r="B562" t="s">
        <v>1247</v>
      </c>
      <c r="C562" t="s">
        <v>1248</v>
      </c>
      <c r="E562" t="s">
        <v>1249</v>
      </c>
      <c r="F562" t="s">
        <v>55</v>
      </c>
      <c r="H562" t="str" cm="1">
        <f t="array" ref="H562">_xlfn.TEXTJOIN(", ", TRUE, IF(I562:M562&gt;0, I$1:M$1, ""))</f>
        <v>Semantic View</v>
      </c>
      <c r="I562">
        <v>0</v>
      </c>
      <c r="J562">
        <v>0</v>
      </c>
      <c r="K562">
        <v>0</v>
      </c>
      <c r="L562">
        <v>0</v>
      </c>
      <c r="M562">
        <v>1</v>
      </c>
      <c r="N562">
        <v>0</v>
      </c>
    </row>
    <row r="563" spans="1:14" x14ac:dyDescent="0.35">
      <c r="A563" t="s">
        <v>6</v>
      </c>
      <c r="B563" t="s">
        <v>1250</v>
      </c>
      <c r="E563" t="s">
        <v>62</v>
      </c>
      <c r="F563" t="s">
        <v>55</v>
      </c>
      <c r="H563" t="str" cm="1">
        <f t="array" ref="H563">_xlfn.TEXTJOIN(", ", TRUE, IF(I563:M563&gt;0, I$1:M$1, ""))</f>
        <v>Tech Application</v>
      </c>
      <c r="I563">
        <v>0</v>
      </c>
      <c r="J563">
        <v>1</v>
      </c>
      <c r="K563">
        <v>0</v>
      </c>
      <c r="L563">
        <v>0</v>
      </c>
      <c r="M563">
        <v>0</v>
      </c>
      <c r="N563">
        <v>0</v>
      </c>
    </row>
    <row r="564" spans="1:14" x14ac:dyDescent="0.35">
      <c r="A564" t="s">
        <v>6</v>
      </c>
      <c r="B564" t="s">
        <v>1251</v>
      </c>
      <c r="E564" t="s">
        <v>96</v>
      </c>
      <c r="F564" t="s">
        <v>55</v>
      </c>
      <c r="H564" t="str" cm="1">
        <f t="array" ref="H564">_xlfn.TEXTJOIN(", ", TRUE, IF(I564:M564&gt;0, I$1:M$1, ""))</f>
        <v>Legal View</v>
      </c>
      <c r="I564">
        <v>0</v>
      </c>
      <c r="J564">
        <v>0</v>
      </c>
      <c r="K564">
        <v>5</v>
      </c>
      <c r="L564">
        <v>0</v>
      </c>
      <c r="M564">
        <v>0</v>
      </c>
      <c r="N564">
        <v>1</v>
      </c>
    </row>
    <row r="565" spans="1:14" x14ac:dyDescent="0.35">
      <c r="A565" t="s">
        <v>6</v>
      </c>
      <c r="B565" t="s">
        <v>1252</v>
      </c>
      <c r="C565" t="s">
        <v>1253</v>
      </c>
      <c r="E565" t="s">
        <v>50</v>
      </c>
      <c r="F565" t="s">
        <v>55</v>
      </c>
      <c r="H565" t="str" cm="1">
        <f t="array" ref="H565">_xlfn.TEXTJOIN(", ", TRUE, IF(I565:M565&gt;0, I$1:M$1, ""))</f>
        <v>Semantic View</v>
      </c>
      <c r="I565">
        <v>0</v>
      </c>
      <c r="J565">
        <v>0</v>
      </c>
      <c r="K565">
        <v>0</v>
      </c>
      <c r="L565">
        <v>0</v>
      </c>
      <c r="M565">
        <v>3</v>
      </c>
      <c r="N565">
        <v>0</v>
      </c>
    </row>
    <row r="566" spans="1:14" x14ac:dyDescent="0.35">
      <c r="A566" t="s">
        <v>6</v>
      </c>
      <c r="B566" t="s">
        <v>1254</v>
      </c>
      <c r="C566" t="s">
        <v>1255</v>
      </c>
      <c r="E566" t="s">
        <v>121</v>
      </c>
      <c r="F566" t="s">
        <v>55</v>
      </c>
      <c r="H566" t="str" cm="1">
        <f t="array" ref="H566">_xlfn.TEXTJOIN(", ", TRUE, IF(I566:M566&gt;0, I$1:M$1, ""))</f>
        <v>Semantic View</v>
      </c>
      <c r="I566">
        <v>0</v>
      </c>
      <c r="J566">
        <v>0</v>
      </c>
      <c r="K566">
        <v>0</v>
      </c>
      <c r="L566">
        <v>0</v>
      </c>
      <c r="M566">
        <v>3</v>
      </c>
      <c r="N566">
        <v>0</v>
      </c>
    </row>
    <row r="567" spans="1:14" x14ac:dyDescent="0.35">
      <c r="A567" t="s">
        <v>6</v>
      </c>
      <c r="B567" t="s">
        <v>1256</v>
      </c>
      <c r="C567" t="s">
        <v>1257</v>
      </c>
      <c r="E567" t="s">
        <v>50</v>
      </c>
      <c r="F567" t="s">
        <v>92</v>
      </c>
      <c r="H567" t="str" cm="1">
        <f t="array" ref="H567">_xlfn.TEXTJOIN(", ", TRUE, IF(I567:M567&gt;0, I$1:M$1, ""))</f>
        <v>Tech Infrastructure, Tech Application</v>
      </c>
      <c r="I567">
        <v>1</v>
      </c>
      <c r="J567">
        <v>4</v>
      </c>
      <c r="K567">
        <v>0</v>
      </c>
      <c r="L567">
        <v>0</v>
      </c>
      <c r="M567">
        <v>0</v>
      </c>
      <c r="N567">
        <v>3</v>
      </c>
    </row>
    <row r="568" spans="1:14" x14ac:dyDescent="0.35">
      <c r="A568" t="s">
        <v>6</v>
      </c>
      <c r="B568" t="s">
        <v>1258</v>
      </c>
      <c r="C568" t="s">
        <v>1259</v>
      </c>
      <c r="E568" t="s">
        <v>1260</v>
      </c>
      <c r="F568" t="s">
        <v>92</v>
      </c>
      <c r="H568" t="str" cm="1">
        <f t="array" ref="H568">_xlfn.TEXTJOIN(", ", TRUE, IF(I568:M568&gt;0, I$1:M$1, ""))</f>
        <v>Tech Application</v>
      </c>
      <c r="I568">
        <v>0</v>
      </c>
      <c r="J568">
        <v>1</v>
      </c>
      <c r="K568">
        <v>0</v>
      </c>
      <c r="L568">
        <v>0</v>
      </c>
      <c r="M568">
        <v>0</v>
      </c>
      <c r="N568">
        <v>0</v>
      </c>
    </row>
    <row r="569" spans="1:14" x14ac:dyDescent="0.35">
      <c r="A569" t="s">
        <v>6</v>
      </c>
      <c r="B569" t="s">
        <v>1261</v>
      </c>
      <c r="C569" t="s">
        <v>1262</v>
      </c>
      <c r="D569" t="s">
        <v>1263</v>
      </c>
      <c r="E569" t="s">
        <v>230</v>
      </c>
      <c r="F569" t="s">
        <v>51</v>
      </c>
      <c r="H569" t="str" cm="1">
        <f t="array" ref="H569">_xlfn.TEXTJOIN(", ", TRUE, IF(I569:M569&gt;0, I$1:M$1, ""))</f>
        <v>Tech Infrastructure, Tech Application</v>
      </c>
      <c r="I569">
        <v>1</v>
      </c>
      <c r="J569">
        <v>2</v>
      </c>
      <c r="K569">
        <v>0</v>
      </c>
      <c r="L569">
        <v>0</v>
      </c>
      <c r="M569">
        <v>0</v>
      </c>
      <c r="N569">
        <v>0</v>
      </c>
    </row>
    <row r="570" spans="1:14" x14ac:dyDescent="0.35">
      <c r="A570" t="s">
        <v>6</v>
      </c>
      <c r="B570" t="s">
        <v>1264</v>
      </c>
      <c r="D570" t="s">
        <v>1265</v>
      </c>
      <c r="E570" t="s">
        <v>336</v>
      </c>
      <c r="F570" t="s">
        <v>55</v>
      </c>
      <c r="H570" t="str" cm="1">
        <f t="array" ref="H570">_xlfn.TEXTJOIN(", ", TRUE, IF(I570:M570&gt;0, I$1:M$1, ""))</f>
        <v>Tech Infrastructure</v>
      </c>
      <c r="I570">
        <v>1</v>
      </c>
      <c r="J570">
        <v>0</v>
      </c>
      <c r="K570">
        <v>0</v>
      </c>
      <c r="L570">
        <v>0</v>
      </c>
      <c r="M570">
        <v>0</v>
      </c>
      <c r="N570">
        <v>0</v>
      </c>
    </row>
    <row r="571" spans="1:14" x14ac:dyDescent="0.35">
      <c r="A571" t="s">
        <v>6</v>
      </c>
      <c r="B571" t="s">
        <v>1266</v>
      </c>
      <c r="E571" t="s">
        <v>62</v>
      </c>
      <c r="F571" t="s">
        <v>444</v>
      </c>
      <c r="H571" t="str" cm="1">
        <f t="array" ref="H571">_xlfn.TEXTJOIN(", ", TRUE, IF(I571:M571&gt;0, I$1:M$1, ""))</f>
        <v>Tech Application</v>
      </c>
      <c r="I571">
        <v>0</v>
      </c>
      <c r="J571">
        <v>2</v>
      </c>
      <c r="K571">
        <v>0</v>
      </c>
      <c r="L571">
        <v>0</v>
      </c>
      <c r="M571">
        <v>0</v>
      </c>
      <c r="N571">
        <v>0</v>
      </c>
    </row>
    <row r="572" spans="1:14" x14ac:dyDescent="0.35">
      <c r="A572" t="s">
        <v>6</v>
      </c>
      <c r="B572" t="s">
        <v>1267</v>
      </c>
      <c r="C572" t="s">
        <v>1268</v>
      </c>
      <c r="E572" t="s">
        <v>489</v>
      </c>
      <c r="F572" t="s">
        <v>55</v>
      </c>
      <c r="H572" t="str" cm="1">
        <f t="array" ref="H572">_xlfn.TEXTJOIN(", ", TRUE, IF(I572:M572&gt;0, I$1:M$1, ""))</f>
        <v>Tech Infrastructure, Tech Application</v>
      </c>
      <c r="I572">
        <v>2</v>
      </c>
      <c r="J572">
        <v>2</v>
      </c>
      <c r="K572">
        <v>0</v>
      </c>
      <c r="L572">
        <v>0</v>
      </c>
      <c r="M572">
        <v>0</v>
      </c>
      <c r="N572">
        <v>1</v>
      </c>
    </row>
    <row r="573" spans="1:14" x14ac:dyDescent="0.35">
      <c r="A573" t="s">
        <v>6</v>
      </c>
      <c r="B573" t="s">
        <v>1269</v>
      </c>
      <c r="E573" t="s">
        <v>50</v>
      </c>
      <c r="F573" t="s">
        <v>55</v>
      </c>
      <c r="H573" t="str" cm="1">
        <f t="array" ref="H573">_xlfn.TEXTJOIN(", ", TRUE, IF(I573:M573&gt;0, I$1:M$1, ""))</f>
        <v/>
      </c>
      <c r="I573">
        <v>0</v>
      </c>
      <c r="J573">
        <v>0</v>
      </c>
      <c r="K573">
        <v>0</v>
      </c>
      <c r="L573">
        <v>0</v>
      </c>
      <c r="M573">
        <v>0</v>
      </c>
      <c r="N573">
        <v>1</v>
      </c>
    </row>
    <row r="574" spans="1:14" x14ac:dyDescent="0.35">
      <c r="A574" t="s">
        <v>6</v>
      </c>
      <c r="B574" t="s">
        <v>1270</v>
      </c>
      <c r="C574" t="s">
        <v>1271</v>
      </c>
      <c r="E574" t="s">
        <v>50</v>
      </c>
      <c r="F574" t="s">
        <v>267</v>
      </c>
      <c r="H574" t="str" cm="1">
        <f t="array" ref="H574">_xlfn.TEXTJOIN(", ", TRUE, IF(I574:M574&gt;0, I$1:M$1, ""))</f>
        <v>Tech Application</v>
      </c>
      <c r="I574">
        <v>0</v>
      </c>
      <c r="J574">
        <v>1</v>
      </c>
      <c r="K574">
        <v>0</v>
      </c>
      <c r="L574">
        <v>0</v>
      </c>
      <c r="M574">
        <v>0</v>
      </c>
      <c r="N574">
        <v>0</v>
      </c>
    </row>
    <row r="575" spans="1:14" x14ac:dyDescent="0.35">
      <c r="A575" t="s">
        <v>6</v>
      </c>
      <c r="B575" t="s">
        <v>1272</v>
      </c>
      <c r="E575" t="s">
        <v>121</v>
      </c>
      <c r="F575" t="s">
        <v>55</v>
      </c>
      <c r="H575" t="str" cm="1">
        <f t="array" ref="H575">_xlfn.TEXTJOIN(", ", TRUE, IF(I575:M575&gt;0, I$1:M$1, ""))</f>
        <v>Tech Application, Semantic View</v>
      </c>
      <c r="I575">
        <v>0</v>
      </c>
      <c r="J575">
        <v>2</v>
      </c>
      <c r="K575">
        <v>0</v>
      </c>
      <c r="L575">
        <v>0</v>
      </c>
      <c r="M575">
        <v>3</v>
      </c>
      <c r="N575">
        <v>0</v>
      </c>
    </row>
    <row r="576" spans="1:14" x14ac:dyDescent="0.35">
      <c r="A576" t="s">
        <v>6</v>
      </c>
      <c r="B576" t="s">
        <v>1273</v>
      </c>
      <c r="E576" t="s">
        <v>148</v>
      </c>
      <c r="F576" t="s">
        <v>838</v>
      </c>
      <c r="H576" t="str" cm="1">
        <f t="array" ref="H576">_xlfn.TEXTJOIN(", ", TRUE, IF(I576:M576&gt;0, I$1:M$1, ""))</f>
        <v>Tech Application, Organisational View</v>
      </c>
      <c r="I576">
        <v>0</v>
      </c>
      <c r="J576">
        <v>1</v>
      </c>
      <c r="K576">
        <v>0</v>
      </c>
      <c r="L576">
        <v>1</v>
      </c>
      <c r="M576">
        <v>0</v>
      </c>
      <c r="N576">
        <v>0</v>
      </c>
    </row>
    <row r="577" spans="1:14" x14ac:dyDescent="0.35">
      <c r="A577" t="s">
        <v>6</v>
      </c>
      <c r="B577" t="s">
        <v>1274</v>
      </c>
      <c r="C577" t="s">
        <v>1275</v>
      </c>
      <c r="E577" t="s">
        <v>360</v>
      </c>
      <c r="F577" t="s">
        <v>1276</v>
      </c>
      <c r="H577" t="str" cm="1">
        <f t="array" ref="H577">_xlfn.TEXTJOIN(", ", TRUE, IF(I577:M577&gt;0, I$1:M$1, ""))</f>
        <v>Tech Application, Organisational View, Semantic View</v>
      </c>
      <c r="I577">
        <v>0</v>
      </c>
      <c r="J577">
        <v>2</v>
      </c>
      <c r="K577">
        <v>0</v>
      </c>
      <c r="L577">
        <v>1</v>
      </c>
      <c r="M577">
        <v>2</v>
      </c>
      <c r="N577">
        <v>0</v>
      </c>
    </row>
    <row r="578" spans="1:14" x14ac:dyDescent="0.35">
      <c r="A578" t="s">
        <v>6</v>
      </c>
      <c r="B578" t="s">
        <v>1277</v>
      </c>
      <c r="D578" t="s">
        <v>1278</v>
      </c>
      <c r="E578" t="s">
        <v>124</v>
      </c>
      <c r="F578" t="s">
        <v>180</v>
      </c>
      <c r="H578" t="str" cm="1">
        <f t="array" ref="H578">_xlfn.TEXTJOIN(", ", TRUE, IF(I578:M578&gt;0, I$1:M$1, ""))</f>
        <v>Tech Infrastructure, Tech Application</v>
      </c>
      <c r="I578">
        <v>1</v>
      </c>
      <c r="J578">
        <v>4</v>
      </c>
      <c r="K578">
        <v>0</v>
      </c>
      <c r="L578">
        <v>0</v>
      </c>
      <c r="M578">
        <v>0</v>
      </c>
      <c r="N578">
        <v>0</v>
      </c>
    </row>
    <row r="579" spans="1:14" x14ac:dyDescent="0.35">
      <c r="A579" t="s">
        <v>6</v>
      </c>
      <c r="B579" t="s">
        <v>1279</v>
      </c>
      <c r="D579" t="s">
        <v>1280</v>
      </c>
      <c r="E579" t="s">
        <v>230</v>
      </c>
      <c r="F579" t="s">
        <v>55</v>
      </c>
      <c r="H579" t="str" cm="1">
        <f t="array" ref="H579">_xlfn.TEXTJOIN(", ", TRUE, IF(I579:M579&gt;0, I$1:M$1, ""))</f>
        <v>Tech Application</v>
      </c>
      <c r="I579">
        <v>0</v>
      </c>
      <c r="J579">
        <v>2</v>
      </c>
      <c r="K579">
        <v>0</v>
      </c>
      <c r="L579">
        <v>0</v>
      </c>
      <c r="M579">
        <v>0</v>
      </c>
      <c r="N579">
        <v>0</v>
      </c>
    </row>
    <row r="580" spans="1:14" x14ac:dyDescent="0.35">
      <c r="A580" t="s">
        <v>6</v>
      </c>
      <c r="B580" t="s">
        <v>1281</v>
      </c>
      <c r="C580" t="s">
        <v>1282</v>
      </c>
      <c r="E580" t="s">
        <v>1283</v>
      </c>
      <c r="F580" t="s">
        <v>276</v>
      </c>
      <c r="H580" t="str" cm="1">
        <f t="array" ref="H580">_xlfn.TEXTJOIN(", ", TRUE, IF(I580:M580&gt;0, I$1:M$1, ""))</f>
        <v>Tech Infrastructure</v>
      </c>
      <c r="I580">
        <v>1</v>
      </c>
      <c r="J580">
        <v>0</v>
      </c>
      <c r="K580">
        <v>0</v>
      </c>
      <c r="L580">
        <v>0</v>
      </c>
      <c r="M580">
        <v>0</v>
      </c>
      <c r="N580">
        <v>0</v>
      </c>
    </row>
    <row r="581" spans="1:14" x14ac:dyDescent="0.35">
      <c r="A581" t="s">
        <v>6</v>
      </c>
      <c r="B581" t="s">
        <v>1284</v>
      </c>
      <c r="E581" t="s">
        <v>62</v>
      </c>
      <c r="F581" t="s">
        <v>324</v>
      </c>
      <c r="H581" t="str" cm="1">
        <f t="array" ref="H581">_xlfn.TEXTJOIN(", ", TRUE, IF(I581:M581&gt;0, I$1:M$1, ""))</f>
        <v>Tech Application</v>
      </c>
      <c r="I581">
        <v>0</v>
      </c>
      <c r="J581">
        <v>2</v>
      </c>
      <c r="K581">
        <v>0</v>
      </c>
      <c r="L581">
        <v>0</v>
      </c>
      <c r="M581">
        <v>0</v>
      </c>
      <c r="N581">
        <v>0</v>
      </c>
    </row>
    <row r="582" spans="1:14" x14ac:dyDescent="0.35">
      <c r="A582" t="s">
        <v>6</v>
      </c>
      <c r="B582" t="s">
        <v>1285</v>
      </c>
      <c r="E582" t="s">
        <v>864</v>
      </c>
      <c r="F582" t="s">
        <v>276</v>
      </c>
      <c r="H582" t="str" cm="1">
        <f t="array" ref="H582">_xlfn.TEXTJOIN(", ", TRUE, IF(I582:M582&gt;0, I$1:M$1, ""))</f>
        <v>Tech Application, Semantic View</v>
      </c>
      <c r="I582">
        <v>0</v>
      </c>
      <c r="J582">
        <v>2</v>
      </c>
      <c r="K582">
        <v>0</v>
      </c>
      <c r="L582">
        <v>0</v>
      </c>
      <c r="M582">
        <v>2</v>
      </c>
      <c r="N582">
        <v>0</v>
      </c>
    </row>
    <row r="583" spans="1:14" x14ac:dyDescent="0.35">
      <c r="A583" t="s">
        <v>6</v>
      </c>
      <c r="B583" t="s">
        <v>1286</v>
      </c>
      <c r="E583" t="s">
        <v>50</v>
      </c>
      <c r="F583" t="s">
        <v>55</v>
      </c>
      <c r="H583" t="str" cm="1">
        <f t="array" ref="H583">_xlfn.TEXTJOIN(", ", TRUE, IF(I583:M583&gt;0, I$1:M$1, ""))</f>
        <v>Tech Infrastructure</v>
      </c>
      <c r="I583">
        <v>1</v>
      </c>
      <c r="J583">
        <v>0</v>
      </c>
      <c r="K583">
        <v>0</v>
      </c>
      <c r="L583">
        <v>0</v>
      </c>
      <c r="M583">
        <v>0</v>
      </c>
      <c r="N583">
        <v>0</v>
      </c>
    </row>
    <row r="584" spans="1:14" x14ac:dyDescent="0.35">
      <c r="A584" t="s">
        <v>6</v>
      </c>
      <c r="B584" t="s">
        <v>1287</v>
      </c>
      <c r="C584" t="s">
        <v>1288</v>
      </c>
      <c r="E584" t="s">
        <v>96</v>
      </c>
      <c r="F584" t="s">
        <v>74</v>
      </c>
      <c r="H584" t="str" cm="1">
        <f t="array" ref="H584">_xlfn.TEXTJOIN(", ", TRUE, IF(I584:M584&gt;0, I$1:M$1, ""))</f>
        <v>Semantic View</v>
      </c>
      <c r="I584">
        <v>0</v>
      </c>
      <c r="J584">
        <v>0</v>
      </c>
      <c r="K584">
        <v>0</v>
      </c>
      <c r="L584">
        <v>0</v>
      </c>
      <c r="M584">
        <v>5</v>
      </c>
      <c r="N584">
        <v>0</v>
      </c>
    </row>
    <row r="585" spans="1:14" x14ac:dyDescent="0.35">
      <c r="A585" t="s">
        <v>6</v>
      </c>
      <c r="B585" t="s">
        <v>1289</v>
      </c>
      <c r="E585" t="s">
        <v>62</v>
      </c>
      <c r="F585" t="s">
        <v>51</v>
      </c>
      <c r="H585" t="str" cm="1">
        <f t="array" ref="H585">_xlfn.TEXTJOIN(", ", TRUE, IF(I585:M585&gt;0, I$1:M$1, ""))</f>
        <v>Tech Application</v>
      </c>
      <c r="I585">
        <v>0</v>
      </c>
      <c r="J585">
        <v>3</v>
      </c>
      <c r="K585">
        <v>0</v>
      </c>
      <c r="L585">
        <v>0</v>
      </c>
      <c r="M585">
        <v>0</v>
      </c>
      <c r="N585">
        <v>0</v>
      </c>
    </row>
    <row r="586" spans="1:14" x14ac:dyDescent="0.35">
      <c r="A586" t="s">
        <v>6</v>
      </c>
      <c r="B586" t="s">
        <v>1290</v>
      </c>
      <c r="C586" t="s">
        <v>1291</v>
      </c>
      <c r="E586" t="s">
        <v>121</v>
      </c>
      <c r="F586" t="s">
        <v>51</v>
      </c>
      <c r="H586" t="str" cm="1">
        <f t="array" ref="H586">_xlfn.TEXTJOIN(", ", TRUE, IF(I586:M586&gt;0, I$1:M$1, ""))</f>
        <v/>
      </c>
      <c r="I586">
        <v>0</v>
      </c>
      <c r="J586">
        <v>0</v>
      </c>
      <c r="K586">
        <v>0</v>
      </c>
      <c r="L586">
        <v>0</v>
      </c>
      <c r="M586">
        <v>0</v>
      </c>
      <c r="N586">
        <v>0</v>
      </c>
    </row>
    <row r="587" spans="1:14" x14ac:dyDescent="0.35">
      <c r="A587" t="s">
        <v>6</v>
      </c>
      <c r="B587" t="s">
        <v>1292</v>
      </c>
      <c r="E587" t="s">
        <v>733</v>
      </c>
      <c r="F587" t="s">
        <v>92</v>
      </c>
      <c r="H587" t="str" cm="1">
        <f t="array" ref="H587">_xlfn.TEXTJOIN(", ", TRUE, IF(I587:M587&gt;0, I$1:M$1, ""))</f>
        <v>Semantic View</v>
      </c>
      <c r="I587">
        <v>0</v>
      </c>
      <c r="J587">
        <v>0</v>
      </c>
      <c r="K587">
        <v>0</v>
      </c>
      <c r="L587">
        <v>0</v>
      </c>
      <c r="M587">
        <v>2</v>
      </c>
      <c r="N587">
        <v>0</v>
      </c>
    </row>
    <row r="588" spans="1:14" x14ac:dyDescent="0.35">
      <c r="A588" t="s">
        <v>6</v>
      </c>
      <c r="B588" t="s">
        <v>1293</v>
      </c>
      <c r="E588" t="s">
        <v>1293</v>
      </c>
      <c r="F588" t="s">
        <v>461</v>
      </c>
      <c r="H588" t="str" cm="1">
        <f t="array" ref="H588">_xlfn.TEXTJOIN(", ", TRUE, IF(I588:M588&gt;0, I$1:M$1, ""))</f>
        <v>Tech Application</v>
      </c>
      <c r="I588">
        <v>0</v>
      </c>
      <c r="J588">
        <v>1</v>
      </c>
      <c r="K588">
        <v>0</v>
      </c>
      <c r="L588">
        <v>0</v>
      </c>
      <c r="M588">
        <v>0</v>
      </c>
      <c r="N588">
        <v>0</v>
      </c>
    </row>
    <row r="589" spans="1:14" x14ac:dyDescent="0.35">
      <c r="A589" t="s">
        <v>6</v>
      </c>
      <c r="B589" t="s">
        <v>1294</v>
      </c>
      <c r="C589" t="s">
        <v>912</v>
      </c>
      <c r="E589" t="s">
        <v>59</v>
      </c>
      <c r="F589" t="s">
        <v>206</v>
      </c>
      <c r="H589" t="str" cm="1">
        <f t="array" ref="H589">_xlfn.TEXTJOIN(", ", TRUE, IF(I589:M589&gt;0, I$1:M$1, ""))</f>
        <v>Tech Application</v>
      </c>
      <c r="I589">
        <v>0</v>
      </c>
      <c r="J589">
        <v>5</v>
      </c>
      <c r="K589">
        <v>0</v>
      </c>
      <c r="L589">
        <v>0</v>
      </c>
      <c r="M589">
        <v>0</v>
      </c>
      <c r="N589">
        <v>1</v>
      </c>
    </row>
    <row r="590" spans="1:14" x14ac:dyDescent="0.35">
      <c r="A590" t="s">
        <v>6</v>
      </c>
      <c r="B590" t="s">
        <v>1295</v>
      </c>
      <c r="C590" t="s">
        <v>469</v>
      </c>
      <c r="E590" t="s">
        <v>121</v>
      </c>
      <c r="F590" t="s">
        <v>97</v>
      </c>
      <c r="H590" t="str" cm="1">
        <f t="array" ref="H590">_xlfn.TEXTJOIN(", ", TRUE, IF(I590:M590&gt;0, I$1:M$1, ""))</f>
        <v>Semantic View</v>
      </c>
      <c r="I590">
        <v>0</v>
      </c>
      <c r="J590">
        <v>0</v>
      </c>
      <c r="K590">
        <v>0</v>
      </c>
      <c r="L590">
        <v>0</v>
      </c>
      <c r="M590">
        <v>3</v>
      </c>
      <c r="N590">
        <v>2</v>
      </c>
    </row>
    <row r="591" spans="1:14" x14ac:dyDescent="0.35">
      <c r="A591" t="s">
        <v>6</v>
      </c>
      <c r="B591" t="s">
        <v>1296</v>
      </c>
      <c r="C591" t="s">
        <v>1297</v>
      </c>
      <c r="E591" t="s">
        <v>121</v>
      </c>
      <c r="F591" t="s">
        <v>180</v>
      </c>
      <c r="H591" t="str" cm="1">
        <f t="array" ref="H591">_xlfn.TEXTJOIN(", ", TRUE, IF(I591:M591&gt;0, I$1:M$1, ""))</f>
        <v>Tech Application, Semantic View</v>
      </c>
      <c r="I591">
        <v>0</v>
      </c>
      <c r="J591">
        <v>4</v>
      </c>
      <c r="K591">
        <v>0</v>
      </c>
      <c r="L591">
        <v>0</v>
      </c>
      <c r="M591">
        <v>1</v>
      </c>
      <c r="N591">
        <v>1</v>
      </c>
    </row>
    <row r="592" spans="1:14" x14ac:dyDescent="0.35">
      <c r="A592" t="s">
        <v>6</v>
      </c>
      <c r="B592" t="s">
        <v>1298</v>
      </c>
      <c r="E592" t="s">
        <v>154</v>
      </c>
      <c r="F592" t="s">
        <v>152</v>
      </c>
      <c r="H592" t="str" cm="1">
        <f t="array" ref="H592">_xlfn.TEXTJOIN(", ", TRUE, IF(I592:M592&gt;0, I$1:M$1, ""))</f>
        <v>Tech Application</v>
      </c>
      <c r="I592">
        <v>0</v>
      </c>
      <c r="J592">
        <v>3</v>
      </c>
      <c r="K592">
        <v>0</v>
      </c>
      <c r="L592">
        <v>0</v>
      </c>
      <c r="M592">
        <v>0</v>
      </c>
      <c r="N592">
        <v>0</v>
      </c>
    </row>
    <row r="593" spans="1:14" x14ac:dyDescent="0.35">
      <c r="A593" t="s">
        <v>6</v>
      </c>
      <c r="B593" t="s">
        <v>1299</v>
      </c>
      <c r="C593" t="s">
        <v>1300</v>
      </c>
      <c r="E593" t="s">
        <v>96</v>
      </c>
      <c r="F593" t="s">
        <v>111</v>
      </c>
      <c r="H593" t="str" cm="1">
        <f t="array" ref="H593">_xlfn.TEXTJOIN(", ", TRUE, IF(I593:M593&gt;0, I$1:M$1, ""))</f>
        <v>Tech Infrastructure</v>
      </c>
      <c r="I593">
        <v>1</v>
      </c>
      <c r="J593">
        <v>0</v>
      </c>
      <c r="K593">
        <v>0</v>
      </c>
      <c r="L593">
        <v>0</v>
      </c>
      <c r="M593">
        <v>0</v>
      </c>
      <c r="N593">
        <v>0</v>
      </c>
    </row>
    <row r="594" spans="1:14" x14ac:dyDescent="0.35">
      <c r="A594" t="s">
        <v>6</v>
      </c>
      <c r="B594" t="s">
        <v>1301</v>
      </c>
      <c r="C594" t="s">
        <v>1302</v>
      </c>
      <c r="E594" t="s">
        <v>121</v>
      </c>
      <c r="F594" t="s">
        <v>111</v>
      </c>
      <c r="H594" t="str" cm="1">
        <f t="array" ref="H594">_xlfn.TEXTJOIN(", ", TRUE, IF(I594:M594&gt;0, I$1:M$1, ""))</f>
        <v>Semantic View</v>
      </c>
      <c r="I594">
        <v>0</v>
      </c>
      <c r="J594">
        <v>0</v>
      </c>
      <c r="K594">
        <v>0</v>
      </c>
      <c r="L594">
        <v>0</v>
      </c>
      <c r="M594">
        <v>1</v>
      </c>
      <c r="N594">
        <v>1</v>
      </c>
    </row>
    <row r="595" spans="1:14" x14ac:dyDescent="0.35">
      <c r="A595" t="s">
        <v>6</v>
      </c>
      <c r="B595" t="s">
        <v>1303</v>
      </c>
      <c r="C595" t="s">
        <v>1304</v>
      </c>
      <c r="E595" t="s">
        <v>864</v>
      </c>
      <c r="F595" t="s">
        <v>773</v>
      </c>
      <c r="H595" t="str" cm="1">
        <f t="array" ref="H595">_xlfn.TEXTJOIN(", ", TRUE, IF(I595:M595&gt;0, I$1:M$1, ""))</f>
        <v>Semantic View</v>
      </c>
      <c r="I595">
        <v>0</v>
      </c>
      <c r="J595">
        <v>0</v>
      </c>
      <c r="K595">
        <v>0</v>
      </c>
      <c r="L595">
        <v>0</v>
      </c>
      <c r="M595">
        <v>2</v>
      </c>
      <c r="N595">
        <v>0</v>
      </c>
    </row>
    <row r="596" spans="1:14" x14ac:dyDescent="0.35">
      <c r="A596" t="s">
        <v>6</v>
      </c>
      <c r="B596" t="s">
        <v>1305</v>
      </c>
      <c r="C596" t="s">
        <v>1306</v>
      </c>
      <c r="E596" t="s">
        <v>1307</v>
      </c>
      <c r="F596" t="s">
        <v>1308</v>
      </c>
      <c r="H596" t="str" cm="1">
        <f t="array" ref="H596">_xlfn.TEXTJOIN(", ", TRUE, IF(I596:M596&gt;0, I$1:M$1, ""))</f>
        <v>Tech Application</v>
      </c>
      <c r="I596">
        <v>0</v>
      </c>
      <c r="J596">
        <v>2</v>
      </c>
      <c r="K596">
        <v>0</v>
      </c>
      <c r="L596">
        <v>0</v>
      </c>
      <c r="M596">
        <v>0</v>
      </c>
      <c r="N596">
        <v>0</v>
      </c>
    </row>
    <row r="597" spans="1:14" x14ac:dyDescent="0.35">
      <c r="A597" t="s">
        <v>6</v>
      </c>
      <c r="B597" t="s">
        <v>1309</v>
      </c>
      <c r="C597" t="s">
        <v>1310</v>
      </c>
      <c r="E597" t="s">
        <v>489</v>
      </c>
      <c r="F597" t="s">
        <v>55</v>
      </c>
      <c r="H597" t="str" cm="1">
        <f t="array" ref="H597">_xlfn.TEXTJOIN(", ", TRUE, IF(I597:M597&gt;0, I$1:M$1, ""))</f>
        <v>Tech Application</v>
      </c>
      <c r="I597">
        <v>0</v>
      </c>
      <c r="J597">
        <v>3</v>
      </c>
      <c r="K597">
        <v>0</v>
      </c>
      <c r="L597">
        <v>0</v>
      </c>
      <c r="M597">
        <v>0</v>
      </c>
      <c r="N597">
        <v>0</v>
      </c>
    </row>
    <row r="598" spans="1:14" x14ac:dyDescent="0.35">
      <c r="A598" t="s">
        <v>6</v>
      </c>
      <c r="B598" t="s">
        <v>1311</v>
      </c>
      <c r="E598" t="s">
        <v>148</v>
      </c>
      <c r="F598" t="s">
        <v>149</v>
      </c>
      <c r="H598" t="str" cm="1">
        <f t="array" ref="H598">_xlfn.TEXTJOIN(", ", TRUE, IF(I598:M598&gt;0, I$1:M$1, ""))</f>
        <v>Tech Application, Organisational View</v>
      </c>
      <c r="I598">
        <v>0</v>
      </c>
      <c r="J598">
        <v>1</v>
      </c>
      <c r="K598">
        <v>0</v>
      </c>
      <c r="L598">
        <v>1</v>
      </c>
      <c r="M598">
        <v>0</v>
      </c>
      <c r="N598">
        <v>0</v>
      </c>
    </row>
    <row r="599" spans="1:14" x14ac:dyDescent="0.35">
      <c r="A599" t="s">
        <v>6</v>
      </c>
      <c r="B599" t="s">
        <v>1312</v>
      </c>
      <c r="C599" t="s">
        <v>1313</v>
      </c>
      <c r="D599" t="s">
        <v>1314</v>
      </c>
      <c r="E599" t="s">
        <v>1315</v>
      </c>
      <c r="F599" t="s">
        <v>183</v>
      </c>
      <c r="H599" t="str" cm="1">
        <f t="array" ref="H599">_xlfn.TEXTJOIN(", ", TRUE, IF(I599:M599&gt;0, I$1:M$1, ""))</f>
        <v>Semantic View</v>
      </c>
      <c r="I599">
        <v>0</v>
      </c>
      <c r="J599">
        <v>0</v>
      </c>
      <c r="K599">
        <v>0</v>
      </c>
      <c r="L599">
        <v>0</v>
      </c>
      <c r="M599">
        <v>1</v>
      </c>
      <c r="N599">
        <v>0</v>
      </c>
    </row>
    <row r="600" spans="1:14" x14ac:dyDescent="0.35">
      <c r="A600" t="s">
        <v>6</v>
      </c>
      <c r="B600" t="s">
        <v>1316</v>
      </c>
      <c r="E600" t="s">
        <v>96</v>
      </c>
      <c r="F600" t="s">
        <v>276</v>
      </c>
      <c r="H600" t="str" cm="1">
        <f t="array" ref="H600">_xlfn.TEXTJOIN(", ", TRUE, IF(I600:M600&gt;0, I$1:M$1, ""))</f>
        <v>Tech Application</v>
      </c>
      <c r="I600">
        <v>0</v>
      </c>
      <c r="J600">
        <v>1</v>
      </c>
      <c r="K600">
        <v>0</v>
      </c>
      <c r="L600">
        <v>0</v>
      </c>
      <c r="M600">
        <v>0</v>
      </c>
      <c r="N600">
        <v>2</v>
      </c>
    </row>
    <row r="601" spans="1:14" x14ac:dyDescent="0.35">
      <c r="A601" t="s">
        <v>6</v>
      </c>
      <c r="B601" t="s">
        <v>1317</v>
      </c>
      <c r="C601" t="s">
        <v>1318</v>
      </c>
      <c r="E601" t="s">
        <v>1319</v>
      </c>
      <c r="F601" t="s">
        <v>1320</v>
      </c>
      <c r="H601" t="str" cm="1">
        <f t="array" ref="H601">_xlfn.TEXTJOIN(", ", TRUE, IF(I601:M601&gt;0, I$1:M$1, ""))</f>
        <v>Tech Application, Semantic View</v>
      </c>
      <c r="I601">
        <v>0</v>
      </c>
      <c r="J601">
        <v>6</v>
      </c>
      <c r="K601">
        <v>0</v>
      </c>
      <c r="L601">
        <v>0</v>
      </c>
      <c r="M601">
        <v>1</v>
      </c>
      <c r="N601">
        <v>0</v>
      </c>
    </row>
    <row r="602" spans="1:14" x14ac:dyDescent="0.35">
      <c r="A602" t="s">
        <v>6</v>
      </c>
      <c r="B602" t="s">
        <v>1321</v>
      </c>
      <c r="E602" t="s">
        <v>1322</v>
      </c>
      <c r="F602" t="s">
        <v>55</v>
      </c>
      <c r="H602" t="str" cm="1">
        <f t="array" ref="H602">_xlfn.TEXTJOIN(", ", TRUE, IF(I602:M602&gt;0, I$1:M$1, ""))</f>
        <v>Tech Application</v>
      </c>
      <c r="I602">
        <v>0</v>
      </c>
      <c r="J602">
        <v>2</v>
      </c>
      <c r="K602">
        <v>0</v>
      </c>
      <c r="L602">
        <v>0</v>
      </c>
      <c r="M602">
        <v>0</v>
      </c>
      <c r="N602">
        <v>0</v>
      </c>
    </row>
    <row r="603" spans="1:14" x14ac:dyDescent="0.35">
      <c r="A603" t="s">
        <v>6</v>
      </c>
      <c r="B603" t="s">
        <v>1323</v>
      </c>
      <c r="C603" t="s">
        <v>237</v>
      </c>
      <c r="E603" t="s">
        <v>86</v>
      </c>
      <c r="F603" t="s">
        <v>51</v>
      </c>
      <c r="H603" t="str" cm="1">
        <f t="array" ref="H603">_xlfn.TEXTJOIN(", ", TRUE, IF(I603:M603&gt;0, I$1:M$1, ""))</f>
        <v>Tech Application</v>
      </c>
      <c r="I603">
        <v>0</v>
      </c>
      <c r="J603">
        <v>7</v>
      </c>
      <c r="K603">
        <v>0</v>
      </c>
      <c r="L603">
        <v>0</v>
      </c>
      <c r="M603">
        <v>0</v>
      </c>
      <c r="N603">
        <v>0</v>
      </c>
    </row>
    <row r="604" spans="1:14" x14ac:dyDescent="0.35">
      <c r="A604" t="s">
        <v>6</v>
      </c>
      <c r="B604" t="s">
        <v>1324</v>
      </c>
      <c r="C604" t="s">
        <v>1325</v>
      </c>
      <c r="E604" t="s">
        <v>161</v>
      </c>
      <c r="F604" t="s">
        <v>51</v>
      </c>
      <c r="H604" t="str" cm="1">
        <f t="array" ref="H604">_xlfn.TEXTJOIN(", ", TRUE, IF(I604:M604&gt;0, I$1:M$1, ""))</f>
        <v>Tech Application, Organisational View</v>
      </c>
      <c r="I604">
        <v>0</v>
      </c>
      <c r="J604">
        <v>1</v>
      </c>
      <c r="K604">
        <v>0</v>
      </c>
      <c r="L604">
        <v>2</v>
      </c>
      <c r="M604">
        <v>0</v>
      </c>
      <c r="N604">
        <v>1</v>
      </c>
    </row>
    <row r="605" spans="1:14" x14ac:dyDescent="0.35">
      <c r="A605" t="s">
        <v>6</v>
      </c>
      <c r="B605" t="s">
        <v>1326</v>
      </c>
      <c r="C605" t="s">
        <v>1327</v>
      </c>
      <c r="E605" t="s">
        <v>121</v>
      </c>
      <c r="F605" t="s">
        <v>51</v>
      </c>
      <c r="H605" t="str" cm="1">
        <f t="array" ref="H605">_xlfn.TEXTJOIN(", ", TRUE, IF(I605:M605&gt;0, I$1:M$1, ""))</f>
        <v>Tech Application, Semantic View</v>
      </c>
      <c r="I605">
        <v>0</v>
      </c>
      <c r="J605">
        <v>2</v>
      </c>
      <c r="K605">
        <v>0</v>
      </c>
      <c r="L605">
        <v>0</v>
      </c>
      <c r="M605">
        <v>1</v>
      </c>
      <c r="N605">
        <v>0</v>
      </c>
    </row>
    <row r="606" spans="1:14" x14ac:dyDescent="0.35">
      <c r="A606" t="s">
        <v>6</v>
      </c>
      <c r="B606" t="s">
        <v>1328</v>
      </c>
      <c r="C606" t="s">
        <v>1329</v>
      </c>
      <c r="E606" t="s">
        <v>345</v>
      </c>
      <c r="F606" t="s">
        <v>111</v>
      </c>
      <c r="H606" t="str" cm="1">
        <f t="array" ref="H606">_xlfn.TEXTJOIN(", ", TRUE, IF(I606:M606&gt;0, I$1:M$1, ""))</f>
        <v>Tech Infrastructure</v>
      </c>
      <c r="I606">
        <v>1</v>
      </c>
      <c r="J606">
        <v>0</v>
      </c>
      <c r="K606">
        <v>0</v>
      </c>
      <c r="L606">
        <v>0</v>
      </c>
      <c r="M606">
        <v>0</v>
      </c>
      <c r="N606">
        <v>0</v>
      </c>
    </row>
    <row r="607" spans="1:14" x14ac:dyDescent="0.35">
      <c r="A607" t="s">
        <v>6</v>
      </c>
      <c r="B607" t="s">
        <v>1330</v>
      </c>
      <c r="E607" t="s">
        <v>148</v>
      </c>
      <c r="F607" t="s">
        <v>1331</v>
      </c>
      <c r="H607" t="str" cm="1">
        <f t="array" ref="H607">_xlfn.TEXTJOIN(", ", TRUE, IF(I607:M607&gt;0, I$1:M$1, ""))</f>
        <v>Tech Application, Semantic View</v>
      </c>
      <c r="I607">
        <v>0</v>
      </c>
      <c r="J607">
        <v>4</v>
      </c>
      <c r="K607">
        <v>0</v>
      </c>
      <c r="L607">
        <v>0</v>
      </c>
      <c r="M607">
        <v>1</v>
      </c>
      <c r="N607">
        <v>0</v>
      </c>
    </row>
    <row r="608" spans="1:14" x14ac:dyDescent="0.35">
      <c r="A608" t="s">
        <v>6</v>
      </c>
      <c r="B608" t="s">
        <v>1332</v>
      </c>
      <c r="D608" t="s">
        <v>1333</v>
      </c>
      <c r="E608" t="s">
        <v>69</v>
      </c>
      <c r="F608" t="s">
        <v>55</v>
      </c>
      <c r="H608" t="str" cm="1">
        <f t="array" ref="H608">_xlfn.TEXTJOIN(", ", TRUE, IF(I608:M608&gt;0, I$1:M$1, ""))</f>
        <v>Tech Application, Semantic View</v>
      </c>
      <c r="I608">
        <v>0</v>
      </c>
      <c r="J608">
        <v>1</v>
      </c>
      <c r="K608">
        <v>0</v>
      </c>
      <c r="L608">
        <v>0</v>
      </c>
      <c r="M608">
        <v>2</v>
      </c>
      <c r="N608">
        <v>0</v>
      </c>
    </row>
    <row r="609" spans="1:14" x14ac:dyDescent="0.35">
      <c r="A609" t="s">
        <v>6</v>
      </c>
      <c r="B609" t="s">
        <v>1334</v>
      </c>
      <c r="D609" t="s">
        <v>1335</v>
      </c>
      <c r="E609" t="s">
        <v>59</v>
      </c>
      <c r="F609" t="s">
        <v>100</v>
      </c>
      <c r="H609" t="str" cm="1">
        <f t="array" ref="H609">_xlfn.TEXTJOIN(", ", TRUE, IF(I609:M609&gt;0, I$1:M$1, ""))</f>
        <v>Tech Infrastructure, Tech Application, Organisational View</v>
      </c>
      <c r="I609">
        <v>1</v>
      </c>
      <c r="J609">
        <v>2</v>
      </c>
      <c r="K609">
        <v>0</v>
      </c>
      <c r="L609">
        <v>2</v>
      </c>
      <c r="M609">
        <v>0</v>
      </c>
      <c r="N609">
        <v>0</v>
      </c>
    </row>
    <row r="610" spans="1:14" x14ac:dyDescent="0.35">
      <c r="A610" t="s">
        <v>6</v>
      </c>
      <c r="B610" t="s">
        <v>1336</v>
      </c>
      <c r="E610" t="s">
        <v>62</v>
      </c>
      <c r="F610" t="s">
        <v>55</v>
      </c>
      <c r="H610" t="str" cm="1">
        <f t="array" ref="H610">_xlfn.TEXTJOIN(", ", TRUE, IF(I610:M610&gt;0, I$1:M$1, ""))</f>
        <v>Semantic View</v>
      </c>
      <c r="I610">
        <v>0</v>
      </c>
      <c r="J610">
        <v>0</v>
      </c>
      <c r="K610">
        <v>0</v>
      </c>
      <c r="L610">
        <v>0</v>
      </c>
      <c r="M610">
        <v>2</v>
      </c>
      <c r="N610">
        <v>0</v>
      </c>
    </row>
    <row r="611" spans="1:14" x14ac:dyDescent="0.35">
      <c r="A611" t="s">
        <v>6</v>
      </c>
      <c r="B611" t="s">
        <v>1337</v>
      </c>
      <c r="D611" t="s">
        <v>1338</v>
      </c>
      <c r="E611" t="s">
        <v>230</v>
      </c>
      <c r="F611" t="s">
        <v>276</v>
      </c>
      <c r="H611" t="str" cm="1">
        <f t="array" ref="H611">_xlfn.TEXTJOIN(", ", TRUE, IF(I611:M611&gt;0, I$1:M$1, ""))</f>
        <v>Tech Application</v>
      </c>
      <c r="I611">
        <v>0</v>
      </c>
      <c r="J611">
        <v>1</v>
      </c>
      <c r="K611">
        <v>0</v>
      </c>
      <c r="L611">
        <v>0</v>
      </c>
      <c r="M611">
        <v>0</v>
      </c>
      <c r="N611">
        <v>0</v>
      </c>
    </row>
    <row r="612" spans="1:14" x14ac:dyDescent="0.35">
      <c r="A612" t="s">
        <v>6</v>
      </c>
      <c r="B612" t="s">
        <v>1339</v>
      </c>
      <c r="C612" t="s">
        <v>1340</v>
      </c>
      <c r="E612" t="s">
        <v>62</v>
      </c>
      <c r="F612" t="s">
        <v>324</v>
      </c>
      <c r="H612" t="str" cm="1">
        <f t="array" ref="H612">_xlfn.TEXTJOIN(", ", TRUE, IF(I612:M612&gt;0, I$1:M$1, ""))</f>
        <v>Tech Application</v>
      </c>
      <c r="I612">
        <v>0</v>
      </c>
      <c r="J612">
        <v>2</v>
      </c>
      <c r="K612">
        <v>0</v>
      </c>
      <c r="L612">
        <v>0</v>
      </c>
      <c r="M612">
        <v>0</v>
      </c>
      <c r="N612">
        <v>0</v>
      </c>
    </row>
    <row r="613" spans="1:14" x14ac:dyDescent="0.35">
      <c r="A613" t="s">
        <v>6</v>
      </c>
      <c r="B613" t="s">
        <v>1341</v>
      </c>
      <c r="C613" t="s">
        <v>1342</v>
      </c>
      <c r="E613" t="s">
        <v>66</v>
      </c>
      <c r="F613" t="s">
        <v>55</v>
      </c>
      <c r="H613" t="str" cm="1">
        <f t="array" ref="H613">_xlfn.TEXTJOIN(", ", TRUE, IF(I613:M613&gt;0, I$1:M$1, ""))</f>
        <v>Legal View</v>
      </c>
      <c r="I613">
        <v>0</v>
      </c>
      <c r="J613">
        <v>0</v>
      </c>
      <c r="K613">
        <v>1</v>
      </c>
      <c r="L613">
        <v>0</v>
      </c>
      <c r="M613">
        <v>0</v>
      </c>
      <c r="N613">
        <v>0</v>
      </c>
    </row>
    <row r="614" spans="1:14" x14ac:dyDescent="0.35">
      <c r="A614" t="s">
        <v>6</v>
      </c>
      <c r="B614" t="s">
        <v>1343</v>
      </c>
      <c r="D614" t="s">
        <v>1344</v>
      </c>
      <c r="E614" t="s">
        <v>69</v>
      </c>
      <c r="F614" t="s">
        <v>55</v>
      </c>
      <c r="H614" t="str" cm="1">
        <f t="array" ref="H614">_xlfn.TEXTJOIN(", ", TRUE, IF(I614:M614&gt;0, I$1:M$1, ""))</f>
        <v>Tech Infrastructure</v>
      </c>
      <c r="I614">
        <v>2</v>
      </c>
      <c r="J614">
        <v>0</v>
      </c>
      <c r="K614">
        <v>0</v>
      </c>
      <c r="L614">
        <v>0</v>
      </c>
      <c r="M614">
        <v>0</v>
      </c>
      <c r="N614">
        <v>0</v>
      </c>
    </row>
    <row r="615" spans="1:14" x14ac:dyDescent="0.35">
      <c r="A615" t="s">
        <v>6</v>
      </c>
      <c r="B615" t="s">
        <v>1345</v>
      </c>
      <c r="C615" t="s">
        <v>1346</v>
      </c>
      <c r="E615" t="s">
        <v>393</v>
      </c>
      <c r="F615" t="s">
        <v>1347</v>
      </c>
      <c r="H615" t="str" cm="1">
        <f t="array" ref="H615">_xlfn.TEXTJOIN(", ", TRUE, IF(I615:M615&gt;0, I$1:M$1, ""))</f>
        <v>Tech Application, Semantic View</v>
      </c>
      <c r="I615">
        <v>0</v>
      </c>
      <c r="J615">
        <v>2</v>
      </c>
      <c r="K615">
        <v>0</v>
      </c>
      <c r="L615">
        <v>0</v>
      </c>
      <c r="M615">
        <v>5</v>
      </c>
      <c r="N615">
        <v>0</v>
      </c>
    </row>
    <row r="616" spans="1:14" x14ac:dyDescent="0.35">
      <c r="A616" t="s">
        <v>6</v>
      </c>
      <c r="B616" t="s">
        <v>1348</v>
      </c>
      <c r="D616" t="s">
        <v>1349</v>
      </c>
      <c r="E616" t="s">
        <v>69</v>
      </c>
      <c r="F616" t="s">
        <v>55</v>
      </c>
      <c r="H616" t="str" cm="1">
        <f t="array" ref="H616">_xlfn.TEXTJOIN(", ", TRUE, IF(I616:M616&gt;0, I$1:M$1, ""))</f>
        <v>Organisational View, Semantic View</v>
      </c>
      <c r="I616">
        <v>0</v>
      </c>
      <c r="J616">
        <v>0</v>
      </c>
      <c r="K616">
        <v>0</v>
      </c>
      <c r="L616">
        <v>1</v>
      </c>
      <c r="M616">
        <v>1</v>
      </c>
      <c r="N616">
        <v>0</v>
      </c>
    </row>
    <row r="617" spans="1:14" x14ac:dyDescent="0.35">
      <c r="A617" t="s">
        <v>6</v>
      </c>
      <c r="B617" t="s">
        <v>1350</v>
      </c>
      <c r="D617" t="s">
        <v>1351</v>
      </c>
      <c r="E617" t="s">
        <v>1352</v>
      </c>
      <c r="F617" t="s">
        <v>97</v>
      </c>
      <c r="H617" t="str" cm="1">
        <f t="array" ref="H617">_xlfn.TEXTJOIN(", ", TRUE, IF(I617:M617&gt;0, I$1:M$1, ""))</f>
        <v>Tech Application</v>
      </c>
      <c r="I617">
        <v>0</v>
      </c>
      <c r="J617">
        <v>2</v>
      </c>
      <c r="K617">
        <v>0</v>
      </c>
      <c r="L617">
        <v>0</v>
      </c>
      <c r="M617">
        <v>0</v>
      </c>
      <c r="N617">
        <v>0</v>
      </c>
    </row>
    <row r="618" spans="1:14" x14ac:dyDescent="0.35">
      <c r="A618" t="s">
        <v>6</v>
      </c>
      <c r="B618" t="s">
        <v>1353</v>
      </c>
      <c r="E618" t="s">
        <v>1283</v>
      </c>
      <c r="F618" t="s">
        <v>1354</v>
      </c>
      <c r="H618" t="str" cm="1">
        <f t="array" ref="H618">_xlfn.TEXTJOIN(", ", TRUE, IF(I618:M618&gt;0, I$1:M$1, ""))</f>
        <v>Tech Application</v>
      </c>
      <c r="I618">
        <v>0</v>
      </c>
      <c r="J618">
        <v>2</v>
      </c>
      <c r="K618">
        <v>0</v>
      </c>
      <c r="L618">
        <v>0</v>
      </c>
      <c r="M618">
        <v>0</v>
      </c>
      <c r="N618">
        <v>0</v>
      </c>
    </row>
    <row r="619" spans="1:14" x14ac:dyDescent="0.35">
      <c r="A619" t="s">
        <v>6</v>
      </c>
      <c r="B619" t="s">
        <v>1355</v>
      </c>
      <c r="C619" t="s">
        <v>1356</v>
      </c>
      <c r="E619" t="s">
        <v>50</v>
      </c>
      <c r="F619" t="s">
        <v>570</v>
      </c>
      <c r="H619" t="str" cm="1">
        <f t="array" ref="H619">_xlfn.TEXTJOIN(", ", TRUE, IF(I619:M619&gt;0, I$1:M$1, ""))</f>
        <v>Tech Application, Semantic View</v>
      </c>
      <c r="I619">
        <v>0</v>
      </c>
      <c r="J619">
        <v>2</v>
      </c>
      <c r="K619">
        <v>0</v>
      </c>
      <c r="L619">
        <v>0</v>
      </c>
      <c r="M619">
        <v>3</v>
      </c>
      <c r="N619">
        <v>0</v>
      </c>
    </row>
    <row r="620" spans="1:14" x14ac:dyDescent="0.35">
      <c r="A620" t="s">
        <v>6</v>
      </c>
      <c r="B620" t="s">
        <v>1357</v>
      </c>
      <c r="D620" t="s">
        <v>1358</v>
      </c>
      <c r="E620" t="s">
        <v>230</v>
      </c>
      <c r="F620" t="s">
        <v>55</v>
      </c>
      <c r="H620" t="str" cm="1">
        <f t="array" ref="H620">_xlfn.TEXTJOIN(", ", TRUE, IF(I620:M620&gt;0, I$1:M$1, ""))</f>
        <v>Tech Application</v>
      </c>
      <c r="I620">
        <v>0</v>
      </c>
      <c r="J620">
        <v>2</v>
      </c>
      <c r="K620">
        <v>0</v>
      </c>
      <c r="L620">
        <v>0</v>
      </c>
      <c r="M620">
        <v>0</v>
      </c>
      <c r="N620">
        <v>0</v>
      </c>
    </row>
    <row r="621" spans="1:14" x14ac:dyDescent="0.35">
      <c r="A621" t="s">
        <v>6</v>
      </c>
      <c r="B621" t="s">
        <v>1359</v>
      </c>
      <c r="C621" t="s">
        <v>1360</v>
      </c>
      <c r="E621" t="s">
        <v>1361</v>
      </c>
      <c r="F621" t="s">
        <v>55</v>
      </c>
      <c r="H621" t="str" cm="1">
        <f t="array" ref="H621">_xlfn.TEXTJOIN(", ", TRUE, IF(I621:M621&gt;0, I$1:M$1, ""))</f>
        <v>Semantic View</v>
      </c>
      <c r="I621">
        <v>0</v>
      </c>
      <c r="J621">
        <v>0</v>
      </c>
      <c r="K621">
        <v>0</v>
      </c>
      <c r="L621">
        <v>0</v>
      </c>
      <c r="M621">
        <v>3</v>
      </c>
      <c r="N621">
        <v>0</v>
      </c>
    </row>
    <row r="622" spans="1:14" x14ac:dyDescent="0.35">
      <c r="A622" t="s">
        <v>6</v>
      </c>
      <c r="B622" t="s">
        <v>1362</v>
      </c>
      <c r="D622" t="s">
        <v>1363</v>
      </c>
      <c r="E622" t="s">
        <v>230</v>
      </c>
      <c r="F622" t="s">
        <v>51</v>
      </c>
      <c r="H622" t="str" cm="1">
        <f t="array" ref="H622">_xlfn.TEXTJOIN(", ", TRUE, IF(I622:M622&gt;0, I$1:M$1, ""))</f>
        <v>Tech Infrastructure, Tech Application</v>
      </c>
      <c r="I622">
        <v>1</v>
      </c>
      <c r="J622">
        <v>1</v>
      </c>
      <c r="K622">
        <v>0</v>
      </c>
      <c r="L622">
        <v>0</v>
      </c>
      <c r="M622">
        <v>0</v>
      </c>
      <c r="N622">
        <v>0</v>
      </c>
    </row>
    <row r="623" spans="1:14" x14ac:dyDescent="0.35">
      <c r="A623" t="s">
        <v>6</v>
      </c>
      <c r="B623" t="s">
        <v>1364</v>
      </c>
      <c r="E623" t="s">
        <v>154</v>
      </c>
      <c r="F623" t="s">
        <v>155</v>
      </c>
      <c r="H623" t="str" cm="1">
        <f t="array" ref="H623">_xlfn.TEXTJOIN(", ", TRUE, IF(I623:M623&gt;0, I$1:M$1, ""))</f>
        <v>Tech Application</v>
      </c>
      <c r="I623">
        <v>0</v>
      </c>
      <c r="J623">
        <v>2</v>
      </c>
      <c r="K623">
        <v>0</v>
      </c>
      <c r="L623">
        <v>0</v>
      </c>
      <c r="M623">
        <v>0</v>
      </c>
      <c r="N623">
        <v>0</v>
      </c>
    </row>
    <row r="624" spans="1:14" x14ac:dyDescent="0.35">
      <c r="A624" t="s">
        <v>6</v>
      </c>
      <c r="B624" t="s">
        <v>1365</v>
      </c>
      <c r="C624" t="s">
        <v>1366</v>
      </c>
      <c r="E624" t="s">
        <v>121</v>
      </c>
      <c r="F624" t="s">
        <v>51</v>
      </c>
      <c r="H624" t="str" cm="1">
        <f t="array" ref="H624">_xlfn.TEXTJOIN(", ", TRUE, IF(I624:M624&gt;0, I$1:M$1, ""))</f>
        <v>Organisational View</v>
      </c>
      <c r="I624">
        <v>0</v>
      </c>
      <c r="J624">
        <v>0</v>
      </c>
      <c r="K624">
        <v>0</v>
      </c>
      <c r="L624">
        <v>1</v>
      </c>
      <c r="M624">
        <v>0</v>
      </c>
      <c r="N624">
        <v>0</v>
      </c>
    </row>
    <row r="625" spans="1:14" x14ac:dyDescent="0.35">
      <c r="A625" t="s">
        <v>6</v>
      </c>
      <c r="B625" t="s">
        <v>1367</v>
      </c>
      <c r="D625" t="s">
        <v>1368</v>
      </c>
      <c r="E625" t="s">
        <v>69</v>
      </c>
      <c r="F625" t="s">
        <v>55</v>
      </c>
      <c r="H625" t="str" cm="1">
        <f t="array" ref="H625">_xlfn.TEXTJOIN(", ", TRUE, IF(I625:M625&gt;0, I$1:M$1, ""))</f>
        <v/>
      </c>
      <c r="I625">
        <v>0</v>
      </c>
      <c r="J625">
        <v>0</v>
      </c>
      <c r="K625">
        <v>0</v>
      </c>
      <c r="L625">
        <v>0</v>
      </c>
      <c r="M625">
        <v>0</v>
      </c>
      <c r="N625">
        <v>0</v>
      </c>
    </row>
    <row r="626" spans="1:14" x14ac:dyDescent="0.35">
      <c r="A626" t="s">
        <v>6</v>
      </c>
      <c r="B626" t="s">
        <v>1369</v>
      </c>
      <c r="E626" t="s">
        <v>62</v>
      </c>
      <c r="F626" t="s">
        <v>55</v>
      </c>
      <c r="H626" t="str" cm="1">
        <f t="array" ref="H626">_xlfn.TEXTJOIN(", ", TRUE, IF(I626:M626&gt;0, I$1:M$1, ""))</f>
        <v>Legal View</v>
      </c>
      <c r="I626">
        <v>0</v>
      </c>
      <c r="J626">
        <v>0</v>
      </c>
      <c r="K626">
        <v>1</v>
      </c>
      <c r="L626">
        <v>0</v>
      </c>
      <c r="M626">
        <v>0</v>
      </c>
      <c r="N626">
        <v>0</v>
      </c>
    </row>
    <row r="627" spans="1:14" x14ac:dyDescent="0.35">
      <c r="A627" t="s">
        <v>6</v>
      </c>
      <c r="B627" t="s">
        <v>1370</v>
      </c>
      <c r="E627" t="s">
        <v>121</v>
      </c>
      <c r="F627" t="s">
        <v>92</v>
      </c>
      <c r="H627" t="str" cm="1">
        <f t="array" ref="H627">_xlfn.TEXTJOIN(", ", TRUE, IF(I627:M627&gt;0, I$1:M$1, ""))</f>
        <v/>
      </c>
      <c r="I627">
        <v>0</v>
      </c>
      <c r="J627">
        <v>0</v>
      </c>
      <c r="K627">
        <v>0</v>
      </c>
      <c r="L627">
        <v>0</v>
      </c>
      <c r="M627">
        <v>0</v>
      </c>
      <c r="N627">
        <v>0</v>
      </c>
    </row>
    <row r="628" spans="1:14" x14ac:dyDescent="0.35">
      <c r="A628" t="s">
        <v>6</v>
      </c>
      <c r="B628" t="s">
        <v>1371</v>
      </c>
      <c r="E628" t="s">
        <v>489</v>
      </c>
      <c r="F628" t="s">
        <v>55</v>
      </c>
      <c r="H628" t="str" cm="1">
        <f t="array" ref="H628">_xlfn.TEXTJOIN(", ", TRUE, IF(I628:M628&gt;0, I$1:M$1, ""))</f>
        <v>Tech Application</v>
      </c>
      <c r="I628">
        <v>0</v>
      </c>
      <c r="J628">
        <v>4</v>
      </c>
      <c r="K628">
        <v>0</v>
      </c>
      <c r="L628">
        <v>0</v>
      </c>
      <c r="M628">
        <v>0</v>
      </c>
      <c r="N628">
        <v>0</v>
      </c>
    </row>
    <row r="629" spans="1:14" x14ac:dyDescent="0.35">
      <c r="A629" t="s">
        <v>6</v>
      </c>
      <c r="B629" t="s">
        <v>1372</v>
      </c>
      <c r="E629" t="s">
        <v>96</v>
      </c>
      <c r="F629" t="s">
        <v>55</v>
      </c>
      <c r="H629" t="str" cm="1">
        <f t="array" ref="H629">_xlfn.TEXTJOIN(", ", TRUE, IF(I629:M629&gt;0, I$1:M$1, ""))</f>
        <v>Organisational View</v>
      </c>
      <c r="I629">
        <v>0</v>
      </c>
      <c r="J629">
        <v>0</v>
      </c>
      <c r="K629">
        <v>0</v>
      </c>
      <c r="L629">
        <v>1</v>
      </c>
      <c r="M629">
        <v>0</v>
      </c>
      <c r="N629">
        <v>0</v>
      </c>
    </row>
    <row r="630" spans="1:14" x14ac:dyDescent="0.35">
      <c r="A630" t="s">
        <v>6</v>
      </c>
      <c r="B630" t="s">
        <v>1373</v>
      </c>
      <c r="C630" t="s">
        <v>1374</v>
      </c>
      <c r="E630" t="s">
        <v>489</v>
      </c>
      <c r="F630" t="s">
        <v>276</v>
      </c>
      <c r="H630" t="str" cm="1">
        <f t="array" ref="H630">_xlfn.TEXTJOIN(", ", TRUE, IF(I630:M630&gt;0, I$1:M$1, ""))</f>
        <v>Tech Application</v>
      </c>
      <c r="I630">
        <v>0</v>
      </c>
      <c r="J630">
        <v>1</v>
      </c>
      <c r="K630">
        <v>0</v>
      </c>
      <c r="L630">
        <v>0</v>
      </c>
      <c r="M630">
        <v>0</v>
      </c>
      <c r="N630">
        <v>0</v>
      </c>
    </row>
    <row r="631" spans="1:14" x14ac:dyDescent="0.35">
      <c r="A631" t="s">
        <v>6</v>
      </c>
      <c r="B631" t="s">
        <v>1375</v>
      </c>
      <c r="D631" t="s">
        <v>1376</v>
      </c>
      <c r="E631" t="s">
        <v>230</v>
      </c>
      <c r="F631" t="s">
        <v>55</v>
      </c>
      <c r="H631" t="str" cm="1">
        <f t="array" ref="H631">_xlfn.TEXTJOIN(", ", TRUE, IF(I631:M631&gt;0, I$1:M$1, ""))</f>
        <v>Tech Application, Organisational View</v>
      </c>
      <c r="I631">
        <v>0</v>
      </c>
      <c r="J631">
        <v>1</v>
      </c>
      <c r="K631">
        <v>0</v>
      </c>
      <c r="L631">
        <v>1</v>
      </c>
      <c r="M631">
        <v>0</v>
      </c>
      <c r="N631">
        <v>0</v>
      </c>
    </row>
    <row r="632" spans="1:14" x14ac:dyDescent="0.35">
      <c r="A632" t="s">
        <v>6</v>
      </c>
      <c r="B632" t="s">
        <v>1377</v>
      </c>
      <c r="E632" t="s">
        <v>622</v>
      </c>
      <c r="F632" t="s">
        <v>55</v>
      </c>
      <c r="H632" t="str" cm="1">
        <f t="array" ref="H632">_xlfn.TEXTJOIN(", ", TRUE, IF(I632:M632&gt;0, I$1:M$1, ""))</f>
        <v>Tech Application</v>
      </c>
      <c r="I632">
        <v>0</v>
      </c>
      <c r="J632">
        <v>1</v>
      </c>
      <c r="K632">
        <v>0</v>
      </c>
      <c r="L632">
        <v>0</v>
      </c>
      <c r="M632">
        <v>0</v>
      </c>
      <c r="N632">
        <v>0</v>
      </c>
    </row>
    <row r="633" spans="1:14" x14ac:dyDescent="0.35">
      <c r="A633" t="s">
        <v>6</v>
      </c>
      <c r="B633" t="s">
        <v>1378</v>
      </c>
      <c r="D633" t="s">
        <v>1379</v>
      </c>
      <c r="E633" t="s">
        <v>230</v>
      </c>
      <c r="F633" t="s">
        <v>55</v>
      </c>
      <c r="H633" t="str" cm="1">
        <f t="array" ref="H633">_xlfn.TEXTJOIN(", ", TRUE, IF(I633:M633&gt;0, I$1:M$1, ""))</f>
        <v>Organisational View</v>
      </c>
      <c r="I633">
        <v>0</v>
      </c>
      <c r="J633">
        <v>0</v>
      </c>
      <c r="K633">
        <v>0</v>
      </c>
      <c r="L633">
        <v>1</v>
      </c>
      <c r="M633">
        <v>0</v>
      </c>
      <c r="N633">
        <v>0</v>
      </c>
    </row>
    <row r="634" spans="1:14" x14ac:dyDescent="0.35">
      <c r="A634" t="s">
        <v>6</v>
      </c>
      <c r="B634" t="s">
        <v>1380</v>
      </c>
      <c r="D634" t="s">
        <v>1381</v>
      </c>
      <c r="E634" t="s">
        <v>69</v>
      </c>
      <c r="F634" t="s">
        <v>55</v>
      </c>
      <c r="H634" t="str" cm="1">
        <f t="array" ref="H634">_xlfn.TEXTJOIN(", ", TRUE, IF(I634:M634&gt;0, I$1:M$1, ""))</f>
        <v>Tech Infrastructure</v>
      </c>
      <c r="I634">
        <v>2</v>
      </c>
      <c r="J634">
        <v>0</v>
      </c>
      <c r="K634">
        <v>0</v>
      </c>
      <c r="L634">
        <v>0</v>
      </c>
      <c r="M634">
        <v>0</v>
      </c>
      <c r="N634">
        <v>0</v>
      </c>
    </row>
    <row r="635" spans="1:14" x14ac:dyDescent="0.35">
      <c r="A635" t="s">
        <v>6</v>
      </c>
      <c r="B635" t="s">
        <v>1382</v>
      </c>
      <c r="C635" t="s">
        <v>1383</v>
      </c>
      <c r="E635" t="s">
        <v>62</v>
      </c>
      <c r="F635" t="s">
        <v>907</v>
      </c>
      <c r="H635" t="str" cm="1">
        <f t="array" ref="H635">_xlfn.TEXTJOIN(", ", TRUE, IF(I635:M635&gt;0, I$1:M$1, ""))</f>
        <v>Tech Application</v>
      </c>
      <c r="I635">
        <v>0</v>
      </c>
      <c r="J635">
        <v>2</v>
      </c>
      <c r="K635">
        <v>0</v>
      </c>
      <c r="L635">
        <v>0</v>
      </c>
      <c r="M635">
        <v>0</v>
      </c>
      <c r="N635">
        <v>0</v>
      </c>
    </row>
    <row r="636" spans="1:14" x14ac:dyDescent="0.35">
      <c r="A636" t="s">
        <v>6</v>
      </c>
      <c r="B636" t="s">
        <v>1384</v>
      </c>
      <c r="E636" t="s">
        <v>69</v>
      </c>
      <c r="F636" t="s">
        <v>55</v>
      </c>
      <c r="H636" t="str" cm="1">
        <f t="array" ref="H636">_xlfn.TEXTJOIN(", ", TRUE, IF(I636:M636&gt;0, I$1:M$1, ""))</f>
        <v>Tech Infrastructure, Tech Application</v>
      </c>
      <c r="I636">
        <v>1</v>
      </c>
      <c r="J636">
        <v>2</v>
      </c>
      <c r="K636">
        <v>0</v>
      </c>
      <c r="L636">
        <v>0</v>
      </c>
      <c r="M636">
        <v>0</v>
      </c>
      <c r="N636">
        <v>1</v>
      </c>
    </row>
    <row r="637" spans="1:14" x14ac:dyDescent="0.35">
      <c r="A637" t="s">
        <v>6</v>
      </c>
      <c r="B637" t="s">
        <v>1385</v>
      </c>
      <c r="D637" t="s">
        <v>1386</v>
      </c>
      <c r="E637" t="s">
        <v>222</v>
      </c>
      <c r="F637" t="s">
        <v>55</v>
      </c>
      <c r="H637" t="str" cm="1">
        <f t="array" ref="H637">_xlfn.TEXTJOIN(", ", TRUE, IF(I637:M637&gt;0, I$1:M$1, ""))</f>
        <v>Tech Application</v>
      </c>
      <c r="I637">
        <v>0</v>
      </c>
      <c r="J637">
        <v>2</v>
      </c>
      <c r="K637">
        <v>0</v>
      </c>
      <c r="L637">
        <v>0</v>
      </c>
      <c r="M637">
        <v>0</v>
      </c>
      <c r="N637">
        <v>0</v>
      </c>
    </row>
    <row r="638" spans="1:14" x14ac:dyDescent="0.35">
      <c r="A638" t="s">
        <v>6</v>
      </c>
      <c r="B638" t="s">
        <v>1387</v>
      </c>
      <c r="D638" t="s">
        <v>1388</v>
      </c>
      <c r="E638" t="s">
        <v>230</v>
      </c>
      <c r="F638" t="s">
        <v>51</v>
      </c>
      <c r="H638" t="str" cm="1">
        <f t="array" ref="H638">_xlfn.TEXTJOIN(", ", TRUE, IF(I638:M638&gt;0, I$1:M$1, ""))</f>
        <v>Tech Infrastructure</v>
      </c>
      <c r="I638">
        <v>2</v>
      </c>
      <c r="J638">
        <v>0</v>
      </c>
      <c r="K638">
        <v>0</v>
      </c>
      <c r="L638">
        <v>0</v>
      </c>
      <c r="M638">
        <v>0</v>
      </c>
      <c r="N638">
        <v>0</v>
      </c>
    </row>
    <row r="639" spans="1:14" x14ac:dyDescent="0.35">
      <c r="A639" t="s">
        <v>6</v>
      </c>
      <c r="B639" t="s">
        <v>1389</v>
      </c>
      <c r="C639" t="s">
        <v>1390</v>
      </c>
      <c r="E639" t="s">
        <v>66</v>
      </c>
      <c r="F639" t="s">
        <v>1391</v>
      </c>
      <c r="H639" t="str" cm="1">
        <f t="array" ref="H639">_xlfn.TEXTJOIN(", ", TRUE, IF(I639:M639&gt;0, I$1:M$1, ""))</f>
        <v>Legal View, Organisational View</v>
      </c>
      <c r="I639">
        <v>0</v>
      </c>
      <c r="J639">
        <v>0</v>
      </c>
      <c r="K639">
        <v>5</v>
      </c>
      <c r="L639">
        <v>3</v>
      </c>
      <c r="M639">
        <v>0</v>
      </c>
      <c r="N639">
        <v>0</v>
      </c>
    </row>
    <row r="640" spans="1:14" x14ac:dyDescent="0.35">
      <c r="A640" t="s">
        <v>6</v>
      </c>
      <c r="B640" t="s">
        <v>1392</v>
      </c>
      <c r="E640" t="s">
        <v>1393</v>
      </c>
      <c r="F640" t="s">
        <v>1394</v>
      </c>
      <c r="H640" t="str" cm="1">
        <f t="array" ref="H640">_xlfn.TEXTJOIN(", ", TRUE, IF(I640:M640&gt;0, I$1:M$1, ""))</f>
        <v>Tech Application, Semantic View</v>
      </c>
      <c r="I640">
        <v>0</v>
      </c>
      <c r="J640">
        <v>2</v>
      </c>
      <c r="K640">
        <v>0</v>
      </c>
      <c r="L640">
        <v>0</v>
      </c>
      <c r="M640">
        <v>1</v>
      </c>
      <c r="N640">
        <v>0</v>
      </c>
    </row>
    <row r="641" spans="1:14" x14ac:dyDescent="0.35">
      <c r="A641" t="s">
        <v>6</v>
      </c>
      <c r="B641" t="s">
        <v>1395</v>
      </c>
      <c r="C641" t="s">
        <v>1396</v>
      </c>
      <c r="E641" t="s">
        <v>62</v>
      </c>
      <c r="F641" t="s">
        <v>1397</v>
      </c>
      <c r="H641" t="str" cm="1">
        <f t="array" ref="H641">_xlfn.TEXTJOIN(", ", TRUE, IF(I641:M641&gt;0, I$1:M$1, ""))</f>
        <v>Tech Application</v>
      </c>
      <c r="I641">
        <v>0</v>
      </c>
      <c r="J641">
        <v>5</v>
      </c>
      <c r="K641">
        <v>0</v>
      </c>
      <c r="L641">
        <v>0</v>
      </c>
      <c r="M641">
        <v>0</v>
      </c>
      <c r="N641">
        <v>0</v>
      </c>
    </row>
    <row r="642" spans="1:14" x14ac:dyDescent="0.35">
      <c r="A642" t="s">
        <v>6</v>
      </c>
      <c r="B642" t="s">
        <v>1398</v>
      </c>
      <c r="C642" t="s">
        <v>1399</v>
      </c>
      <c r="E642" t="s">
        <v>157</v>
      </c>
      <c r="F642" t="s">
        <v>582</v>
      </c>
      <c r="H642" t="str" cm="1">
        <f t="array" ref="H642">_xlfn.TEXTJOIN(", ", TRUE, IF(I642:M642&gt;0, I$1:M$1, ""))</f>
        <v>Semantic View</v>
      </c>
      <c r="I642">
        <v>0</v>
      </c>
      <c r="J642">
        <v>0</v>
      </c>
      <c r="K642">
        <v>0</v>
      </c>
      <c r="L642">
        <v>0</v>
      </c>
      <c r="M642">
        <v>3</v>
      </c>
      <c r="N642">
        <v>0</v>
      </c>
    </row>
    <row r="643" spans="1:14" x14ac:dyDescent="0.35">
      <c r="A643" t="s">
        <v>6</v>
      </c>
      <c r="B643" t="s">
        <v>1400</v>
      </c>
      <c r="C643" t="s">
        <v>1401</v>
      </c>
      <c r="E643" t="s">
        <v>50</v>
      </c>
      <c r="F643" t="s">
        <v>51</v>
      </c>
      <c r="H643" t="str" cm="1">
        <f t="array" ref="H643">_xlfn.TEXTJOIN(", ", TRUE, IF(I643:M643&gt;0, I$1:M$1, ""))</f>
        <v>Tech Infrastructure</v>
      </c>
      <c r="I643">
        <v>1</v>
      </c>
      <c r="J643">
        <v>0</v>
      </c>
      <c r="K643">
        <v>0</v>
      </c>
      <c r="L643">
        <v>0</v>
      </c>
      <c r="M643">
        <v>0</v>
      </c>
      <c r="N643">
        <v>0</v>
      </c>
    </row>
    <row r="644" spans="1:14" x14ac:dyDescent="0.35">
      <c r="A644" t="s">
        <v>6</v>
      </c>
      <c r="B644" t="s">
        <v>1402</v>
      </c>
      <c r="C644" t="s">
        <v>1403</v>
      </c>
      <c r="E644" t="s">
        <v>121</v>
      </c>
      <c r="F644" t="s">
        <v>431</v>
      </c>
      <c r="H644" t="str" cm="1">
        <f t="array" ref="H644">_xlfn.TEXTJOIN(", ", TRUE, IF(I644:M644&gt;0, I$1:M$1, ""))</f>
        <v>Tech Application, Semantic View</v>
      </c>
      <c r="I644">
        <v>0</v>
      </c>
      <c r="J644">
        <v>2</v>
      </c>
      <c r="K644">
        <v>0</v>
      </c>
      <c r="L644">
        <v>0</v>
      </c>
      <c r="M644">
        <v>1</v>
      </c>
      <c r="N644">
        <v>0</v>
      </c>
    </row>
    <row r="645" spans="1:14" x14ac:dyDescent="0.35">
      <c r="A645" t="s">
        <v>6</v>
      </c>
      <c r="B645" t="s">
        <v>1404</v>
      </c>
      <c r="C645" t="s">
        <v>1405</v>
      </c>
      <c r="E645" t="s">
        <v>121</v>
      </c>
      <c r="F645" t="s">
        <v>51</v>
      </c>
      <c r="H645" t="str" cm="1">
        <f t="array" ref="H645">_xlfn.TEXTJOIN(", ", TRUE, IF(I645:M645&gt;0, I$1:M$1, ""))</f>
        <v>Organisational View</v>
      </c>
      <c r="I645">
        <v>0</v>
      </c>
      <c r="J645">
        <v>0</v>
      </c>
      <c r="K645">
        <v>0</v>
      </c>
      <c r="L645">
        <v>1</v>
      </c>
      <c r="M645">
        <v>0</v>
      </c>
      <c r="N645">
        <v>0</v>
      </c>
    </row>
    <row r="646" spans="1:14" x14ac:dyDescent="0.35">
      <c r="A646" t="s">
        <v>6</v>
      </c>
      <c r="B646" t="s">
        <v>1406</v>
      </c>
      <c r="D646" t="s">
        <v>1407</v>
      </c>
      <c r="E646" t="s">
        <v>66</v>
      </c>
      <c r="F646" t="s">
        <v>1408</v>
      </c>
      <c r="H646" t="str" cm="1">
        <f t="array" ref="H646">_xlfn.TEXTJOIN(", ", TRUE, IF(I646:M646&gt;0, I$1:M$1, ""))</f>
        <v>Legal View</v>
      </c>
      <c r="I646">
        <v>0</v>
      </c>
      <c r="J646">
        <v>0</v>
      </c>
      <c r="K646">
        <v>1</v>
      </c>
      <c r="L646">
        <v>0</v>
      </c>
      <c r="M646">
        <v>0</v>
      </c>
      <c r="N646">
        <v>0</v>
      </c>
    </row>
    <row r="647" spans="1:14" x14ac:dyDescent="0.35">
      <c r="A647" t="s">
        <v>6</v>
      </c>
      <c r="B647" t="s">
        <v>1409</v>
      </c>
      <c r="C647" t="s">
        <v>1410</v>
      </c>
      <c r="E647" t="s">
        <v>62</v>
      </c>
      <c r="F647" t="s">
        <v>180</v>
      </c>
      <c r="H647" t="str" cm="1">
        <f t="array" ref="H647">_xlfn.TEXTJOIN(", ", TRUE, IF(I647:M647&gt;0, I$1:M$1, ""))</f>
        <v>Organisational View, Semantic View</v>
      </c>
      <c r="I647">
        <v>0</v>
      </c>
      <c r="J647">
        <v>0</v>
      </c>
      <c r="K647">
        <v>0</v>
      </c>
      <c r="L647">
        <v>2</v>
      </c>
      <c r="M647">
        <v>1</v>
      </c>
      <c r="N647">
        <v>0</v>
      </c>
    </row>
    <row r="648" spans="1:14" x14ac:dyDescent="0.35">
      <c r="A648" t="s">
        <v>6</v>
      </c>
      <c r="B648" t="s">
        <v>1411</v>
      </c>
      <c r="D648" t="s">
        <v>1412</v>
      </c>
      <c r="E648" t="s">
        <v>50</v>
      </c>
      <c r="F648" t="s">
        <v>55</v>
      </c>
      <c r="H648" t="str" cm="1">
        <f t="array" ref="H648">_xlfn.TEXTJOIN(", ", TRUE, IF(I648:M648&gt;0, I$1:M$1, ""))</f>
        <v>Semantic View</v>
      </c>
      <c r="I648">
        <v>0</v>
      </c>
      <c r="J648">
        <v>0</v>
      </c>
      <c r="K648">
        <v>0</v>
      </c>
      <c r="L648">
        <v>0</v>
      </c>
      <c r="M648">
        <v>1</v>
      </c>
      <c r="N648">
        <v>0</v>
      </c>
    </row>
    <row r="649" spans="1:14" x14ac:dyDescent="0.35">
      <c r="A649" t="s">
        <v>6</v>
      </c>
      <c r="B649" t="s">
        <v>1413</v>
      </c>
      <c r="C649" t="s">
        <v>1414</v>
      </c>
      <c r="E649" t="s">
        <v>96</v>
      </c>
      <c r="F649" t="s">
        <v>74</v>
      </c>
      <c r="H649" t="str" cm="1">
        <f t="array" ref="H649">_xlfn.TEXTJOIN(", ", TRUE, IF(I649:M649&gt;0, I$1:M$1, ""))</f>
        <v/>
      </c>
      <c r="I649">
        <v>0</v>
      </c>
      <c r="J649">
        <v>0</v>
      </c>
      <c r="K649">
        <v>0</v>
      </c>
      <c r="L649">
        <v>0</v>
      </c>
      <c r="M649">
        <v>0</v>
      </c>
      <c r="N649">
        <v>0</v>
      </c>
    </row>
    <row r="650" spans="1:14" x14ac:dyDescent="0.35">
      <c r="A650" t="s">
        <v>6</v>
      </c>
      <c r="B650" t="s">
        <v>1415</v>
      </c>
      <c r="C650" t="s">
        <v>1416</v>
      </c>
      <c r="E650" t="s">
        <v>438</v>
      </c>
      <c r="F650" t="s">
        <v>51</v>
      </c>
      <c r="H650" t="str" cm="1">
        <f t="array" ref="H650">_xlfn.TEXTJOIN(", ", TRUE, IF(I650:M650&gt;0, I$1:M$1, ""))</f>
        <v>Tech Application</v>
      </c>
      <c r="I650">
        <v>0</v>
      </c>
      <c r="J650">
        <v>2</v>
      </c>
      <c r="K650">
        <v>0</v>
      </c>
      <c r="L650">
        <v>0</v>
      </c>
      <c r="M650">
        <v>0</v>
      </c>
      <c r="N650">
        <v>0</v>
      </c>
    </row>
    <row r="651" spans="1:14" x14ac:dyDescent="0.35">
      <c r="A651" t="s">
        <v>6</v>
      </c>
      <c r="B651" t="s">
        <v>1417</v>
      </c>
      <c r="E651" t="s">
        <v>62</v>
      </c>
      <c r="F651" t="s">
        <v>206</v>
      </c>
      <c r="H651" t="str" cm="1">
        <f t="array" ref="H651">_xlfn.TEXTJOIN(", ", TRUE, IF(I651:M651&gt;0, I$1:M$1, ""))</f>
        <v>Tech Application</v>
      </c>
      <c r="I651">
        <v>0</v>
      </c>
      <c r="J651">
        <v>1</v>
      </c>
      <c r="K651">
        <v>0</v>
      </c>
      <c r="L651">
        <v>0</v>
      </c>
      <c r="M651">
        <v>0</v>
      </c>
      <c r="N651">
        <v>0</v>
      </c>
    </row>
    <row r="652" spans="1:14" x14ac:dyDescent="0.35">
      <c r="A652" t="s">
        <v>6</v>
      </c>
      <c r="B652" t="s">
        <v>1418</v>
      </c>
      <c r="D652" t="s">
        <v>1419</v>
      </c>
      <c r="E652" t="s">
        <v>50</v>
      </c>
      <c r="F652" t="s">
        <v>55</v>
      </c>
      <c r="H652" t="str" cm="1">
        <f t="array" ref="H652">_xlfn.TEXTJOIN(", ", TRUE, IF(I652:M652&gt;0, I$1:M$1, ""))</f>
        <v>Tech Infrastructure, Tech Application</v>
      </c>
      <c r="I652">
        <v>1</v>
      </c>
      <c r="J652">
        <v>3</v>
      </c>
      <c r="K652">
        <v>0</v>
      </c>
      <c r="L652">
        <v>0</v>
      </c>
      <c r="M652">
        <v>0</v>
      </c>
      <c r="N652">
        <v>0</v>
      </c>
    </row>
    <row r="653" spans="1:14" x14ac:dyDescent="0.35">
      <c r="A653" t="s">
        <v>6</v>
      </c>
      <c r="B653" t="s">
        <v>1420</v>
      </c>
      <c r="D653" t="s">
        <v>1421</v>
      </c>
      <c r="E653" t="s">
        <v>124</v>
      </c>
      <c r="F653" t="s">
        <v>180</v>
      </c>
      <c r="H653" t="str" cm="1">
        <f t="array" ref="H653">_xlfn.TEXTJOIN(", ", TRUE, IF(I653:M653&gt;0, I$1:M$1, ""))</f>
        <v>Semantic View</v>
      </c>
      <c r="I653">
        <v>0</v>
      </c>
      <c r="J653">
        <v>0</v>
      </c>
      <c r="K653">
        <v>0</v>
      </c>
      <c r="L653">
        <v>0</v>
      </c>
      <c r="M653">
        <v>3</v>
      </c>
      <c r="N653">
        <v>0</v>
      </c>
    </row>
    <row r="654" spans="1:14" x14ac:dyDescent="0.35">
      <c r="A654" t="s">
        <v>6</v>
      </c>
      <c r="B654" t="s">
        <v>1422</v>
      </c>
      <c r="D654" t="s">
        <v>1423</v>
      </c>
      <c r="E654" t="s">
        <v>69</v>
      </c>
      <c r="F654" t="s">
        <v>55</v>
      </c>
      <c r="H654" t="str" cm="1">
        <f t="array" ref="H654">_xlfn.TEXTJOIN(", ", TRUE, IF(I654:M654&gt;0, I$1:M$1, ""))</f>
        <v/>
      </c>
      <c r="I654">
        <v>0</v>
      </c>
      <c r="J654">
        <v>0</v>
      </c>
      <c r="K654">
        <v>0</v>
      </c>
      <c r="L654">
        <v>0</v>
      </c>
      <c r="M654">
        <v>0</v>
      </c>
      <c r="N654">
        <v>0</v>
      </c>
    </row>
    <row r="655" spans="1:14" x14ac:dyDescent="0.35">
      <c r="A655" t="s">
        <v>6</v>
      </c>
      <c r="B655" t="s">
        <v>1424</v>
      </c>
      <c r="D655" t="s">
        <v>1425</v>
      </c>
      <c r="E655" t="s">
        <v>733</v>
      </c>
      <c r="F655" t="s">
        <v>55</v>
      </c>
      <c r="H655" t="str" cm="1">
        <f t="array" ref="H655">_xlfn.TEXTJOIN(", ", TRUE, IF(I655:M655&gt;0, I$1:M$1, ""))</f>
        <v>Tech Application, Semantic View</v>
      </c>
      <c r="I655">
        <v>0</v>
      </c>
      <c r="J655">
        <v>2</v>
      </c>
      <c r="K655">
        <v>0</v>
      </c>
      <c r="L655">
        <v>0</v>
      </c>
      <c r="M655">
        <v>2</v>
      </c>
      <c r="N655">
        <v>0</v>
      </c>
    </row>
    <row r="656" spans="1:14" x14ac:dyDescent="0.35">
      <c r="A656" t="s">
        <v>6</v>
      </c>
      <c r="B656" t="s">
        <v>1426</v>
      </c>
      <c r="D656" t="s">
        <v>1427</v>
      </c>
      <c r="E656" t="s">
        <v>59</v>
      </c>
      <c r="F656" t="s">
        <v>100</v>
      </c>
      <c r="H656" t="str" cm="1">
        <f t="array" ref="H656">_xlfn.TEXTJOIN(", ", TRUE, IF(I656:M656&gt;0, I$1:M$1, ""))</f>
        <v>Tech Infrastructure, Organisational View</v>
      </c>
      <c r="I656">
        <v>1</v>
      </c>
      <c r="J656">
        <v>0</v>
      </c>
      <c r="K656">
        <v>0</v>
      </c>
      <c r="L656">
        <v>2</v>
      </c>
      <c r="M656">
        <v>0</v>
      </c>
      <c r="N656">
        <v>0</v>
      </c>
    </row>
    <row r="657" spans="1:14" x14ac:dyDescent="0.35">
      <c r="A657" t="s">
        <v>6</v>
      </c>
      <c r="B657" t="s">
        <v>1428</v>
      </c>
      <c r="D657" t="s">
        <v>1429</v>
      </c>
      <c r="E657" t="s">
        <v>66</v>
      </c>
      <c r="F657" t="s">
        <v>1430</v>
      </c>
      <c r="H657" t="str" cm="1">
        <f t="array" ref="H657">_xlfn.TEXTJOIN(", ", TRUE, IF(I657:M657&gt;0, I$1:M$1, ""))</f>
        <v>Legal View</v>
      </c>
      <c r="I657">
        <v>0</v>
      </c>
      <c r="J657">
        <v>0</v>
      </c>
      <c r="K657">
        <v>1</v>
      </c>
      <c r="L657">
        <v>0</v>
      </c>
      <c r="M657">
        <v>0</v>
      </c>
      <c r="N657">
        <v>0</v>
      </c>
    </row>
    <row r="658" spans="1:14" x14ac:dyDescent="0.35">
      <c r="A658" t="s">
        <v>6</v>
      </c>
      <c r="B658" t="s">
        <v>1431</v>
      </c>
      <c r="D658" t="s">
        <v>1432</v>
      </c>
      <c r="E658" t="s">
        <v>59</v>
      </c>
      <c r="F658" t="s">
        <v>100</v>
      </c>
      <c r="H658" t="str" cm="1">
        <f t="array" ref="H658">_xlfn.TEXTJOIN(", ", TRUE, IF(I658:M658&gt;0, I$1:M$1, ""))</f>
        <v>Organisational View, Semantic View</v>
      </c>
      <c r="I658">
        <v>0</v>
      </c>
      <c r="J658">
        <v>0</v>
      </c>
      <c r="K658">
        <v>0</v>
      </c>
      <c r="L658">
        <v>1</v>
      </c>
      <c r="M658">
        <v>2</v>
      </c>
      <c r="N658">
        <v>0</v>
      </c>
    </row>
    <row r="659" spans="1:14" x14ac:dyDescent="0.35">
      <c r="A659" t="s">
        <v>6</v>
      </c>
      <c r="B659" t="s">
        <v>1433</v>
      </c>
      <c r="E659" t="s">
        <v>96</v>
      </c>
      <c r="F659" t="s">
        <v>55</v>
      </c>
      <c r="H659" t="str" cm="1">
        <f t="array" ref="H659">_xlfn.TEXTJOIN(", ", TRUE, IF(I659:M659&gt;0, I$1:M$1, ""))</f>
        <v>Tech Application</v>
      </c>
      <c r="I659">
        <v>0</v>
      </c>
      <c r="J659">
        <v>3</v>
      </c>
      <c r="K659">
        <v>0</v>
      </c>
      <c r="L659">
        <v>0</v>
      </c>
      <c r="M659">
        <v>0</v>
      </c>
      <c r="N659">
        <v>0</v>
      </c>
    </row>
    <row r="660" spans="1:14" x14ac:dyDescent="0.35">
      <c r="A660" t="s">
        <v>6</v>
      </c>
      <c r="B660" t="s">
        <v>1434</v>
      </c>
      <c r="C660" t="s">
        <v>1435</v>
      </c>
      <c r="E660" t="s">
        <v>62</v>
      </c>
      <c r="F660" t="s">
        <v>51</v>
      </c>
      <c r="H660" t="str" cm="1">
        <f t="array" ref="H660">_xlfn.TEXTJOIN(", ", TRUE, IF(I660:M660&gt;0, I$1:M$1, ""))</f>
        <v>Tech Application</v>
      </c>
      <c r="I660">
        <v>0</v>
      </c>
      <c r="J660">
        <v>2</v>
      </c>
      <c r="K660">
        <v>0</v>
      </c>
      <c r="L660">
        <v>0</v>
      </c>
      <c r="M660">
        <v>0</v>
      </c>
      <c r="N660">
        <v>0</v>
      </c>
    </row>
    <row r="661" spans="1:14" x14ac:dyDescent="0.35">
      <c r="A661" t="s">
        <v>6</v>
      </c>
      <c r="B661" t="s">
        <v>1436</v>
      </c>
      <c r="C661" t="s">
        <v>1436</v>
      </c>
      <c r="E661" t="s">
        <v>50</v>
      </c>
      <c r="F661" t="s">
        <v>55</v>
      </c>
      <c r="H661" t="str" cm="1">
        <f t="array" ref="H661">_xlfn.TEXTJOIN(", ", TRUE, IF(I661:M661&gt;0, I$1:M$1, ""))</f>
        <v>Tech Application</v>
      </c>
      <c r="I661">
        <v>0</v>
      </c>
      <c r="J661">
        <v>2</v>
      </c>
      <c r="K661">
        <v>0</v>
      </c>
      <c r="L661">
        <v>0</v>
      </c>
      <c r="M661">
        <v>0</v>
      </c>
      <c r="N661">
        <v>0</v>
      </c>
    </row>
    <row r="662" spans="1:14" x14ac:dyDescent="0.35">
      <c r="A662" t="s">
        <v>6</v>
      </c>
      <c r="B662" t="s">
        <v>1437</v>
      </c>
      <c r="C662" t="s">
        <v>925</v>
      </c>
      <c r="E662" t="s">
        <v>345</v>
      </c>
      <c r="F662" t="s">
        <v>55</v>
      </c>
      <c r="H662" t="str" cm="1">
        <f t="array" ref="H662">_xlfn.TEXTJOIN(", ", TRUE, IF(I662:M662&gt;0, I$1:M$1, ""))</f>
        <v>Tech Application, Semantic View</v>
      </c>
      <c r="I662">
        <v>0</v>
      </c>
      <c r="J662">
        <v>2</v>
      </c>
      <c r="K662">
        <v>0</v>
      </c>
      <c r="L662">
        <v>0</v>
      </c>
      <c r="M662">
        <v>1</v>
      </c>
      <c r="N662">
        <v>0</v>
      </c>
    </row>
    <row r="663" spans="1:14" x14ac:dyDescent="0.35">
      <c r="A663" t="s">
        <v>6</v>
      </c>
      <c r="B663" t="s">
        <v>1438</v>
      </c>
      <c r="D663" t="s">
        <v>1439</v>
      </c>
      <c r="E663" t="s">
        <v>230</v>
      </c>
      <c r="F663" t="s">
        <v>55</v>
      </c>
      <c r="H663" t="str" cm="1">
        <f t="array" ref="H663">_xlfn.TEXTJOIN(", ", TRUE, IF(I663:M663&gt;0, I$1:M$1, ""))</f>
        <v>Tech Application, Semantic View</v>
      </c>
      <c r="I663">
        <v>0</v>
      </c>
      <c r="J663">
        <v>3</v>
      </c>
      <c r="K663">
        <v>0</v>
      </c>
      <c r="L663">
        <v>0</v>
      </c>
      <c r="M663">
        <v>2</v>
      </c>
      <c r="N663">
        <v>0</v>
      </c>
    </row>
    <row r="664" spans="1:14" x14ac:dyDescent="0.35">
      <c r="A664" t="s">
        <v>6</v>
      </c>
      <c r="B664" t="s">
        <v>1440</v>
      </c>
      <c r="C664" t="s">
        <v>1440</v>
      </c>
      <c r="E664" t="s">
        <v>121</v>
      </c>
      <c r="F664" t="s">
        <v>97</v>
      </c>
      <c r="H664" t="str" cm="1">
        <f t="array" ref="H664">_xlfn.TEXTJOIN(", ", TRUE, IF(I664:M664&gt;0, I$1:M$1, ""))</f>
        <v>Tech Application</v>
      </c>
      <c r="I664">
        <v>0</v>
      </c>
      <c r="J664">
        <v>2</v>
      </c>
      <c r="K664">
        <v>0</v>
      </c>
      <c r="L664">
        <v>0</v>
      </c>
      <c r="M664">
        <v>0</v>
      </c>
      <c r="N664">
        <v>2</v>
      </c>
    </row>
    <row r="665" spans="1:14" x14ac:dyDescent="0.35">
      <c r="A665" t="s">
        <v>6</v>
      </c>
      <c r="B665" t="s">
        <v>1441</v>
      </c>
      <c r="D665" t="s">
        <v>1442</v>
      </c>
      <c r="E665" t="s">
        <v>230</v>
      </c>
      <c r="F665" t="s">
        <v>447</v>
      </c>
      <c r="H665" t="str" cm="1">
        <f t="array" ref="H665">_xlfn.TEXTJOIN(", ", TRUE, IF(I665:M665&gt;0, I$1:M$1, ""))</f>
        <v>Tech Infrastructure, Tech Application</v>
      </c>
      <c r="I665">
        <v>1</v>
      </c>
      <c r="J665">
        <v>2</v>
      </c>
      <c r="K665">
        <v>0</v>
      </c>
      <c r="L665">
        <v>0</v>
      </c>
      <c r="M665">
        <v>0</v>
      </c>
      <c r="N665">
        <v>0</v>
      </c>
    </row>
    <row r="666" spans="1:14" x14ac:dyDescent="0.35">
      <c r="A666" t="s">
        <v>6</v>
      </c>
      <c r="B666" t="s">
        <v>1443</v>
      </c>
      <c r="C666" t="s">
        <v>1444</v>
      </c>
      <c r="E666" t="s">
        <v>1445</v>
      </c>
      <c r="F666" t="s">
        <v>51</v>
      </c>
      <c r="H666" t="str" cm="1">
        <f t="array" ref="H666">_xlfn.TEXTJOIN(", ", TRUE, IF(I666:M666&gt;0, I$1:M$1, ""))</f>
        <v>Tech Infrastructure</v>
      </c>
      <c r="I666">
        <v>2</v>
      </c>
      <c r="J666">
        <v>0</v>
      </c>
      <c r="K666">
        <v>0</v>
      </c>
      <c r="L666">
        <v>0</v>
      </c>
      <c r="M666">
        <v>0</v>
      </c>
      <c r="N666">
        <v>0</v>
      </c>
    </row>
    <row r="667" spans="1:14" x14ac:dyDescent="0.35">
      <c r="A667" t="s">
        <v>6</v>
      </c>
      <c r="B667" t="s">
        <v>1446</v>
      </c>
      <c r="C667" t="s">
        <v>1447</v>
      </c>
      <c r="E667" t="s">
        <v>1448</v>
      </c>
      <c r="F667" t="s">
        <v>55</v>
      </c>
      <c r="H667" t="str" cm="1">
        <f t="array" ref="H667">_xlfn.TEXTJOIN(", ", TRUE, IF(I667:M667&gt;0, I$1:M$1, ""))</f>
        <v>Semantic View</v>
      </c>
      <c r="I667">
        <v>0</v>
      </c>
      <c r="J667">
        <v>0</v>
      </c>
      <c r="K667">
        <v>0</v>
      </c>
      <c r="L667">
        <v>0</v>
      </c>
      <c r="M667">
        <v>2</v>
      </c>
      <c r="N667">
        <v>0</v>
      </c>
    </row>
    <row r="668" spans="1:14" x14ac:dyDescent="0.35">
      <c r="A668" t="s">
        <v>6</v>
      </c>
      <c r="B668" t="s">
        <v>1449</v>
      </c>
      <c r="D668" t="s">
        <v>1450</v>
      </c>
      <c r="E668" t="s">
        <v>96</v>
      </c>
      <c r="F668" t="s">
        <v>51</v>
      </c>
      <c r="H668" t="str" cm="1">
        <f t="array" ref="H668">_xlfn.TEXTJOIN(", ", TRUE, IF(I668:M668&gt;0, I$1:M$1, ""))</f>
        <v>Semantic View</v>
      </c>
      <c r="I668">
        <v>0</v>
      </c>
      <c r="J668">
        <v>0</v>
      </c>
      <c r="K668">
        <v>0</v>
      </c>
      <c r="L668">
        <v>0</v>
      </c>
      <c r="M668">
        <v>2</v>
      </c>
      <c r="N668">
        <v>0</v>
      </c>
    </row>
    <row r="669" spans="1:14" x14ac:dyDescent="0.35">
      <c r="A669" t="s">
        <v>6</v>
      </c>
      <c r="B669" t="s">
        <v>1451</v>
      </c>
      <c r="D669" t="s">
        <v>1452</v>
      </c>
      <c r="E669" t="s">
        <v>230</v>
      </c>
      <c r="F669" t="s">
        <v>92</v>
      </c>
      <c r="H669" t="str" cm="1">
        <f t="array" ref="H669">_xlfn.TEXTJOIN(", ", TRUE, IF(I669:M669&gt;0, I$1:M$1, ""))</f>
        <v>Tech Application</v>
      </c>
      <c r="I669">
        <v>0</v>
      </c>
      <c r="J669">
        <v>1</v>
      </c>
      <c r="K669">
        <v>0</v>
      </c>
      <c r="L669">
        <v>0</v>
      </c>
      <c r="M669">
        <v>0</v>
      </c>
      <c r="N669">
        <v>0</v>
      </c>
    </row>
    <row r="670" spans="1:14" x14ac:dyDescent="0.35">
      <c r="A670" t="s">
        <v>6</v>
      </c>
      <c r="B670" t="s">
        <v>1453</v>
      </c>
      <c r="C670" t="s">
        <v>1454</v>
      </c>
      <c r="E670" t="s">
        <v>121</v>
      </c>
      <c r="F670" t="s">
        <v>1455</v>
      </c>
      <c r="H670" t="str" cm="1">
        <f t="array" ref="H670">_xlfn.TEXTJOIN(", ", TRUE, IF(I670:M670&gt;0, I$1:M$1, ""))</f>
        <v/>
      </c>
      <c r="I670">
        <v>0</v>
      </c>
      <c r="J670">
        <v>0</v>
      </c>
      <c r="K670">
        <v>0</v>
      </c>
      <c r="L670">
        <v>0</v>
      </c>
      <c r="M670">
        <v>0</v>
      </c>
      <c r="N670">
        <v>0</v>
      </c>
    </row>
    <row r="671" spans="1:14" x14ac:dyDescent="0.35">
      <c r="A671" t="s">
        <v>6</v>
      </c>
      <c r="B671" t="s">
        <v>1456</v>
      </c>
      <c r="E671" t="s">
        <v>886</v>
      </c>
      <c r="F671" t="s">
        <v>1457</v>
      </c>
      <c r="H671" t="str" cm="1">
        <f t="array" ref="H671">_xlfn.TEXTJOIN(", ", TRUE, IF(I671:M671&gt;0, I$1:M$1, ""))</f>
        <v>Semantic View</v>
      </c>
      <c r="I671">
        <v>0</v>
      </c>
      <c r="J671">
        <v>0</v>
      </c>
      <c r="K671">
        <v>0</v>
      </c>
      <c r="L671">
        <v>0</v>
      </c>
      <c r="M671">
        <v>1</v>
      </c>
      <c r="N671">
        <v>0</v>
      </c>
    </row>
    <row r="672" spans="1:14" x14ac:dyDescent="0.35">
      <c r="A672" t="s">
        <v>6</v>
      </c>
      <c r="B672" t="s">
        <v>1458</v>
      </c>
      <c r="D672" t="s">
        <v>1459</v>
      </c>
      <c r="E672" t="s">
        <v>230</v>
      </c>
      <c r="F672" t="s">
        <v>55</v>
      </c>
      <c r="H672" t="str" cm="1">
        <f t="array" ref="H672">_xlfn.TEXTJOIN(", ", TRUE, IF(I672:M672&gt;0, I$1:M$1, ""))</f>
        <v>Tech Infrastructure, Tech Application, Semantic View</v>
      </c>
      <c r="I672">
        <v>4</v>
      </c>
      <c r="J672">
        <v>1</v>
      </c>
      <c r="K672">
        <v>0</v>
      </c>
      <c r="L672">
        <v>0</v>
      </c>
      <c r="M672">
        <v>2</v>
      </c>
      <c r="N672">
        <v>1</v>
      </c>
    </row>
    <row r="673" spans="1:14" x14ac:dyDescent="0.35">
      <c r="A673" t="s">
        <v>6</v>
      </c>
      <c r="B673" t="s">
        <v>1460</v>
      </c>
      <c r="C673" t="s">
        <v>266</v>
      </c>
      <c r="D673" t="s">
        <v>1461</v>
      </c>
      <c r="E673" t="s">
        <v>230</v>
      </c>
      <c r="F673" t="s">
        <v>111</v>
      </c>
      <c r="H673" t="str" cm="1">
        <f t="array" ref="H673">_xlfn.TEXTJOIN(", ", TRUE, IF(I673:M673&gt;0, I$1:M$1, ""))</f>
        <v>Semantic View</v>
      </c>
      <c r="I673">
        <v>0</v>
      </c>
      <c r="J673">
        <v>0</v>
      </c>
      <c r="K673">
        <v>0</v>
      </c>
      <c r="L673">
        <v>0</v>
      </c>
      <c r="M673">
        <v>2</v>
      </c>
      <c r="N673">
        <v>0</v>
      </c>
    </row>
    <row r="674" spans="1:14" x14ac:dyDescent="0.35">
      <c r="A674" t="s">
        <v>6</v>
      </c>
      <c r="B674" t="s">
        <v>1462</v>
      </c>
      <c r="E674" t="s">
        <v>50</v>
      </c>
      <c r="F674" t="s">
        <v>55</v>
      </c>
      <c r="H674" t="str" cm="1">
        <f t="array" ref="H674">_xlfn.TEXTJOIN(", ", TRUE, IF(I674:M674&gt;0, I$1:M$1, ""))</f>
        <v>Tech Application</v>
      </c>
      <c r="I674">
        <v>0</v>
      </c>
      <c r="J674">
        <v>5</v>
      </c>
      <c r="K674">
        <v>0</v>
      </c>
      <c r="L674">
        <v>0</v>
      </c>
      <c r="M674">
        <v>0</v>
      </c>
      <c r="N674">
        <v>0</v>
      </c>
    </row>
    <row r="675" spans="1:14" x14ac:dyDescent="0.35">
      <c r="A675" t="s">
        <v>6</v>
      </c>
      <c r="B675" t="s">
        <v>1463</v>
      </c>
      <c r="D675" t="s">
        <v>1464</v>
      </c>
      <c r="E675" t="s">
        <v>50</v>
      </c>
      <c r="F675" t="s">
        <v>55</v>
      </c>
      <c r="H675" t="str" cm="1">
        <f t="array" ref="H675">_xlfn.TEXTJOIN(", ", TRUE, IF(I675:M675&gt;0, I$1:M$1, ""))</f>
        <v>Semantic View</v>
      </c>
      <c r="I675">
        <v>0</v>
      </c>
      <c r="J675">
        <v>0</v>
      </c>
      <c r="K675">
        <v>0</v>
      </c>
      <c r="L675">
        <v>0</v>
      </c>
      <c r="M675">
        <v>1</v>
      </c>
      <c r="N675">
        <v>0</v>
      </c>
    </row>
    <row r="676" spans="1:14" x14ac:dyDescent="0.35">
      <c r="A676" t="s">
        <v>6</v>
      </c>
      <c r="B676" t="s">
        <v>1465</v>
      </c>
      <c r="C676" t="s">
        <v>1466</v>
      </c>
      <c r="E676" t="s">
        <v>62</v>
      </c>
      <c r="F676" t="s">
        <v>55</v>
      </c>
      <c r="H676" t="str" cm="1">
        <f t="array" ref="H676">_xlfn.TEXTJOIN(", ", TRUE, IF(I676:M676&gt;0, I$1:M$1, ""))</f>
        <v>Semantic View</v>
      </c>
      <c r="I676">
        <v>0</v>
      </c>
      <c r="J676">
        <v>0</v>
      </c>
      <c r="K676">
        <v>0</v>
      </c>
      <c r="L676">
        <v>0</v>
      </c>
      <c r="M676">
        <v>7</v>
      </c>
      <c r="N676">
        <v>2</v>
      </c>
    </row>
    <row r="677" spans="1:14" x14ac:dyDescent="0.35">
      <c r="A677" t="s">
        <v>6</v>
      </c>
      <c r="B677" t="s">
        <v>1467</v>
      </c>
      <c r="E677" t="s">
        <v>592</v>
      </c>
      <c r="F677" t="s">
        <v>1457</v>
      </c>
      <c r="H677" t="str" cm="1">
        <f t="array" ref="H677">_xlfn.TEXTJOIN(", ", TRUE, IF(I677:M677&gt;0, I$1:M$1, ""))</f>
        <v>Tech Application</v>
      </c>
      <c r="I677">
        <v>0</v>
      </c>
      <c r="J677">
        <v>2</v>
      </c>
      <c r="K677">
        <v>0</v>
      </c>
      <c r="L677">
        <v>0</v>
      </c>
      <c r="M677">
        <v>0</v>
      </c>
      <c r="N677">
        <v>0</v>
      </c>
    </row>
    <row r="678" spans="1:14" x14ac:dyDescent="0.35">
      <c r="A678" t="s">
        <v>6</v>
      </c>
      <c r="B678" t="s">
        <v>1468</v>
      </c>
      <c r="C678" t="s">
        <v>1469</v>
      </c>
      <c r="E678" t="s">
        <v>59</v>
      </c>
      <c r="F678" t="s">
        <v>206</v>
      </c>
      <c r="H678" t="str" cm="1">
        <f t="array" ref="H678">_xlfn.TEXTJOIN(", ", TRUE, IF(I678:M678&gt;0, I$1:M$1, ""))</f>
        <v>Tech Application</v>
      </c>
      <c r="I678">
        <v>0</v>
      </c>
      <c r="J678">
        <v>7</v>
      </c>
      <c r="K678">
        <v>0</v>
      </c>
      <c r="L678">
        <v>0</v>
      </c>
      <c r="M678">
        <v>0</v>
      </c>
      <c r="N678">
        <v>1</v>
      </c>
    </row>
    <row r="679" spans="1:14" x14ac:dyDescent="0.35">
      <c r="A679" t="s">
        <v>6</v>
      </c>
      <c r="B679" t="s">
        <v>1470</v>
      </c>
      <c r="E679" t="s">
        <v>62</v>
      </c>
      <c r="F679" t="s">
        <v>51</v>
      </c>
      <c r="H679" t="str" cm="1">
        <f t="array" ref="H679">_xlfn.TEXTJOIN(", ", TRUE, IF(I679:M679&gt;0, I$1:M$1, ""))</f>
        <v>Tech Application</v>
      </c>
      <c r="I679">
        <v>0</v>
      </c>
      <c r="J679">
        <v>2</v>
      </c>
      <c r="K679">
        <v>0</v>
      </c>
      <c r="L679">
        <v>0</v>
      </c>
      <c r="M679">
        <v>0</v>
      </c>
      <c r="N679">
        <v>0</v>
      </c>
    </row>
    <row r="680" spans="1:14" x14ac:dyDescent="0.35">
      <c r="A680" t="s">
        <v>6</v>
      </c>
      <c r="B680" t="s">
        <v>1471</v>
      </c>
      <c r="C680" t="s">
        <v>662</v>
      </c>
      <c r="D680" t="s">
        <v>1472</v>
      </c>
      <c r="E680" t="s">
        <v>230</v>
      </c>
      <c r="F680" t="s">
        <v>55</v>
      </c>
      <c r="H680" t="str" cm="1">
        <f t="array" ref="H680">_xlfn.TEXTJOIN(", ", TRUE, IF(I680:M680&gt;0, I$1:M$1, ""))</f>
        <v/>
      </c>
      <c r="I680">
        <v>0</v>
      </c>
      <c r="J680">
        <v>0</v>
      </c>
      <c r="K680">
        <v>0</v>
      </c>
      <c r="L680">
        <v>0</v>
      </c>
      <c r="M680">
        <v>0</v>
      </c>
      <c r="N680">
        <v>0</v>
      </c>
    </row>
    <row r="681" spans="1:14" x14ac:dyDescent="0.35">
      <c r="A681" t="s">
        <v>6</v>
      </c>
      <c r="B681" t="s">
        <v>1473</v>
      </c>
      <c r="C681" t="s">
        <v>732</v>
      </c>
      <c r="D681" t="s">
        <v>1474</v>
      </c>
      <c r="E681" t="s">
        <v>230</v>
      </c>
      <c r="F681" t="s">
        <v>447</v>
      </c>
      <c r="H681" t="str" cm="1">
        <f t="array" ref="H681">_xlfn.TEXTJOIN(", ", TRUE, IF(I681:M681&gt;0, I$1:M$1, ""))</f>
        <v>Tech Application</v>
      </c>
      <c r="I681">
        <v>0</v>
      </c>
      <c r="J681">
        <v>2</v>
      </c>
      <c r="K681">
        <v>0</v>
      </c>
      <c r="L681">
        <v>0</v>
      </c>
      <c r="M681">
        <v>0</v>
      </c>
      <c r="N681">
        <v>0</v>
      </c>
    </row>
    <row r="682" spans="1:14" x14ac:dyDescent="0.35">
      <c r="A682" t="s">
        <v>6</v>
      </c>
      <c r="B682" t="s">
        <v>1475</v>
      </c>
      <c r="E682" t="s">
        <v>121</v>
      </c>
      <c r="F682" t="s">
        <v>55</v>
      </c>
      <c r="H682" t="str" cm="1">
        <f t="array" ref="H682">_xlfn.TEXTJOIN(", ", TRUE, IF(I682:M682&gt;0, I$1:M$1, ""))</f>
        <v>Tech Application</v>
      </c>
      <c r="I682">
        <v>0</v>
      </c>
      <c r="J682">
        <v>3</v>
      </c>
      <c r="K682">
        <v>0</v>
      </c>
      <c r="L682">
        <v>0</v>
      </c>
      <c r="M682">
        <v>0</v>
      </c>
      <c r="N682">
        <v>0</v>
      </c>
    </row>
    <row r="683" spans="1:14" x14ac:dyDescent="0.35">
      <c r="A683" t="s">
        <v>6</v>
      </c>
      <c r="B683" t="s">
        <v>1476</v>
      </c>
      <c r="C683" t="s">
        <v>1469</v>
      </c>
      <c r="D683" t="s">
        <v>1477</v>
      </c>
      <c r="E683" t="s">
        <v>59</v>
      </c>
      <c r="F683" t="s">
        <v>100</v>
      </c>
      <c r="H683" t="str" cm="1">
        <f t="array" ref="H683">_xlfn.TEXTJOIN(", ", TRUE, IF(I683:M683&gt;0, I$1:M$1, ""))</f>
        <v>Tech Application</v>
      </c>
      <c r="I683">
        <v>0</v>
      </c>
      <c r="J683">
        <v>6</v>
      </c>
      <c r="K683">
        <v>0</v>
      </c>
      <c r="L683">
        <v>0</v>
      </c>
      <c r="M683">
        <v>0</v>
      </c>
      <c r="N683">
        <v>0</v>
      </c>
    </row>
    <row r="684" spans="1:14" x14ac:dyDescent="0.35">
      <c r="A684" t="s">
        <v>6</v>
      </c>
      <c r="B684" t="s">
        <v>1478</v>
      </c>
      <c r="C684" t="s">
        <v>1479</v>
      </c>
      <c r="E684" t="s">
        <v>121</v>
      </c>
      <c r="F684" t="s">
        <v>55</v>
      </c>
      <c r="H684" t="str" cm="1">
        <f t="array" ref="H684">_xlfn.TEXTJOIN(", ", TRUE, IF(I684:M684&gt;0, I$1:M$1, ""))</f>
        <v>Semantic View</v>
      </c>
      <c r="I684">
        <v>0</v>
      </c>
      <c r="J684">
        <v>0</v>
      </c>
      <c r="K684">
        <v>0</v>
      </c>
      <c r="L684">
        <v>0</v>
      </c>
      <c r="M684">
        <v>3</v>
      </c>
      <c r="N684">
        <v>0</v>
      </c>
    </row>
    <row r="685" spans="1:14" x14ac:dyDescent="0.35">
      <c r="A685" t="s">
        <v>6</v>
      </c>
      <c r="B685" t="s">
        <v>1480</v>
      </c>
      <c r="D685" t="s">
        <v>1481</v>
      </c>
      <c r="E685" t="s">
        <v>69</v>
      </c>
      <c r="F685" t="s">
        <v>55</v>
      </c>
      <c r="H685" t="str" cm="1">
        <f t="array" ref="H685">_xlfn.TEXTJOIN(", ", TRUE, IF(I685:M685&gt;0, I$1:M$1, ""))</f>
        <v>Semantic View</v>
      </c>
      <c r="I685">
        <v>0</v>
      </c>
      <c r="J685">
        <v>0</v>
      </c>
      <c r="K685">
        <v>0</v>
      </c>
      <c r="L685">
        <v>0</v>
      </c>
      <c r="M685">
        <v>1</v>
      </c>
      <c r="N685">
        <v>0</v>
      </c>
    </row>
    <row r="686" spans="1:14" x14ac:dyDescent="0.35">
      <c r="A686" t="s">
        <v>6</v>
      </c>
      <c r="B686" t="s">
        <v>1482</v>
      </c>
      <c r="D686" t="s">
        <v>1483</v>
      </c>
      <c r="E686" t="s">
        <v>69</v>
      </c>
      <c r="F686" t="s">
        <v>55</v>
      </c>
      <c r="H686" t="str" cm="1">
        <f t="array" ref="H686">_xlfn.TEXTJOIN(", ", TRUE, IF(I686:M686&gt;0, I$1:M$1, ""))</f>
        <v/>
      </c>
      <c r="I686">
        <v>0</v>
      </c>
      <c r="J686">
        <v>0</v>
      </c>
      <c r="K686">
        <v>0</v>
      </c>
      <c r="L686">
        <v>0</v>
      </c>
      <c r="M686">
        <v>0</v>
      </c>
      <c r="N686">
        <v>0</v>
      </c>
    </row>
    <row r="687" spans="1:14" x14ac:dyDescent="0.35">
      <c r="A687" t="s">
        <v>6</v>
      </c>
      <c r="B687" t="s">
        <v>1484</v>
      </c>
      <c r="E687" t="s">
        <v>1485</v>
      </c>
      <c r="F687" t="s">
        <v>1457</v>
      </c>
      <c r="H687" t="str" cm="1">
        <f t="array" ref="H687">_xlfn.TEXTJOIN(", ", TRUE, IF(I687:M687&gt;0, I$1:M$1, ""))</f>
        <v>Tech Infrastructure</v>
      </c>
      <c r="I687">
        <v>1</v>
      </c>
      <c r="J687">
        <v>0</v>
      </c>
      <c r="K687">
        <v>0</v>
      </c>
      <c r="L687">
        <v>0</v>
      </c>
      <c r="M687">
        <v>0</v>
      </c>
      <c r="N687">
        <v>0</v>
      </c>
    </row>
    <row r="688" spans="1:14" x14ac:dyDescent="0.35">
      <c r="A688" t="s">
        <v>6</v>
      </c>
      <c r="B688" t="s">
        <v>1486</v>
      </c>
      <c r="D688" t="s">
        <v>1487</v>
      </c>
      <c r="E688" t="s">
        <v>66</v>
      </c>
      <c r="F688" t="s">
        <v>1488</v>
      </c>
      <c r="H688" t="str" cm="1">
        <f t="array" ref="H688">_xlfn.TEXTJOIN(", ", TRUE, IF(I688:M688&gt;0, I$1:M$1, ""))</f>
        <v>Legal View</v>
      </c>
      <c r="I688">
        <v>0</v>
      </c>
      <c r="J688">
        <v>0</v>
      </c>
      <c r="K688">
        <v>1</v>
      </c>
      <c r="L688">
        <v>0</v>
      </c>
      <c r="M688">
        <v>0</v>
      </c>
      <c r="N688">
        <v>0</v>
      </c>
    </row>
    <row r="689" spans="1:14" x14ac:dyDescent="0.35">
      <c r="A689" t="s">
        <v>6</v>
      </c>
      <c r="B689" t="s">
        <v>1489</v>
      </c>
      <c r="D689" t="s">
        <v>1490</v>
      </c>
      <c r="E689" t="s">
        <v>59</v>
      </c>
      <c r="F689" t="s">
        <v>249</v>
      </c>
      <c r="H689" t="str" cm="1">
        <f t="array" ref="H689">_xlfn.TEXTJOIN(", ", TRUE, IF(I689:M689&gt;0, I$1:M$1, ""))</f>
        <v>Tech Application</v>
      </c>
      <c r="I689">
        <v>0</v>
      </c>
      <c r="J689">
        <v>5</v>
      </c>
      <c r="K689">
        <v>0</v>
      </c>
      <c r="L689">
        <v>0</v>
      </c>
      <c r="M689">
        <v>0</v>
      </c>
      <c r="N689">
        <v>0</v>
      </c>
    </row>
    <row r="690" spans="1:14" x14ac:dyDescent="0.35">
      <c r="A690" t="s">
        <v>6</v>
      </c>
      <c r="B690" t="s">
        <v>1491</v>
      </c>
      <c r="C690" t="s">
        <v>1492</v>
      </c>
      <c r="D690" t="s">
        <v>1493</v>
      </c>
      <c r="E690" t="s">
        <v>230</v>
      </c>
      <c r="F690" t="s">
        <v>51</v>
      </c>
      <c r="H690" t="str" cm="1">
        <f t="array" ref="H690">_xlfn.TEXTJOIN(", ", TRUE, IF(I690:M690&gt;0, I$1:M$1, ""))</f>
        <v>Tech Application</v>
      </c>
      <c r="I690">
        <v>0</v>
      </c>
      <c r="J690">
        <v>1</v>
      </c>
      <c r="K690">
        <v>0</v>
      </c>
      <c r="L690">
        <v>0</v>
      </c>
      <c r="M690">
        <v>0</v>
      </c>
      <c r="N690">
        <v>0</v>
      </c>
    </row>
    <row r="691" spans="1:14" x14ac:dyDescent="0.35">
      <c r="A691" t="s">
        <v>6</v>
      </c>
      <c r="B691" t="s">
        <v>1494</v>
      </c>
      <c r="C691" t="s">
        <v>1495</v>
      </c>
      <c r="E691" t="s">
        <v>66</v>
      </c>
      <c r="F691" t="s">
        <v>1496</v>
      </c>
      <c r="H691" t="str" cm="1">
        <f t="array" ref="H691">_xlfn.TEXTJOIN(", ", TRUE, IF(I691:M691&gt;0, I$1:M$1, ""))</f>
        <v>Semantic View</v>
      </c>
      <c r="I691">
        <v>0</v>
      </c>
      <c r="J691">
        <v>0</v>
      </c>
      <c r="K691">
        <v>0</v>
      </c>
      <c r="L691">
        <v>0</v>
      </c>
      <c r="M691">
        <v>1</v>
      </c>
      <c r="N691">
        <v>2</v>
      </c>
    </row>
    <row r="692" spans="1:14" x14ac:dyDescent="0.35">
      <c r="A692" t="s">
        <v>6</v>
      </c>
      <c r="B692" t="s">
        <v>1497</v>
      </c>
      <c r="D692" t="s">
        <v>1498</v>
      </c>
      <c r="E692" t="s">
        <v>62</v>
      </c>
      <c r="F692" t="s">
        <v>1499</v>
      </c>
      <c r="H692" t="str" cm="1">
        <f t="array" ref="H692">_xlfn.TEXTJOIN(", ", TRUE, IF(I692:M692&gt;0, I$1:M$1, ""))</f>
        <v>Legal View</v>
      </c>
      <c r="I692">
        <v>0</v>
      </c>
      <c r="J692">
        <v>0</v>
      </c>
      <c r="K692">
        <v>5</v>
      </c>
      <c r="L692">
        <v>0</v>
      </c>
      <c r="M692">
        <v>0</v>
      </c>
      <c r="N692">
        <v>0</v>
      </c>
    </row>
    <row r="693" spans="1:14" x14ac:dyDescent="0.35">
      <c r="A693" t="s">
        <v>6</v>
      </c>
      <c r="B693" t="s">
        <v>1500</v>
      </c>
      <c r="E693" t="s">
        <v>91</v>
      </c>
      <c r="F693" t="s">
        <v>55</v>
      </c>
      <c r="H693" t="str" cm="1">
        <f t="array" ref="H693">_xlfn.TEXTJOIN(", ", TRUE, IF(I693:M693&gt;0, I$1:M$1, ""))</f>
        <v>Tech Application</v>
      </c>
      <c r="I693">
        <v>0</v>
      </c>
      <c r="J693">
        <v>2</v>
      </c>
      <c r="K693">
        <v>0</v>
      </c>
      <c r="L693">
        <v>0</v>
      </c>
      <c r="M693">
        <v>0</v>
      </c>
      <c r="N693">
        <v>0</v>
      </c>
    </row>
    <row r="694" spans="1:14" x14ac:dyDescent="0.35">
      <c r="A694" t="s">
        <v>6</v>
      </c>
      <c r="B694" t="s">
        <v>1501</v>
      </c>
      <c r="C694" t="s">
        <v>1502</v>
      </c>
      <c r="E694" t="s">
        <v>121</v>
      </c>
      <c r="F694" t="s">
        <v>51</v>
      </c>
      <c r="H694" t="str" cm="1">
        <f t="array" ref="H694">_xlfn.TEXTJOIN(", ", TRUE, IF(I694:M694&gt;0, I$1:M$1, ""))</f>
        <v>Tech Application</v>
      </c>
      <c r="I694">
        <v>0</v>
      </c>
      <c r="J694">
        <v>2</v>
      </c>
      <c r="K694">
        <v>0</v>
      </c>
      <c r="L694">
        <v>0</v>
      </c>
      <c r="M694">
        <v>0</v>
      </c>
      <c r="N694">
        <v>2</v>
      </c>
    </row>
    <row r="695" spans="1:14" x14ac:dyDescent="0.35">
      <c r="A695" t="s">
        <v>6</v>
      </c>
      <c r="B695" t="s">
        <v>1503</v>
      </c>
      <c r="C695" t="s">
        <v>1503</v>
      </c>
      <c r="E695" t="s">
        <v>50</v>
      </c>
      <c r="F695" t="s">
        <v>473</v>
      </c>
      <c r="H695" t="str" cm="1">
        <f t="array" ref="H695">_xlfn.TEXTJOIN(", ", TRUE, IF(I695:M695&gt;0, I$1:M$1, ""))</f>
        <v>Tech Application</v>
      </c>
      <c r="I695">
        <v>0</v>
      </c>
      <c r="J695">
        <v>2</v>
      </c>
      <c r="K695">
        <v>0</v>
      </c>
      <c r="L695">
        <v>0</v>
      </c>
      <c r="M695">
        <v>0</v>
      </c>
      <c r="N695">
        <v>0</v>
      </c>
    </row>
    <row r="696" spans="1:14" x14ac:dyDescent="0.35">
      <c r="A696" t="s">
        <v>6</v>
      </c>
      <c r="B696" t="s">
        <v>1504</v>
      </c>
      <c r="C696" t="s">
        <v>1505</v>
      </c>
      <c r="E696" t="s">
        <v>62</v>
      </c>
      <c r="F696" t="s">
        <v>382</v>
      </c>
      <c r="H696" t="str" cm="1">
        <f t="array" ref="H696">_xlfn.TEXTJOIN(", ", TRUE, IF(I696:M696&gt;0, I$1:M$1, ""))</f>
        <v>Semantic View</v>
      </c>
      <c r="I696">
        <v>0</v>
      </c>
      <c r="J696">
        <v>0</v>
      </c>
      <c r="K696">
        <v>0</v>
      </c>
      <c r="L696">
        <v>0</v>
      </c>
      <c r="M696">
        <v>3</v>
      </c>
      <c r="N696">
        <v>0</v>
      </c>
    </row>
    <row r="697" spans="1:14" x14ac:dyDescent="0.35">
      <c r="A697" t="s">
        <v>6</v>
      </c>
      <c r="B697" t="s">
        <v>1506</v>
      </c>
      <c r="C697" t="s">
        <v>1507</v>
      </c>
      <c r="E697" t="s">
        <v>96</v>
      </c>
      <c r="F697" t="s">
        <v>97</v>
      </c>
      <c r="H697" t="str" cm="1">
        <f t="array" ref="H697">_xlfn.TEXTJOIN(", ", TRUE, IF(I697:M697&gt;0, I$1:M$1, ""))</f>
        <v>Tech Application</v>
      </c>
      <c r="I697">
        <v>0</v>
      </c>
      <c r="J697">
        <v>1</v>
      </c>
      <c r="K697">
        <v>0</v>
      </c>
      <c r="L697">
        <v>0</v>
      </c>
      <c r="M697">
        <v>0</v>
      </c>
      <c r="N697">
        <v>0</v>
      </c>
    </row>
    <row r="698" spans="1:14" x14ac:dyDescent="0.35">
      <c r="A698" t="s">
        <v>6</v>
      </c>
      <c r="B698" t="s">
        <v>1508</v>
      </c>
      <c r="C698" t="s">
        <v>1509</v>
      </c>
      <c r="E698" t="s">
        <v>62</v>
      </c>
      <c r="F698" t="s">
        <v>55</v>
      </c>
      <c r="H698" t="str" cm="1">
        <f t="array" ref="H698">_xlfn.TEXTJOIN(", ", TRUE, IF(I698:M698&gt;0, I$1:M$1, ""))</f>
        <v>Legal View</v>
      </c>
      <c r="I698">
        <v>0</v>
      </c>
      <c r="J698">
        <v>0</v>
      </c>
      <c r="K698">
        <v>1</v>
      </c>
      <c r="L698">
        <v>0</v>
      </c>
      <c r="M698">
        <v>0</v>
      </c>
      <c r="N698">
        <v>0</v>
      </c>
    </row>
    <row r="699" spans="1:14" x14ac:dyDescent="0.35">
      <c r="A699" t="s">
        <v>6</v>
      </c>
      <c r="B699" t="s">
        <v>1510</v>
      </c>
      <c r="C699" t="s">
        <v>1177</v>
      </c>
      <c r="E699" t="s">
        <v>62</v>
      </c>
      <c r="F699" t="s">
        <v>180</v>
      </c>
      <c r="H699" t="str" cm="1">
        <f t="array" ref="H699">_xlfn.TEXTJOIN(", ", TRUE, IF(I699:M699&gt;0, I$1:M$1, ""))</f>
        <v>Tech Application, Semantic View</v>
      </c>
      <c r="I699">
        <v>0</v>
      </c>
      <c r="J699">
        <v>2</v>
      </c>
      <c r="K699">
        <v>0</v>
      </c>
      <c r="L699">
        <v>0</v>
      </c>
      <c r="M699">
        <v>7</v>
      </c>
      <c r="N699">
        <v>0</v>
      </c>
    </row>
    <row r="700" spans="1:14" x14ac:dyDescent="0.35">
      <c r="A700" t="s">
        <v>6</v>
      </c>
      <c r="B700" t="s">
        <v>1511</v>
      </c>
      <c r="C700" t="s">
        <v>1512</v>
      </c>
      <c r="E700" t="s">
        <v>1512</v>
      </c>
      <c r="F700" t="s">
        <v>535</v>
      </c>
      <c r="H700" t="str" cm="1">
        <f t="array" ref="H700">_xlfn.TEXTJOIN(", ", TRUE, IF(I700:M700&gt;0, I$1:M$1, ""))</f>
        <v/>
      </c>
      <c r="I700">
        <v>0</v>
      </c>
      <c r="J700">
        <v>0</v>
      </c>
      <c r="K700">
        <v>0</v>
      </c>
      <c r="L700">
        <v>0</v>
      </c>
      <c r="M700">
        <v>0</v>
      </c>
      <c r="N700">
        <v>0</v>
      </c>
    </row>
    <row r="701" spans="1:14" x14ac:dyDescent="0.35">
      <c r="A701" t="s">
        <v>6</v>
      </c>
      <c r="B701" t="s">
        <v>1513</v>
      </c>
      <c r="E701" t="s">
        <v>62</v>
      </c>
      <c r="F701" t="s">
        <v>55</v>
      </c>
      <c r="H701" t="str" cm="1">
        <f t="array" ref="H701">_xlfn.TEXTJOIN(", ", TRUE, IF(I701:M701&gt;0, I$1:M$1, ""))</f>
        <v>Semantic View</v>
      </c>
      <c r="I701">
        <v>0</v>
      </c>
      <c r="J701">
        <v>0</v>
      </c>
      <c r="K701">
        <v>0</v>
      </c>
      <c r="L701">
        <v>0</v>
      </c>
      <c r="M701">
        <v>1</v>
      </c>
      <c r="N701">
        <v>0</v>
      </c>
    </row>
    <row r="702" spans="1:14" x14ac:dyDescent="0.35">
      <c r="A702" t="s">
        <v>6</v>
      </c>
      <c r="B702" t="s">
        <v>1514</v>
      </c>
      <c r="D702" t="s">
        <v>1515</v>
      </c>
      <c r="E702" t="s">
        <v>99</v>
      </c>
      <c r="F702" t="s">
        <v>1516</v>
      </c>
      <c r="H702" t="str" cm="1">
        <f t="array" ref="H702">_xlfn.TEXTJOIN(", ", TRUE, IF(I702:M702&gt;0, I$1:M$1, ""))</f>
        <v>Semantic View</v>
      </c>
      <c r="I702">
        <v>0</v>
      </c>
      <c r="J702">
        <v>0</v>
      </c>
      <c r="K702">
        <v>0</v>
      </c>
      <c r="L702">
        <v>0</v>
      </c>
      <c r="M702">
        <v>2</v>
      </c>
      <c r="N702">
        <v>0</v>
      </c>
    </row>
    <row r="703" spans="1:14" x14ac:dyDescent="0.35">
      <c r="A703" t="s">
        <v>6</v>
      </c>
      <c r="B703" t="s">
        <v>1517</v>
      </c>
      <c r="D703" t="s">
        <v>1518</v>
      </c>
      <c r="E703" t="s">
        <v>230</v>
      </c>
      <c r="F703" t="s">
        <v>92</v>
      </c>
      <c r="H703" t="str" cm="1">
        <f t="array" ref="H703">_xlfn.TEXTJOIN(", ", TRUE, IF(I703:M703&gt;0, I$1:M$1, ""))</f>
        <v>Tech Application</v>
      </c>
      <c r="I703">
        <v>0</v>
      </c>
      <c r="J703">
        <v>2</v>
      </c>
      <c r="K703">
        <v>0</v>
      </c>
      <c r="L703">
        <v>0</v>
      </c>
      <c r="M703">
        <v>0</v>
      </c>
      <c r="N703">
        <v>0</v>
      </c>
    </row>
    <row r="704" spans="1:14" x14ac:dyDescent="0.35">
      <c r="A704" t="s">
        <v>6</v>
      </c>
      <c r="B704" t="s">
        <v>1519</v>
      </c>
      <c r="C704" t="s">
        <v>167</v>
      </c>
      <c r="E704" t="s">
        <v>62</v>
      </c>
      <c r="F704" t="s">
        <v>1520</v>
      </c>
      <c r="H704" t="str" cm="1">
        <f t="array" ref="H704">_xlfn.TEXTJOIN(", ", TRUE, IF(I704:M704&gt;0, I$1:M$1, ""))</f>
        <v>Tech Application</v>
      </c>
      <c r="I704">
        <v>0</v>
      </c>
      <c r="J704">
        <v>2</v>
      </c>
      <c r="K704">
        <v>0</v>
      </c>
      <c r="L704">
        <v>0</v>
      </c>
      <c r="M704">
        <v>0</v>
      </c>
      <c r="N704">
        <v>0</v>
      </c>
    </row>
    <row r="705" spans="1:14" x14ac:dyDescent="0.35">
      <c r="A705" t="s">
        <v>6</v>
      </c>
      <c r="B705" t="s">
        <v>1521</v>
      </c>
      <c r="D705" t="s">
        <v>1522</v>
      </c>
      <c r="E705" t="s">
        <v>148</v>
      </c>
      <c r="F705" t="s">
        <v>838</v>
      </c>
      <c r="H705" t="str" cm="1">
        <f t="array" ref="H705">_xlfn.TEXTJOIN(", ", TRUE, IF(I705:M705&gt;0, I$1:M$1, ""))</f>
        <v>Tech Application</v>
      </c>
      <c r="I705">
        <v>0</v>
      </c>
      <c r="J705">
        <v>6</v>
      </c>
      <c r="K705">
        <v>0</v>
      </c>
      <c r="L705">
        <v>0</v>
      </c>
      <c r="M705">
        <v>0</v>
      </c>
      <c r="N705">
        <v>0</v>
      </c>
    </row>
    <row r="706" spans="1:14" x14ac:dyDescent="0.35">
      <c r="A706" t="s">
        <v>6</v>
      </c>
      <c r="B706" t="s">
        <v>1523</v>
      </c>
      <c r="D706" t="s">
        <v>1524</v>
      </c>
      <c r="E706" t="s">
        <v>230</v>
      </c>
      <c r="F706" t="s">
        <v>55</v>
      </c>
      <c r="H706" t="str" cm="1">
        <f t="array" ref="H706">_xlfn.TEXTJOIN(", ", TRUE, IF(I706:M706&gt;0, I$1:M$1, ""))</f>
        <v>Organisational View</v>
      </c>
      <c r="I706">
        <v>0</v>
      </c>
      <c r="J706">
        <v>0</v>
      </c>
      <c r="K706">
        <v>0</v>
      </c>
      <c r="L706">
        <v>2</v>
      </c>
      <c r="M706">
        <v>0</v>
      </c>
      <c r="N706">
        <v>0</v>
      </c>
    </row>
    <row r="707" spans="1:14" x14ac:dyDescent="0.35">
      <c r="A707" t="s">
        <v>6</v>
      </c>
      <c r="B707" t="s">
        <v>1525</v>
      </c>
      <c r="C707" t="s">
        <v>1526</v>
      </c>
      <c r="E707" t="s">
        <v>50</v>
      </c>
      <c r="F707" t="s">
        <v>276</v>
      </c>
      <c r="H707" t="str" cm="1">
        <f t="array" ref="H707">_xlfn.TEXTJOIN(", ", TRUE, IF(I707:M707&gt;0, I$1:M$1, ""))</f>
        <v>Tech Application</v>
      </c>
      <c r="I707">
        <v>0</v>
      </c>
      <c r="J707">
        <v>2</v>
      </c>
      <c r="K707">
        <v>0</v>
      </c>
      <c r="L707">
        <v>0</v>
      </c>
      <c r="M707">
        <v>0</v>
      </c>
      <c r="N707">
        <v>2</v>
      </c>
    </row>
    <row r="708" spans="1:14" x14ac:dyDescent="0.35">
      <c r="A708" t="s">
        <v>6</v>
      </c>
      <c r="B708" t="s">
        <v>1527</v>
      </c>
      <c r="C708" t="s">
        <v>1469</v>
      </c>
      <c r="D708" t="s">
        <v>1528</v>
      </c>
      <c r="E708" t="s">
        <v>59</v>
      </c>
      <c r="F708" t="s">
        <v>100</v>
      </c>
      <c r="H708" t="str" cm="1">
        <f t="array" ref="H708">_xlfn.TEXTJOIN(", ", TRUE, IF(I708:M708&gt;0, I$1:M$1, ""))</f>
        <v>Tech Application</v>
      </c>
      <c r="I708">
        <v>0</v>
      </c>
      <c r="J708">
        <v>6</v>
      </c>
      <c r="K708">
        <v>0</v>
      </c>
      <c r="L708">
        <v>0</v>
      </c>
      <c r="M708">
        <v>0</v>
      </c>
      <c r="N708">
        <v>0</v>
      </c>
    </row>
    <row r="709" spans="1:14" x14ac:dyDescent="0.35">
      <c r="A709" t="s">
        <v>6</v>
      </c>
      <c r="B709" t="s">
        <v>1529</v>
      </c>
      <c r="C709" t="s">
        <v>1530</v>
      </c>
      <c r="E709" t="s">
        <v>1530</v>
      </c>
      <c r="F709" t="s">
        <v>1085</v>
      </c>
      <c r="H709" t="str" cm="1">
        <f t="array" ref="H709">_xlfn.TEXTJOIN(", ", TRUE, IF(I709:M709&gt;0, I$1:M$1, ""))</f>
        <v>Semantic View</v>
      </c>
      <c r="I709">
        <v>0</v>
      </c>
      <c r="J709">
        <v>0</v>
      </c>
      <c r="K709">
        <v>0</v>
      </c>
      <c r="L709">
        <v>0</v>
      </c>
      <c r="M709">
        <v>1</v>
      </c>
      <c r="N709">
        <v>1</v>
      </c>
    </row>
    <row r="710" spans="1:14" x14ac:dyDescent="0.35">
      <c r="A710" t="s">
        <v>6</v>
      </c>
      <c r="B710" t="s">
        <v>1531</v>
      </c>
      <c r="E710" t="s">
        <v>66</v>
      </c>
      <c r="F710" t="s">
        <v>55</v>
      </c>
      <c r="H710" t="str" cm="1">
        <f t="array" ref="H710">_xlfn.TEXTJOIN(", ", TRUE, IF(I710:M710&gt;0, I$1:M$1, ""))</f>
        <v>Semantic View</v>
      </c>
      <c r="I710">
        <v>0</v>
      </c>
      <c r="J710">
        <v>0</v>
      </c>
      <c r="K710">
        <v>0</v>
      </c>
      <c r="L710">
        <v>0</v>
      </c>
      <c r="M710">
        <v>6</v>
      </c>
      <c r="N710">
        <v>0</v>
      </c>
    </row>
    <row r="711" spans="1:14" x14ac:dyDescent="0.35">
      <c r="A711" t="s">
        <v>6</v>
      </c>
      <c r="B711" t="s">
        <v>1532</v>
      </c>
      <c r="E711" t="s">
        <v>1532</v>
      </c>
      <c r="F711" t="s">
        <v>55</v>
      </c>
      <c r="H711" t="str" cm="1">
        <f t="array" ref="H711">_xlfn.TEXTJOIN(", ", TRUE, IF(I711:M711&gt;0, I$1:M$1, ""))</f>
        <v>Semantic View</v>
      </c>
      <c r="I711">
        <v>0</v>
      </c>
      <c r="J711">
        <v>0</v>
      </c>
      <c r="K711">
        <v>0</v>
      </c>
      <c r="L711">
        <v>0</v>
      </c>
      <c r="M711">
        <v>3</v>
      </c>
      <c r="N711">
        <v>0</v>
      </c>
    </row>
    <row r="712" spans="1:14" x14ac:dyDescent="0.35">
      <c r="A712" t="s">
        <v>6</v>
      </c>
      <c r="B712" t="s">
        <v>1533</v>
      </c>
      <c r="E712" t="s">
        <v>1534</v>
      </c>
      <c r="F712" t="s">
        <v>51</v>
      </c>
      <c r="H712" t="str" cm="1">
        <f t="array" ref="H712">_xlfn.TEXTJOIN(", ", TRUE, IF(I712:M712&gt;0, I$1:M$1, ""))</f>
        <v>Semantic View</v>
      </c>
      <c r="I712">
        <v>0</v>
      </c>
      <c r="J712">
        <v>0</v>
      </c>
      <c r="K712">
        <v>0</v>
      </c>
      <c r="L712">
        <v>0</v>
      </c>
      <c r="M712">
        <v>1</v>
      </c>
      <c r="N712">
        <v>0</v>
      </c>
    </row>
    <row r="713" spans="1:14" x14ac:dyDescent="0.35">
      <c r="A713" t="s">
        <v>6</v>
      </c>
      <c r="B713" t="s">
        <v>1535</v>
      </c>
      <c r="C713" t="s">
        <v>1536</v>
      </c>
      <c r="E713" t="s">
        <v>50</v>
      </c>
      <c r="F713" t="s">
        <v>92</v>
      </c>
      <c r="H713" t="str" cm="1">
        <f t="array" ref="H713">_xlfn.TEXTJOIN(", ", TRUE, IF(I713:M713&gt;0, I$1:M$1, ""))</f>
        <v>Tech Infrastructure</v>
      </c>
      <c r="I713">
        <v>1</v>
      </c>
      <c r="J713">
        <v>0</v>
      </c>
      <c r="K713">
        <v>0</v>
      </c>
      <c r="L713">
        <v>0</v>
      </c>
      <c r="M713">
        <v>0</v>
      </c>
      <c r="N713">
        <v>0</v>
      </c>
    </row>
    <row r="714" spans="1:14" x14ac:dyDescent="0.35">
      <c r="A714" t="s">
        <v>6</v>
      </c>
      <c r="B714" t="s">
        <v>1537</v>
      </c>
      <c r="D714" t="s">
        <v>1538</v>
      </c>
      <c r="E714" t="s">
        <v>733</v>
      </c>
      <c r="F714" t="s">
        <v>55</v>
      </c>
      <c r="H714" t="str" cm="1">
        <f t="array" ref="H714">_xlfn.TEXTJOIN(", ", TRUE, IF(I714:M714&gt;0, I$1:M$1, ""))</f>
        <v>Tech Application, Semantic View</v>
      </c>
      <c r="I714">
        <v>0</v>
      </c>
      <c r="J714">
        <v>2</v>
      </c>
      <c r="K714">
        <v>0</v>
      </c>
      <c r="L714">
        <v>0</v>
      </c>
      <c r="M714">
        <v>2</v>
      </c>
      <c r="N714">
        <v>0</v>
      </c>
    </row>
    <row r="715" spans="1:14" x14ac:dyDescent="0.35">
      <c r="A715" t="s">
        <v>6</v>
      </c>
      <c r="B715" t="s">
        <v>1539</v>
      </c>
      <c r="C715" t="s">
        <v>1540</v>
      </c>
      <c r="E715" t="s">
        <v>148</v>
      </c>
      <c r="F715" t="s">
        <v>149</v>
      </c>
      <c r="H715" t="str" cm="1">
        <f t="array" ref="H715">_xlfn.TEXTJOIN(", ", TRUE, IF(I715:M715&gt;0, I$1:M$1, ""))</f>
        <v>Tech Infrastructure, Tech Application</v>
      </c>
      <c r="I715">
        <v>1</v>
      </c>
      <c r="J715">
        <v>4</v>
      </c>
      <c r="K715">
        <v>0</v>
      </c>
      <c r="L715">
        <v>0</v>
      </c>
      <c r="M715">
        <v>0</v>
      </c>
      <c r="N715">
        <v>0</v>
      </c>
    </row>
    <row r="716" spans="1:14" x14ac:dyDescent="0.35">
      <c r="A716" t="s">
        <v>6</v>
      </c>
      <c r="B716" t="s">
        <v>1541</v>
      </c>
      <c r="C716" t="s">
        <v>1542</v>
      </c>
      <c r="E716" t="s">
        <v>50</v>
      </c>
      <c r="F716" t="s">
        <v>535</v>
      </c>
      <c r="H716" t="str" cm="1">
        <f t="array" ref="H716">_xlfn.TEXTJOIN(", ", TRUE, IF(I716:M716&gt;0, I$1:M$1, ""))</f>
        <v/>
      </c>
      <c r="I716">
        <v>0</v>
      </c>
      <c r="J716">
        <v>0</v>
      </c>
      <c r="K716">
        <v>0</v>
      </c>
      <c r="L716">
        <v>0</v>
      </c>
      <c r="M716">
        <v>0</v>
      </c>
      <c r="N716">
        <v>0</v>
      </c>
    </row>
    <row r="717" spans="1:14" x14ac:dyDescent="0.35">
      <c r="A717" t="s">
        <v>6</v>
      </c>
      <c r="B717" t="s">
        <v>1543</v>
      </c>
      <c r="C717" t="s">
        <v>1544</v>
      </c>
      <c r="E717" t="s">
        <v>121</v>
      </c>
      <c r="F717" t="s">
        <v>55</v>
      </c>
      <c r="H717" t="str" cm="1">
        <f t="array" ref="H717">_xlfn.TEXTJOIN(", ", TRUE, IF(I717:M717&gt;0, I$1:M$1, ""))</f>
        <v>Semantic View</v>
      </c>
      <c r="I717">
        <v>0</v>
      </c>
      <c r="J717">
        <v>0</v>
      </c>
      <c r="K717">
        <v>0</v>
      </c>
      <c r="L717">
        <v>0</v>
      </c>
      <c r="M717">
        <v>2</v>
      </c>
      <c r="N717">
        <v>0</v>
      </c>
    </row>
    <row r="718" spans="1:14" x14ac:dyDescent="0.35">
      <c r="A718" t="s">
        <v>6</v>
      </c>
      <c r="B718" t="s">
        <v>1543</v>
      </c>
      <c r="C718" t="s">
        <v>1544</v>
      </c>
      <c r="E718" t="s">
        <v>121</v>
      </c>
      <c r="F718" t="s">
        <v>97</v>
      </c>
      <c r="H718" t="str" cm="1">
        <f t="array" ref="H718">_xlfn.TEXTJOIN(", ", TRUE, IF(I718:M718&gt;0, I$1:M$1, ""))</f>
        <v>Semantic View</v>
      </c>
      <c r="I718">
        <v>0</v>
      </c>
      <c r="J718">
        <v>0</v>
      </c>
      <c r="K718">
        <v>0</v>
      </c>
      <c r="L718">
        <v>0</v>
      </c>
      <c r="M718">
        <v>2</v>
      </c>
      <c r="N718">
        <v>3</v>
      </c>
    </row>
    <row r="719" spans="1:14" x14ac:dyDescent="0.35">
      <c r="A719" t="s">
        <v>6</v>
      </c>
      <c r="B719" t="s">
        <v>1545</v>
      </c>
      <c r="E719" t="s">
        <v>62</v>
      </c>
      <c r="F719" t="s">
        <v>55</v>
      </c>
      <c r="H719" t="str" cm="1">
        <f t="array" ref="H719">_xlfn.TEXTJOIN(", ", TRUE, IF(I719:M719&gt;0, I$1:M$1, ""))</f>
        <v>Legal View</v>
      </c>
      <c r="I719">
        <v>0</v>
      </c>
      <c r="J719">
        <v>0</v>
      </c>
      <c r="K719">
        <v>1</v>
      </c>
      <c r="L719">
        <v>0</v>
      </c>
      <c r="M719">
        <v>0</v>
      </c>
      <c r="N719">
        <v>0</v>
      </c>
    </row>
    <row r="720" spans="1:14" x14ac:dyDescent="0.35">
      <c r="A720" t="s">
        <v>6</v>
      </c>
      <c r="B720" t="s">
        <v>1546</v>
      </c>
      <c r="C720" t="s">
        <v>1546</v>
      </c>
      <c r="E720" t="s">
        <v>66</v>
      </c>
      <c r="F720" t="s">
        <v>276</v>
      </c>
      <c r="H720" t="str" cm="1">
        <f t="array" ref="H720">_xlfn.TEXTJOIN(", ", TRUE, IF(I720:M720&gt;0, I$1:M$1, ""))</f>
        <v>Legal View, Semantic View</v>
      </c>
      <c r="I720">
        <v>0</v>
      </c>
      <c r="J720">
        <v>0</v>
      </c>
      <c r="K720">
        <v>6</v>
      </c>
      <c r="L720">
        <v>0</v>
      </c>
      <c r="M720">
        <v>2</v>
      </c>
      <c r="N720">
        <v>1</v>
      </c>
    </row>
    <row r="721" spans="1:14" x14ac:dyDescent="0.35">
      <c r="A721" t="s">
        <v>6</v>
      </c>
      <c r="B721" t="s">
        <v>1547</v>
      </c>
      <c r="C721" t="s">
        <v>1548</v>
      </c>
      <c r="E721" t="s">
        <v>121</v>
      </c>
      <c r="F721" t="s">
        <v>55</v>
      </c>
      <c r="H721" t="str" cm="1">
        <f t="array" ref="H721">_xlfn.TEXTJOIN(", ", TRUE, IF(I721:M721&gt;0, I$1:M$1, ""))</f>
        <v>Tech Application, Semantic View</v>
      </c>
      <c r="I721">
        <v>0</v>
      </c>
      <c r="J721">
        <v>6</v>
      </c>
      <c r="K721">
        <v>0</v>
      </c>
      <c r="L721">
        <v>0</v>
      </c>
      <c r="M721">
        <v>9</v>
      </c>
      <c r="N721">
        <v>2</v>
      </c>
    </row>
    <row r="722" spans="1:14" x14ac:dyDescent="0.35">
      <c r="A722" t="s">
        <v>6</v>
      </c>
      <c r="B722" t="s">
        <v>1549</v>
      </c>
      <c r="D722" t="s">
        <v>1550</v>
      </c>
      <c r="E722" t="s">
        <v>230</v>
      </c>
      <c r="F722" t="s">
        <v>51</v>
      </c>
      <c r="H722" t="str" cm="1">
        <f t="array" ref="H722">_xlfn.TEXTJOIN(", ", TRUE, IF(I722:M722&gt;0, I$1:M$1, ""))</f>
        <v>Tech Infrastructure</v>
      </c>
      <c r="I722">
        <v>2</v>
      </c>
      <c r="J722">
        <v>0</v>
      </c>
      <c r="K722">
        <v>0</v>
      </c>
      <c r="L722">
        <v>0</v>
      </c>
      <c r="M722">
        <v>0</v>
      </c>
      <c r="N722">
        <v>0</v>
      </c>
    </row>
    <row r="723" spans="1:14" x14ac:dyDescent="0.35">
      <c r="A723" t="s">
        <v>6</v>
      </c>
      <c r="B723" t="s">
        <v>1551</v>
      </c>
      <c r="D723" t="s">
        <v>1552</v>
      </c>
      <c r="E723" t="s">
        <v>69</v>
      </c>
      <c r="F723" t="s">
        <v>55</v>
      </c>
      <c r="H723" t="str" cm="1">
        <f t="array" ref="H723">_xlfn.TEXTJOIN(", ", TRUE, IF(I723:M723&gt;0, I$1:M$1, ""))</f>
        <v>Tech Infrastructure, Semantic View</v>
      </c>
      <c r="I723">
        <v>2</v>
      </c>
      <c r="J723">
        <v>0</v>
      </c>
      <c r="K723">
        <v>0</v>
      </c>
      <c r="L723">
        <v>0</v>
      </c>
      <c r="M723">
        <v>2</v>
      </c>
      <c r="N723">
        <v>0</v>
      </c>
    </row>
    <row r="724" spans="1:14" x14ac:dyDescent="0.35">
      <c r="A724" t="s">
        <v>6</v>
      </c>
      <c r="B724" t="s">
        <v>1553</v>
      </c>
      <c r="D724" t="s">
        <v>1554</v>
      </c>
      <c r="E724" t="s">
        <v>59</v>
      </c>
      <c r="F724" t="s">
        <v>100</v>
      </c>
      <c r="H724" t="str" cm="1">
        <f t="array" ref="H724">_xlfn.TEXTJOIN(", ", TRUE, IF(I724:M724&gt;0, I$1:M$1, ""))</f>
        <v>Tech Infrastructure, Tech Application, Semantic View</v>
      </c>
      <c r="I724">
        <v>2</v>
      </c>
      <c r="J724">
        <v>4</v>
      </c>
      <c r="K724">
        <v>0</v>
      </c>
      <c r="L724">
        <v>0</v>
      </c>
      <c r="M724">
        <v>1</v>
      </c>
      <c r="N724">
        <v>0</v>
      </c>
    </row>
    <row r="725" spans="1:14" x14ac:dyDescent="0.35">
      <c r="A725" t="s">
        <v>6</v>
      </c>
      <c r="B725" t="s">
        <v>1555</v>
      </c>
      <c r="E725" t="s">
        <v>62</v>
      </c>
      <c r="F725" t="s">
        <v>55</v>
      </c>
      <c r="H725" t="str" cm="1">
        <f t="array" ref="H725">_xlfn.TEXTJOIN(", ", TRUE, IF(I725:M725&gt;0, I$1:M$1, ""))</f>
        <v>Legal View</v>
      </c>
      <c r="I725">
        <v>0</v>
      </c>
      <c r="J725">
        <v>0</v>
      </c>
      <c r="K725">
        <v>1</v>
      </c>
      <c r="L725">
        <v>0</v>
      </c>
      <c r="M725">
        <v>0</v>
      </c>
      <c r="N725">
        <v>0</v>
      </c>
    </row>
    <row r="726" spans="1:14" x14ac:dyDescent="0.35">
      <c r="A726" t="s">
        <v>6</v>
      </c>
      <c r="B726" t="s">
        <v>1556</v>
      </c>
      <c r="C726" t="s">
        <v>1557</v>
      </c>
      <c r="E726" t="s">
        <v>230</v>
      </c>
      <c r="F726" t="s">
        <v>55</v>
      </c>
      <c r="H726" t="str" cm="1">
        <f t="array" ref="H726">_xlfn.TEXTJOIN(", ", TRUE, IF(I726:M726&gt;0, I$1:M$1, ""))</f>
        <v/>
      </c>
      <c r="I726">
        <v>0</v>
      </c>
      <c r="J726">
        <v>0</v>
      </c>
      <c r="K726">
        <v>0</v>
      </c>
      <c r="L726">
        <v>0</v>
      </c>
      <c r="M726">
        <v>0</v>
      </c>
      <c r="N726">
        <v>0</v>
      </c>
    </row>
    <row r="727" spans="1:14" x14ac:dyDescent="0.35">
      <c r="A727" t="s">
        <v>6</v>
      </c>
      <c r="B727" t="s">
        <v>1558</v>
      </c>
      <c r="D727" t="s">
        <v>928</v>
      </c>
      <c r="E727" t="s">
        <v>59</v>
      </c>
      <c r="F727" t="s">
        <v>1559</v>
      </c>
      <c r="H727" t="str" cm="1">
        <f t="array" ref="H727">_xlfn.TEXTJOIN(", ", TRUE, IF(I727:M727&gt;0, I$1:M$1, ""))</f>
        <v>Tech Application</v>
      </c>
      <c r="I727">
        <v>0</v>
      </c>
      <c r="J727">
        <v>2</v>
      </c>
      <c r="K727">
        <v>0</v>
      </c>
      <c r="L727">
        <v>0</v>
      </c>
      <c r="M727">
        <v>0</v>
      </c>
      <c r="N727">
        <v>2</v>
      </c>
    </row>
    <row r="728" spans="1:14" x14ac:dyDescent="0.35">
      <c r="A728" t="s">
        <v>6</v>
      </c>
      <c r="B728" t="s">
        <v>1560</v>
      </c>
      <c r="C728" t="s">
        <v>142</v>
      </c>
      <c r="D728" t="s">
        <v>1561</v>
      </c>
      <c r="E728" t="s">
        <v>59</v>
      </c>
      <c r="F728" t="s">
        <v>1213</v>
      </c>
      <c r="H728" t="str" cm="1">
        <f t="array" ref="H728">_xlfn.TEXTJOIN(", ", TRUE, IF(I728:M728&gt;0, I$1:M$1, ""))</f>
        <v>Tech Application</v>
      </c>
      <c r="I728">
        <v>0</v>
      </c>
      <c r="J728">
        <v>5</v>
      </c>
      <c r="K728">
        <v>0</v>
      </c>
      <c r="L728">
        <v>0</v>
      </c>
      <c r="M728">
        <v>0</v>
      </c>
      <c r="N728">
        <v>1</v>
      </c>
    </row>
    <row r="729" spans="1:14" x14ac:dyDescent="0.35">
      <c r="A729" t="s">
        <v>6</v>
      </c>
      <c r="B729" t="s">
        <v>1562</v>
      </c>
      <c r="E729" t="s">
        <v>66</v>
      </c>
      <c r="F729" t="s">
        <v>55</v>
      </c>
      <c r="H729" t="str" cm="1">
        <f t="array" ref="H729">_xlfn.TEXTJOIN(", ", TRUE, IF(I729:M729&gt;0, I$1:M$1, ""))</f>
        <v>Organisational View</v>
      </c>
      <c r="I729">
        <v>0</v>
      </c>
      <c r="J729">
        <v>0</v>
      </c>
      <c r="K729">
        <v>0</v>
      </c>
      <c r="L729">
        <v>1</v>
      </c>
      <c r="M729">
        <v>0</v>
      </c>
      <c r="N729">
        <v>0</v>
      </c>
    </row>
    <row r="730" spans="1:14" x14ac:dyDescent="0.35">
      <c r="A730" t="s">
        <v>6</v>
      </c>
      <c r="B730" t="s">
        <v>1563</v>
      </c>
      <c r="D730" t="s">
        <v>1564</v>
      </c>
      <c r="E730" t="s">
        <v>66</v>
      </c>
      <c r="F730" t="s">
        <v>1565</v>
      </c>
      <c r="H730" t="str" cm="1">
        <f t="array" ref="H730">_xlfn.TEXTJOIN(", ", TRUE, IF(I730:M730&gt;0, I$1:M$1, ""))</f>
        <v>Legal View</v>
      </c>
      <c r="I730">
        <v>0</v>
      </c>
      <c r="J730">
        <v>0</v>
      </c>
      <c r="K730">
        <v>1</v>
      </c>
      <c r="L730">
        <v>0</v>
      </c>
      <c r="M730">
        <v>0</v>
      </c>
      <c r="N730">
        <v>0</v>
      </c>
    </row>
    <row r="731" spans="1:14" x14ac:dyDescent="0.35">
      <c r="A731" t="s">
        <v>6</v>
      </c>
      <c r="B731" t="s">
        <v>1566</v>
      </c>
      <c r="C731" t="s">
        <v>1567</v>
      </c>
      <c r="E731" t="s">
        <v>96</v>
      </c>
      <c r="F731" t="s">
        <v>51</v>
      </c>
      <c r="H731" t="str" cm="1">
        <f t="array" ref="H731">_xlfn.TEXTJOIN(", ", TRUE, IF(I731:M731&gt;0, I$1:M$1, ""))</f>
        <v>Tech Application</v>
      </c>
      <c r="I731">
        <v>0</v>
      </c>
      <c r="J731">
        <v>1</v>
      </c>
      <c r="K731">
        <v>0</v>
      </c>
      <c r="L731">
        <v>0</v>
      </c>
      <c r="M731">
        <v>0</v>
      </c>
      <c r="N731">
        <v>0</v>
      </c>
    </row>
    <row r="732" spans="1:14" x14ac:dyDescent="0.35">
      <c r="A732" t="s">
        <v>6</v>
      </c>
      <c r="B732" t="s">
        <v>1568</v>
      </c>
      <c r="C732" t="s">
        <v>1569</v>
      </c>
      <c r="E732" t="s">
        <v>1570</v>
      </c>
      <c r="F732" t="s">
        <v>55</v>
      </c>
      <c r="H732" t="str" cm="1">
        <f t="array" ref="H732">_xlfn.TEXTJOIN(", ", TRUE, IF(I732:M732&gt;0, I$1:M$1, ""))</f>
        <v>Semantic View</v>
      </c>
      <c r="I732">
        <v>0</v>
      </c>
      <c r="J732">
        <v>0</v>
      </c>
      <c r="K732">
        <v>0</v>
      </c>
      <c r="L732">
        <v>0</v>
      </c>
      <c r="M732">
        <v>2</v>
      </c>
      <c r="N732">
        <v>0</v>
      </c>
    </row>
    <row r="733" spans="1:14" x14ac:dyDescent="0.35">
      <c r="A733" t="s">
        <v>6</v>
      </c>
      <c r="B733" t="s">
        <v>1571</v>
      </c>
      <c r="C733" t="s">
        <v>1572</v>
      </c>
      <c r="E733" t="s">
        <v>50</v>
      </c>
      <c r="F733" t="s">
        <v>92</v>
      </c>
      <c r="H733" t="str" cm="1">
        <f t="array" ref="H733">_xlfn.TEXTJOIN(", ", TRUE, IF(I733:M733&gt;0, I$1:M$1, ""))</f>
        <v>Tech Application</v>
      </c>
      <c r="I733">
        <v>0</v>
      </c>
      <c r="J733">
        <v>2</v>
      </c>
      <c r="K733">
        <v>0</v>
      </c>
      <c r="L733">
        <v>0</v>
      </c>
      <c r="M733">
        <v>0</v>
      </c>
      <c r="N733">
        <v>0</v>
      </c>
    </row>
    <row r="734" spans="1:14" x14ac:dyDescent="0.35">
      <c r="A734" t="s">
        <v>6</v>
      </c>
      <c r="B734" t="s">
        <v>1573</v>
      </c>
      <c r="E734" t="s">
        <v>1574</v>
      </c>
      <c r="F734" t="s">
        <v>1575</v>
      </c>
      <c r="H734" t="str" cm="1">
        <f t="array" ref="H734">_xlfn.TEXTJOIN(", ", TRUE, IF(I734:M734&gt;0, I$1:M$1, ""))</f>
        <v>Tech Infrastructure</v>
      </c>
      <c r="I734">
        <v>2</v>
      </c>
      <c r="J734">
        <v>0</v>
      </c>
      <c r="K734">
        <v>0</v>
      </c>
      <c r="L734">
        <v>0</v>
      </c>
      <c r="M734">
        <v>0</v>
      </c>
      <c r="N734">
        <v>0</v>
      </c>
    </row>
    <row r="735" spans="1:14" x14ac:dyDescent="0.35">
      <c r="A735" t="s">
        <v>6</v>
      </c>
      <c r="B735" t="s">
        <v>1576</v>
      </c>
      <c r="E735" t="s">
        <v>1577</v>
      </c>
      <c r="F735" t="s">
        <v>55</v>
      </c>
      <c r="H735" t="str" cm="1">
        <f t="array" ref="H735">_xlfn.TEXTJOIN(", ", TRUE, IF(I735:M735&gt;0, I$1:M$1, ""))</f>
        <v>Tech Application</v>
      </c>
      <c r="I735">
        <v>0</v>
      </c>
      <c r="J735">
        <v>2</v>
      </c>
      <c r="K735">
        <v>0</v>
      </c>
      <c r="L735">
        <v>0</v>
      </c>
      <c r="M735">
        <v>0</v>
      </c>
      <c r="N735">
        <v>0</v>
      </c>
    </row>
    <row r="736" spans="1:14" x14ac:dyDescent="0.35">
      <c r="A736" t="s">
        <v>6</v>
      </c>
      <c r="B736" t="s">
        <v>1578</v>
      </c>
      <c r="E736" t="s">
        <v>148</v>
      </c>
      <c r="F736" t="s">
        <v>55</v>
      </c>
      <c r="H736" t="str" cm="1">
        <f t="array" ref="H736">_xlfn.TEXTJOIN(", ", TRUE, IF(I736:M736&gt;0, I$1:M$1, ""))</f>
        <v>Tech Infrastructure, Semantic View</v>
      </c>
      <c r="I736">
        <v>2</v>
      </c>
      <c r="J736">
        <v>0</v>
      </c>
      <c r="K736">
        <v>0</v>
      </c>
      <c r="L736">
        <v>0</v>
      </c>
      <c r="M736">
        <v>1</v>
      </c>
      <c r="N736">
        <v>0</v>
      </c>
    </row>
    <row r="737" spans="1:14" x14ac:dyDescent="0.35">
      <c r="A737" t="s">
        <v>6</v>
      </c>
      <c r="B737" t="s">
        <v>1579</v>
      </c>
      <c r="C737" t="s">
        <v>1580</v>
      </c>
      <c r="E737" t="s">
        <v>50</v>
      </c>
      <c r="F737" t="s">
        <v>554</v>
      </c>
      <c r="H737" t="str" cm="1">
        <f t="array" ref="H737">_xlfn.TEXTJOIN(", ", TRUE, IF(I737:M737&gt;0, I$1:M$1, ""))</f>
        <v>Tech Infrastructure, Tech Application</v>
      </c>
      <c r="I737">
        <v>1</v>
      </c>
      <c r="J737">
        <v>2</v>
      </c>
      <c r="K737">
        <v>0</v>
      </c>
      <c r="L737">
        <v>0</v>
      </c>
      <c r="M737">
        <v>0</v>
      </c>
      <c r="N737">
        <v>0</v>
      </c>
    </row>
    <row r="738" spans="1:14" x14ac:dyDescent="0.35">
      <c r="A738" t="s">
        <v>6</v>
      </c>
      <c r="B738" t="s">
        <v>1581</v>
      </c>
      <c r="C738" t="s">
        <v>1582</v>
      </c>
      <c r="E738" t="s">
        <v>50</v>
      </c>
      <c r="F738" t="s">
        <v>1203</v>
      </c>
      <c r="H738" t="str" cm="1">
        <f t="array" ref="H738">_xlfn.TEXTJOIN(", ", TRUE, IF(I738:M738&gt;0, I$1:M$1, ""))</f>
        <v>Tech Infrastructure, Tech Application</v>
      </c>
      <c r="I738">
        <v>1</v>
      </c>
      <c r="J738">
        <v>1</v>
      </c>
      <c r="K738">
        <v>0</v>
      </c>
      <c r="L738">
        <v>0</v>
      </c>
      <c r="M738">
        <v>0</v>
      </c>
      <c r="N738">
        <v>0</v>
      </c>
    </row>
    <row r="739" spans="1:14" x14ac:dyDescent="0.35">
      <c r="A739" t="s">
        <v>6</v>
      </c>
      <c r="B739" t="s">
        <v>1583</v>
      </c>
      <c r="D739" t="s">
        <v>1584</v>
      </c>
      <c r="E739" t="s">
        <v>230</v>
      </c>
      <c r="F739" t="s">
        <v>276</v>
      </c>
      <c r="H739" t="str" cm="1">
        <f t="array" ref="H739">_xlfn.TEXTJOIN(", ", TRUE, IF(I739:M739&gt;0, I$1:M$1, ""))</f>
        <v>Tech Application</v>
      </c>
      <c r="I739">
        <v>0</v>
      </c>
      <c r="J739">
        <v>4</v>
      </c>
      <c r="K739">
        <v>0</v>
      </c>
      <c r="L739">
        <v>0</v>
      </c>
      <c r="M739">
        <v>0</v>
      </c>
      <c r="N739">
        <v>0</v>
      </c>
    </row>
    <row r="740" spans="1:14" x14ac:dyDescent="0.35">
      <c r="A740" t="s">
        <v>6</v>
      </c>
      <c r="B740" t="s">
        <v>1585</v>
      </c>
      <c r="C740" t="s">
        <v>200</v>
      </c>
      <c r="E740" t="s">
        <v>62</v>
      </c>
      <c r="F740" t="s">
        <v>51</v>
      </c>
      <c r="H740" t="str" cm="1">
        <f t="array" ref="H740">_xlfn.TEXTJOIN(", ", TRUE, IF(I740:M740&gt;0, I$1:M$1, ""))</f>
        <v>Semantic View</v>
      </c>
      <c r="I740">
        <v>0</v>
      </c>
      <c r="J740">
        <v>0</v>
      </c>
      <c r="K740">
        <v>0</v>
      </c>
      <c r="L740">
        <v>0</v>
      </c>
      <c r="M740">
        <v>8</v>
      </c>
      <c r="N740">
        <v>0</v>
      </c>
    </row>
    <row r="741" spans="1:14" x14ac:dyDescent="0.35">
      <c r="A741" t="s">
        <v>6</v>
      </c>
      <c r="B741" t="s">
        <v>1586</v>
      </c>
      <c r="E741" t="s">
        <v>50</v>
      </c>
      <c r="F741" t="s">
        <v>92</v>
      </c>
      <c r="H741" t="str" cm="1">
        <f t="array" ref="H741">_xlfn.TEXTJOIN(", ", TRUE, IF(I741:M741&gt;0, I$1:M$1, ""))</f>
        <v>Tech Application</v>
      </c>
      <c r="I741">
        <v>0</v>
      </c>
      <c r="J741">
        <v>2</v>
      </c>
      <c r="K741">
        <v>0</v>
      </c>
      <c r="L741">
        <v>0</v>
      </c>
      <c r="M741">
        <v>0</v>
      </c>
      <c r="N741">
        <v>0</v>
      </c>
    </row>
    <row r="742" spans="1:14" x14ac:dyDescent="0.35">
      <c r="A742" t="s">
        <v>6</v>
      </c>
      <c r="B742" t="s">
        <v>1587</v>
      </c>
      <c r="D742" t="s">
        <v>1588</v>
      </c>
      <c r="E742" t="s">
        <v>393</v>
      </c>
      <c r="F742" t="s">
        <v>51</v>
      </c>
      <c r="H742" t="str" cm="1">
        <f t="array" ref="H742">_xlfn.TEXTJOIN(", ", TRUE, IF(I742:M742&gt;0, I$1:M$1, ""))</f>
        <v>Semantic View</v>
      </c>
      <c r="I742">
        <v>0</v>
      </c>
      <c r="J742">
        <v>0</v>
      </c>
      <c r="K742">
        <v>0</v>
      </c>
      <c r="L742">
        <v>0</v>
      </c>
      <c r="M742">
        <v>2</v>
      </c>
      <c r="N742">
        <v>1</v>
      </c>
    </row>
    <row r="743" spans="1:14" x14ac:dyDescent="0.35">
      <c r="A743" t="s">
        <v>6</v>
      </c>
      <c r="B743" t="s">
        <v>1589</v>
      </c>
      <c r="C743" t="s">
        <v>1589</v>
      </c>
      <c r="D743" t="s">
        <v>1590</v>
      </c>
      <c r="E743" t="s">
        <v>62</v>
      </c>
      <c r="F743" t="s">
        <v>1591</v>
      </c>
      <c r="H743" t="str" cm="1">
        <f t="array" ref="H743">_xlfn.TEXTJOIN(", ", TRUE, IF(I743:M743&gt;0, I$1:M$1, ""))</f>
        <v>Semantic View</v>
      </c>
      <c r="I743">
        <v>0</v>
      </c>
      <c r="J743">
        <v>0</v>
      </c>
      <c r="K743">
        <v>0</v>
      </c>
      <c r="L743">
        <v>0</v>
      </c>
      <c r="M743">
        <v>5</v>
      </c>
      <c r="N743">
        <v>0</v>
      </c>
    </row>
    <row r="744" spans="1:14" x14ac:dyDescent="0.35">
      <c r="A744" t="s">
        <v>6</v>
      </c>
      <c r="B744" t="s">
        <v>1592</v>
      </c>
      <c r="C744" t="s">
        <v>1593</v>
      </c>
      <c r="E744" t="s">
        <v>121</v>
      </c>
      <c r="F744" t="s">
        <v>55</v>
      </c>
      <c r="H744" t="str" cm="1">
        <f t="array" ref="H744">_xlfn.TEXTJOIN(", ", TRUE, IF(I744:M744&gt;0, I$1:M$1, ""))</f>
        <v>Semantic View</v>
      </c>
      <c r="I744">
        <v>0</v>
      </c>
      <c r="J744">
        <v>0</v>
      </c>
      <c r="K744">
        <v>0</v>
      </c>
      <c r="L744">
        <v>0</v>
      </c>
      <c r="M744">
        <v>1</v>
      </c>
      <c r="N744">
        <v>2</v>
      </c>
    </row>
    <row r="745" spans="1:14" x14ac:dyDescent="0.35">
      <c r="A745" t="s">
        <v>6</v>
      </c>
      <c r="B745" t="s">
        <v>1594</v>
      </c>
      <c r="E745" t="s">
        <v>62</v>
      </c>
      <c r="F745" t="s">
        <v>55</v>
      </c>
      <c r="H745" t="str" cm="1">
        <f t="array" ref="H745">_xlfn.TEXTJOIN(", ", TRUE, IF(I745:M745&gt;0, I$1:M$1, ""))</f>
        <v>Semantic View</v>
      </c>
      <c r="I745">
        <v>0</v>
      </c>
      <c r="J745">
        <v>0</v>
      </c>
      <c r="K745">
        <v>0</v>
      </c>
      <c r="L745">
        <v>0</v>
      </c>
      <c r="M745">
        <v>1</v>
      </c>
      <c r="N745">
        <v>0</v>
      </c>
    </row>
    <row r="746" spans="1:14" x14ac:dyDescent="0.35">
      <c r="A746" t="s">
        <v>6</v>
      </c>
      <c r="B746" t="s">
        <v>1595</v>
      </c>
      <c r="E746" t="s">
        <v>50</v>
      </c>
      <c r="F746" t="s">
        <v>267</v>
      </c>
      <c r="H746" t="str" cm="1">
        <f t="array" ref="H746">_xlfn.TEXTJOIN(", ", TRUE, IF(I746:M746&gt;0, I$1:M$1, ""))</f>
        <v>Tech Infrastructure, Tech Application</v>
      </c>
      <c r="I746">
        <v>1</v>
      </c>
      <c r="J746">
        <v>2</v>
      </c>
      <c r="K746">
        <v>0</v>
      </c>
      <c r="L746">
        <v>0</v>
      </c>
      <c r="M746">
        <v>0</v>
      </c>
      <c r="N746">
        <v>0</v>
      </c>
    </row>
    <row r="747" spans="1:14" x14ac:dyDescent="0.35">
      <c r="A747" t="s">
        <v>6</v>
      </c>
      <c r="B747" t="s">
        <v>1596</v>
      </c>
      <c r="E747" t="s">
        <v>336</v>
      </c>
      <c r="F747" t="s">
        <v>55</v>
      </c>
      <c r="H747" t="str" cm="1">
        <f t="array" ref="H747">_xlfn.TEXTJOIN(", ", TRUE, IF(I747:M747&gt;0, I$1:M$1, ""))</f>
        <v>Tech Infrastructure</v>
      </c>
      <c r="I747">
        <v>5</v>
      </c>
      <c r="J747">
        <v>0</v>
      </c>
      <c r="K747">
        <v>0</v>
      </c>
      <c r="L747">
        <v>0</v>
      </c>
      <c r="M747">
        <v>0</v>
      </c>
      <c r="N747">
        <v>1</v>
      </c>
    </row>
    <row r="748" spans="1:14" x14ac:dyDescent="0.35">
      <c r="A748" t="s">
        <v>6</v>
      </c>
      <c r="B748" t="s">
        <v>1597</v>
      </c>
      <c r="E748" t="s">
        <v>46</v>
      </c>
      <c r="F748" t="s">
        <v>1598</v>
      </c>
      <c r="H748" t="str" cm="1">
        <f t="array" ref="H748">_xlfn.TEXTJOIN(", ", TRUE, IF(I748:M748&gt;0, I$1:M$1, ""))</f>
        <v>Tech Application, Semantic View</v>
      </c>
      <c r="I748">
        <v>0</v>
      </c>
      <c r="J748">
        <v>2</v>
      </c>
      <c r="K748">
        <v>0</v>
      </c>
      <c r="L748">
        <v>0</v>
      </c>
      <c r="M748">
        <v>3</v>
      </c>
      <c r="N748">
        <v>0</v>
      </c>
    </row>
    <row r="749" spans="1:14" x14ac:dyDescent="0.35">
      <c r="A749" t="s">
        <v>6</v>
      </c>
      <c r="B749" t="s">
        <v>1599</v>
      </c>
      <c r="D749" t="s">
        <v>1069</v>
      </c>
      <c r="E749" t="s">
        <v>230</v>
      </c>
      <c r="F749" t="s">
        <v>447</v>
      </c>
      <c r="H749" t="str" cm="1">
        <f t="array" ref="H749">_xlfn.TEXTJOIN(", ", TRUE, IF(I749:M749&gt;0, I$1:M$1, ""))</f>
        <v>Tech Application</v>
      </c>
      <c r="I749">
        <v>0</v>
      </c>
      <c r="J749">
        <v>3</v>
      </c>
      <c r="K749">
        <v>0</v>
      </c>
      <c r="L749">
        <v>0</v>
      </c>
      <c r="M749">
        <v>0</v>
      </c>
      <c r="N749">
        <v>0</v>
      </c>
    </row>
    <row r="750" spans="1:14" x14ac:dyDescent="0.35">
      <c r="A750" t="s">
        <v>6</v>
      </c>
      <c r="B750" t="s">
        <v>1600</v>
      </c>
      <c r="E750" t="s">
        <v>66</v>
      </c>
      <c r="F750" t="s">
        <v>1601</v>
      </c>
      <c r="H750" t="str" cm="1">
        <f t="array" ref="H750">_xlfn.TEXTJOIN(", ", TRUE, IF(I750:M750&gt;0, I$1:M$1, ""))</f>
        <v>Semantic View</v>
      </c>
      <c r="I750">
        <v>0</v>
      </c>
      <c r="J750">
        <v>0</v>
      </c>
      <c r="K750">
        <v>0</v>
      </c>
      <c r="L750">
        <v>0</v>
      </c>
      <c r="M750">
        <v>6</v>
      </c>
      <c r="N750">
        <v>0</v>
      </c>
    </row>
    <row r="751" spans="1:14" x14ac:dyDescent="0.35">
      <c r="A751" t="s">
        <v>6</v>
      </c>
      <c r="B751" t="s">
        <v>1602</v>
      </c>
      <c r="C751" t="s">
        <v>1603</v>
      </c>
      <c r="E751" t="s">
        <v>62</v>
      </c>
      <c r="F751" t="s">
        <v>55</v>
      </c>
      <c r="H751" t="str" cm="1">
        <f t="array" ref="H751">_xlfn.TEXTJOIN(", ", TRUE, IF(I751:M751&gt;0, I$1:M$1, ""))</f>
        <v>Tech Infrastructure</v>
      </c>
      <c r="I751">
        <v>1</v>
      </c>
      <c r="J751">
        <v>0</v>
      </c>
      <c r="K751">
        <v>0</v>
      </c>
      <c r="L751">
        <v>0</v>
      </c>
      <c r="M751">
        <v>0</v>
      </c>
      <c r="N751">
        <v>0</v>
      </c>
    </row>
    <row r="752" spans="1:14" x14ac:dyDescent="0.35">
      <c r="A752" t="s">
        <v>6</v>
      </c>
      <c r="B752" t="s">
        <v>1604</v>
      </c>
      <c r="C752" t="s">
        <v>1605</v>
      </c>
      <c r="E752" t="s">
        <v>66</v>
      </c>
      <c r="F752" t="s">
        <v>1606</v>
      </c>
      <c r="H752" t="str" cm="1">
        <f t="array" ref="H752">_xlfn.TEXTJOIN(", ", TRUE, IF(I752:M752&gt;0, I$1:M$1, ""))</f>
        <v>Tech Application, Legal View, Organisational View, Semantic View</v>
      </c>
      <c r="I752">
        <v>0</v>
      </c>
      <c r="J752">
        <v>2</v>
      </c>
      <c r="K752">
        <v>7</v>
      </c>
      <c r="L752">
        <v>6</v>
      </c>
      <c r="M752">
        <v>6</v>
      </c>
      <c r="N752">
        <v>0</v>
      </c>
    </row>
    <row r="753" spans="1:14" x14ac:dyDescent="0.35">
      <c r="A753" t="s">
        <v>6</v>
      </c>
      <c r="B753" t="s">
        <v>1607</v>
      </c>
      <c r="C753" t="s">
        <v>662</v>
      </c>
      <c r="E753" t="s">
        <v>59</v>
      </c>
      <c r="F753" t="s">
        <v>206</v>
      </c>
      <c r="H753" t="str" cm="1">
        <f t="array" ref="H753">_xlfn.TEXTJOIN(", ", TRUE, IF(I753:M753&gt;0, I$1:M$1, ""))</f>
        <v>Tech Application</v>
      </c>
      <c r="I753">
        <v>0</v>
      </c>
      <c r="J753">
        <v>5</v>
      </c>
      <c r="K753">
        <v>0</v>
      </c>
      <c r="L753">
        <v>0</v>
      </c>
      <c r="M753">
        <v>0</v>
      </c>
      <c r="N753">
        <v>1</v>
      </c>
    </row>
    <row r="754" spans="1:14" x14ac:dyDescent="0.35">
      <c r="A754" t="s">
        <v>6</v>
      </c>
      <c r="B754" t="s">
        <v>1608</v>
      </c>
      <c r="D754" t="s">
        <v>1609</v>
      </c>
      <c r="E754" t="s">
        <v>59</v>
      </c>
      <c r="F754" t="s">
        <v>100</v>
      </c>
      <c r="H754" t="str" cm="1">
        <f t="array" ref="H754">_xlfn.TEXTJOIN(", ", TRUE, IF(I754:M754&gt;0, I$1:M$1, ""))</f>
        <v>Tech Infrastructure</v>
      </c>
      <c r="I754">
        <v>2</v>
      </c>
      <c r="J754">
        <v>0</v>
      </c>
      <c r="K754">
        <v>0</v>
      </c>
      <c r="L754">
        <v>0</v>
      </c>
      <c r="M754">
        <v>0</v>
      </c>
      <c r="N754">
        <v>0</v>
      </c>
    </row>
    <row r="755" spans="1:14" x14ac:dyDescent="0.35">
      <c r="A755" t="s">
        <v>6</v>
      </c>
      <c r="B755" t="s">
        <v>1610</v>
      </c>
      <c r="E755" t="s">
        <v>1611</v>
      </c>
      <c r="F755" t="s">
        <v>92</v>
      </c>
      <c r="H755" t="str" cm="1">
        <f t="array" ref="H755">_xlfn.TEXTJOIN(", ", TRUE, IF(I755:M755&gt;0, I$1:M$1, ""))</f>
        <v>Tech Infrastructure, Tech Application, Semantic View</v>
      </c>
      <c r="I755">
        <v>2</v>
      </c>
      <c r="J755">
        <v>11</v>
      </c>
      <c r="K755">
        <v>0</v>
      </c>
      <c r="L755">
        <v>0</v>
      </c>
      <c r="M755">
        <v>1</v>
      </c>
      <c r="N755">
        <v>1</v>
      </c>
    </row>
    <row r="756" spans="1:14" x14ac:dyDescent="0.35">
      <c r="A756" t="s">
        <v>6</v>
      </c>
      <c r="B756" t="s">
        <v>1612</v>
      </c>
      <c r="E756" t="s">
        <v>62</v>
      </c>
      <c r="F756" t="s">
        <v>55</v>
      </c>
      <c r="H756" t="str" cm="1">
        <f t="array" ref="H756">_xlfn.TEXTJOIN(", ", TRUE, IF(I756:M756&gt;0, I$1:M$1, ""))</f>
        <v>Organisational View</v>
      </c>
      <c r="I756">
        <v>0</v>
      </c>
      <c r="J756">
        <v>0</v>
      </c>
      <c r="K756">
        <v>0</v>
      </c>
      <c r="L756">
        <v>1</v>
      </c>
      <c r="M756">
        <v>0</v>
      </c>
      <c r="N756">
        <v>0</v>
      </c>
    </row>
    <row r="757" spans="1:14" x14ac:dyDescent="0.35">
      <c r="A757" t="s">
        <v>6</v>
      </c>
      <c r="B757" t="s">
        <v>1613</v>
      </c>
      <c r="D757" t="s">
        <v>1614</v>
      </c>
      <c r="E757" t="s">
        <v>66</v>
      </c>
      <c r="F757" t="s">
        <v>1615</v>
      </c>
      <c r="H757" t="str" cm="1">
        <f t="array" ref="H757">_xlfn.TEXTJOIN(", ", TRUE, IF(I757:M757&gt;0, I$1:M$1, ""))</f>
        <v>Legal View</v>
      </c>
      <c r="I757">
        <v>0</v>
      </c>
      <c r="J757">
        <v>0</v>
      </c>
      <c r="K757">
        <v>5</v>
      </c>
      <c r="L757">
        <v>0</v>
      </c>
      <c r="M757">
        <v>0</v>
      </c>
      <c r="N757">
        <v>0</v>
      </c>
    </row>
    <row r="758" spans="1:14" x14ac:dyDescent="0.35">
      <c r="A758" t="s">
        <v>6</v>
      </c>
      <c r="B758" t="s">
        <v>1616</v>
      </c>
      <c r="E758" t="s">
        <v>96</v>
      </c>
      <c r="F758" t="s">
        <v>55</v>
      </c>
      <c r="H758" t="str" cm="1">
        <f t="array" ref="H758">_xlfn.TEXTJOIN(", ", TRUE, IF(I758:M758&gt;0, I$1:M$1, ""))</f>
        <v>Legal View</v>
      </c>
      <c r="I758">
        <v>0</v>
      </c>
      <c r="J758">
        <v>0</v>
      </c>
      <c r="K758">
        <v>5</v>
      </c>
      <c r="L758">
        <v>0</v>
      </c>
      <c r="M758">
        <v>0</v>
      </c>
      <c r="N758">
        <v>1</v>
      </c>
    </row>
    <row r="759" spans="1:14" x14ac:dyDescent="0.35">
      <c r="A759" t="s">
        <v>6</v>
      </c>
      <c r="B759" t="s">
        <v>1617</v>
      </c>
      <c r="E759" t="s">
        <v>50</v>
      </c>
      <c r="F759" t="s">
        <v>55</v>
      </c>
      <c r="H759" t="str" cm="1">
        <f t="array" ref="H759">_xlfn.TEXTJOIN(", ", TRUE, IF(I759:M759&gt;0, I$1:M$1, ""))</f>
        <v>Tech Application</v>
      </c>
      <c r="I759">
        <v>0</v>
      </c>
      <c r="J759">
        <v>3</v>
      </c>
      <c r="K759">
        <v>0</v>
      </c>
      <c r="L759">
        <v>0</v>
      </c>
      <c r="M759">
        <v>0</v>
      </c>
      <c r="N759">
        <v>0</v>
      </c>
    </row>
    <row r="760" spans="1:14" x14ac:dyDescent="0.35">
      <c r="A760" t="s">
        <v>6</v>
      </c>
      <c r="B760" t="s">
        <v>1618</v>
      </c>
      <c r="D760" t="s">
        <v>1619</v>
      </c>
      <c r="E760" t="s">
        <v>230</v>
      </c>
      <c r="F760" t="s">
        <v>55</v>
      </c>
      <c r="H760" t="str" cm="1">
        <f t="array" ref="H760">_xlfn.TEXTJOIN(", ", TRUE, IF(I760:M760&gt;0, I$1:M$1, ""))</f>
        <v>Tech Application</v>
      </c>
      <c r="I760">
        <v>0</v>
      </c>
      <c r="J760">
        <v>2</v>
      </c>
      <c r="K760">
        <v>0</v>
      </c>
      <c r="L760">
        <v>0</v>
      </c>
      <c r="M760">
        <v>0</v>
      </c>
      <c r="N760">
        <v>0</v>
      </c>
    </row>
    <row r="761" spans="1:14" x14ac:dyDescent="0.35">
      <c r="A761" t="s">
        <v>6</v>
      </c>
      <c r="B761" t="s">
        <v>1620</v>
      </c>
      <c r="C761" t="s">
        <v>1621</v>
      </c>
      <c r="E761" t="s">
        <v>1622</v>
      </c>
      <c r="F761" t="s">
        <v>582</v>
      </c>
      <c r="H761" t="str" cm="1">
        <f t="array" ref="H761">_xlfn.TEXTJOIN(", ", TRUE, IF(I761:M761&gt;0, I$1:M$1, ""))</f>
        <v>Tech Infrastructure, Tech Application</v>
      </c>
      <c r="I761">
        <v>1</v>
      </c>
      <c r="J761">
        <v>2</v>
      </c>
      <c r="K761">
        <v>0</v>
      </c>
      <c r="L761">
        <v>0</v>
      </c>
      <c r="M761">
        <v>0</v>
      </c>
      <c r="N761">
        <v>1</v>
      </c>
    </row>
    <row r="762" spans="1:14" x14ac:dyDescent="0.35">
      <c r="A762" t="s">
        <v>6</v>
      </c>
      <c r="B762" t="s">
        <v>1623</v>
      </c>
      <c r="E762" t="s">
        <v>91</v>
      </c>
      <c r="F762" t="s">
        <v>342</v>
      </c>
      <c r="H762" t="str" cm="1">
        <f t="array" ref="H762">_xlfn.TEXTJOIN(", ", TRUE, IF(I762:M762&gt;0, I$1:M$1, ""))</f>
        <v>Tech Application</v>
      </c>
      <c r="I762">
        <v>0</v>
      </c>
      <c r="J762">
        <v>2</v>
      </c>
      <c r="K762">
        <v>0</v>
      </c>
      <c r="L762">
        <v>0</v>
      </c>
      <c r="M762">
        <v>0</v>
      </c>
      <c r="N762">
        <v>0</v>
      </c>
    </row>
    <row r="763" spans="1:14" x14ac:dyDescent="0.35">
      <c r="A763" t="s">
        <v>6</v>
      </c>
      <c r="B763" t="s">
        <v>1624</v>
      </c>
      <c r="C763" t="s">
        <v>1625</v>
      </c>
      <c r="E763" t="s">
        <v>438</v>
      </c>
      <c r="F763" t="s">
        <v>51</v>
      </c>
      <c r="H763" t="str" cm="1">
        <f t="array" ref="H763">_xlfn.TEXTJOIN(", ", TRUE, IF(I763:M763&gt;0, I$1:M$1, ""))</f>
        <v>Tech Infrastructure, Tech Application</v>
      </c>
      <c r="I763">
        <v>1</v>
      </c>
      <c r="J763">
        <v>2</v>
      </c>
      <c r="K763">
        <v>0</v>
      </c>
      <c r="L763">
        <v>0</v>
      </c>
      <c r="M763">
        <v>0</v>
      </c>
      <c r="N763">
        <v>0</v>
      </c>
    </row>
    <row r="764" spans="1:14" x14ac:dyDescent="0.35">
      <c r="A764" t="s">
        <v>6</v>
      </c>
      <c r="B764" t="s">
        <v>1626</v>
      </c>
      <c r="C764" t="s">
        <v>1627</v>
      </c>
      <c r="E764" t="s">
        <v>50</v>
      </c>
      <c r="F764" t="s">
        <v>535</v>
      </c>
      <c r="H764" t="str" cm="1">
        <f t="array" ref="H764">_xlfn.TEXTJOIN(", ", TRUE, IF(I764:M764&gt;0, I$1:M$1, ""))</f>
        <v/>
      </c>
      <c r="I764">
        <v>0</v>
      </c>
      <c r="J764">
        <v>0</v>
      </c>
      <c r="K764">
        <v>0</v>
      </c>
      <c r="L764">
        <v>0</v>
      </c>
      <c r="M764">
        <v>0</v>
      </c>
      <c r="N764">
        <v>0</v>
      </c>
    </row>
    <row r="765" spans="1:14" x14ac:dyDescent="0.35">
      <c r="A765" t="s">
        <v>6</v>
      </c>
      <c r="B765" t="s">
        <v>1628</v>
      </c>
      <c r="C765" t="s">
        <v>1629</v>
      </c>
      <c r="E765" t="s">
        <v>86</v>
      </c>
      <c r="F765" t="s">
        <v>55</v>
      </c>
      <c r="H765" t="str" cm="1">
        <f t="array" ref="H765">_xlfn.TEXTJOIN(", ", TRUE, IF(I765:M765&gt;0, I$1:M$1, ""))</f>
        <v>Tech Application</v>
      </c>
      <c r="I765">
        <v>0</v>
      </c>
      <c r="J765">
        <v>2</v>
      </c>
      <c r="K765">
        <v>0</v>
      </c>
      <c r="L765">
        <v>0</v>
      </c>
      <c r="M765">
        <v>0</v>
      </c>
      <c r="N765">
        <v>0</v>
      </c>
    </row>
    <row r="766" spans="1:14" x14ac:dyDescent="0.35">
      <c r="A766" t="s">
        <v>6</v>
      </c>
      <c r="B766" t="s">
        <v>1630</v>
      </c>
      <c r="C766" t="s">
        <v>1630</v>
      </c>
      <c r="E766" t="s">
        <v>50</v>
      </c>
      <c r="F766" t="s">
        <v>111</v>
      </c>
      <c r="H766" t="str" cm="1">
        <f t="array" ref="H766">_xlfn.TEXTJOIN(", ", TRUE, IF(I766:M766&gt;0, I$1:M$1, ""))</f>
        <v>Semantic View</v>
      </c>
      <c r="I766">
        <v>0</v>
      </c>
      <c r="J766">
        <v>0</v>
      </c>
      <c r="K766">
        <v>0</v>
      </c>
      <c r="L766">
        <v>0</v>
      </c>
      <c r="M766">
        <v>1</v>
      </c>
      <c r="N766">
        <v>2</v>
      </c>
    </row>
    <row r="767" spans="1:14" x14ac:dyDescent="0.35">
      <c r="A767" t="s">
        <v>6</v>
      </c>
      <c r="B767" t="s">
        <v>1631</v>
      </c>
      <c r="C767" t="s">
        <v>408</v>
      </c>
      <c r="E767" t="s">
        <v>62</v>
      </c>
      <c r="F767" t="s">
        <v>281</v>
      </c>
      <c r="H767" t="str" cm="1">
        <f t="array" ref="H767">_xlfn.TEXTJOIN(", ", TRUE, IF(I767:M767&gt;0, I$1:M$1, ""))</f>
        <v>Tech Application, Organisational View, Semantic View</v>
      </c>
      <c r="I767">
        <v>0</v>
      </c>
      <c r="J767">
        <v>3</v>
      </c>
      <c r="K767">
        <v>0</v>
      </c>
      <c r="L767">
        <v>1</v>
      </c>
      <c r="M767">
        <v>6</v>
      </c>
      <c r="N767">
        <v>2</v>
      </c>
    </row>
    <row r="768" spans="1:14" x14ac:dyDescent="0.35">
      <c r="A768" t="s">
        <v>6</v>
      </c>
      <c r="B768" t="s">
        <v>1632</v>
      </c>
      <c r="C768" t="s">
        <v>1633</v>
      </c>
      <c r="E768" t="s">
        <v>121</v>
      </c>
      <c r="F768" t="s">
        <v>55</v>
      </c>
      <c r="H768" t="str" cm="1">
        <f t="array" ref="H768">_xlfn.TEXTJOIN(", ", TRUE, IF(I768:M768&gt;0, I$1:M$1, ""))</f>
        <v>Semantic View</v>
      </c>
      <c r="I768">
        <v>0</v>
      </c>
      <c r="J768">
        <v>0</v>
      </c>
      <c r="K768">
        <v>0</v>
      </c>
      <c r="L768">
        <v>0</v>
      </c>
      <c r="M768">
        <v>4</v>
      </c>
      <c r="N768">
        <v>0</v>
      </c>
    </row>
    <row r="769" spans="1:14" x14ac:dyDescent="0.35">
      <c r="A769" t="s">
        <v>6</v>
      </c>
      <c r="B769" t="s">
        <v>1634</v>
      </c>
      <c r="D769" t="s">
        <v>1635</v>
      </c>
      <c r="E769" t="s">
        <v>66</v>
      </c>
      <c r="F769" t="s">
        <v>1636</v>
      </c>
      <c r="H769" t="str" cm="1">
        <f t="array" ref="H769">_xlfn.TEXTJOIN(", ", TRUE, IF(I769:M769&gt;0, I$1:M$1, ""))</f>
        <v>Legal View</v>
      </c>
      <c r="I769">
        <v>0</v>
      </c>
      <c r="J769">
        <v>0</v>
      </c>
      <c r="K769">
        <v>1</v>
      </c>
      <c r="L769">
        <v>0</v>
      </c>
      <c r="M769">
        <v>0</v>
      </c>
      <c r="N769">
        <v>0</v>
      </c>
    </row>
    <row r="770" spans="1:14" x14ac:dyDescent="0.35">
      <c r="A770" t="s">
        <v>6</v>
      </c>
      <c r="B770" t="s">
        <v>1637</v>
      </c>
      <c r="C770" t="s">
        <v>1216</v>
      </c>
      <c r="E770" t="s">
        <v>121</v>
      </c>
      <c r="F770" t="s">
        <v>55</v>
      </c>
      <c r="H770" t="str" cm="1">
        <f t="array" ref="H770">_xlfn.TEXTJOIN(", ", TRUE, IF(I770:M770&gt;0, I$1:M$1, ""))</f>
        <v>Organisational View, Semantic View</v>
      </c>
      <c r="I770">
        <v>0</v>
      </c>
      <c r="J770">
        <v>0</v>
      </c>
      <c r="K770">
        <v>0</v>
      </c>
      <c r="L770">
        <v>1</v>
      </c>
      <c r="M770">
        <v>10</v>
      </c>
      <c r="N770">
        <v>2</v>
      </c>
    </row>
    <row r="771" spans="1:14" x14ac:dyDescent="0.35">
      <c r="A771" t="s">
        <v>6</v>
      </c>
      <c r="B771" t="s">
        <v>1638</v>
      </c>
      <c r="C771" t="s">
        <v>1639</v>
      </c>
      <c r="E771" t="s">
        <v>86</v>
      </c>
      <c r="F771" t="s">
        <v>55</v>
      </c>
      <c r="H771" t="str" cm="1">
        <f t="array" ref="H771">_xlfn.TEXTJOIN(", ", TRUE, IF(I771:M771&gt;0, I$1:M$1, ""))</f>
        <v>Tech Infrastructure, Tech Application</v>
      </c>
      <c r="I771">
        <v>1</v>
      </c>
      <c r="J771">
        <v>1</v>
      </c>
      <c r="K771">
        <v>0</v>
      </c>
      <c r="L771">
        <v>0</v>
      </c>
      <c r="M771">
        <v>0</v>
      </c>
      <c r="N771">
        <v>1</v>
      </c>
    </row>
    <row r="772" spans="1:14" x14ac:dyDescent="0.35">
      <c r="A772" t="s">
        <v>6</v>
      </c>
      <c r="B772" t="s">
        <v>1640</v>
      </c>
      <c r="E772" t="s">
        <v>1641</v>
      </c>
      <c r="F772" t="s">
        <v>1642</v>
      </c>
      <c r="H772" t="str" cm="1">
        <f t="array" ref="H772">_xlfn.TEXTJOIN(", ", TRUE, IF(I772:M772&gt;0, I$1:M$1, ""))</f>
        <v>Tech Application, Semantic View</v>
      </c>
      <c r="I772">
        <v>0</v>
      </c>
      <c r="J772">
        <v>4</v>
      </c>
      <c r="K772">
        <v>0</v>
      </c>
      <c r="L772">
        <v>0</v>
      </c>
      <c r="M772">
        <v>2</v>
      </c>
      <c r="N772">
        <v>0</v>
      </c>
    </row>
    <row r="773" spans="1:14" x14ac:dyDescent="0.35">
      <c r="A773" t="s">
        <v>6</v>
      </c>
      <c r="B773" t="s">
        <v>1643</v>
      </c>
      <c r="E773" t="s">
        <v>66</v>
      </c>
      <c r="F773" t="s">
        <v>1644</v>
      </c>
      <c r="H773" t="str" cm="1">
        <f t="array" ref="H773">_xlfn.TEXTJOIN(", ", TRUE, IF(I773:M773&gt;0, I$1:M$1, ""))</f>
        <v>Legal View</v>
      </c>
      <c r="I773">
        <v>0</v>
      </c>
      <c r="J773">
        <v>0</v>
      </c>
      <c r="K773">
        <v>1</v>
      </c>
      <c r="L773">
        <v>0</v>
      </c>
      <c r="M773">
        <v>0</v>
      </c>
      <c r="N773">
        <v>0</v>
      </c>
    </row>
    <row r="774" spans="1:14" x14ac:dyDescent="0.35">
      <c r="A774" t="s">
        <v>6</v>
      </c>
      <c r="B774" t="s">
        <v>1645</v>
      </c>
      <c r="C774" t="s">
        <v>1646</v>
      </c>
      <c r="E774" t="s">
        <v>489</v>
      </c>
      <c r="F774" t="s">
        <v>785</v>
      </c>
      <c r="H774" t="str" cm="1">
        <f t="array" ref="H774">_xlfn.TEXTJOIN(", ", TRUE, IF(I774:M774&gt;0, I$1:M$1, ""))</f>
        <v>Semantic View</v>
      </c>
      <c r="I774">
        <v>0</v>
      </c>
      <c r="J774">
        <v>0</v>
      </c>
      <c r="K774">
        <v>0</v>
      </c>
      <c r="L774">
        <v>0</v>
      </c>
      <c r="M774">
        <v>2</v>
      </c>
      <c r="N774">
        <v>0</v>
      </c>
    </row>
    <row r="775" spans="1:14" x14ac:dyDescent="0.35">
      <c r="A775" t="s">
        <v>6</v>
      </c>
      <c r="B775" t="s">
        <v>1647</v>
      </c>
      <c r="E775" t="s">
        <v>50</v>
      </c>
      <c r="F775" t="s">
        <v>92</v>
      </c>
      <c r="H775" t="str" cm="1">
        <f t="array" ref="H775">_xlfn.TEXTJOIN(", ", TRUE, IF(I775:M775&gt;0, I$1:M$1, ""))</f>
        <v>Tech Application</v>
      </c>
      <c r="I775">
        <v>0</v>
      </c>
      <c r="J775">
        <v>2</v>
      </c>
      <c r="K775">
        <v>0</v>
      </c>
      <c r="L775">
        <v>0</v>
      </c>
      <c r="M775">
        <v>0</v>
      </c>
      <c r="N775">
        <v>0</v>
      </c>
    </row>
    <row r="776" spans="1:14" x14ac:dyDescent="0.35">
      <c r="A776" t="s">
        <v>6</v>
      </c>
      <c r="B776" t="s">
        <v>1648</v>
      </c>
      <c r="C776" t="s">
        <v>1649</v>
      </c>
      <c r="E776" t="s">
        <v>1067</v>
      </c>
      <c r="F776" t="s">
        <v>55</v>
      </c>
      <c r="H776" t="str" cm="1">
        <f t="array" ref="H776">_xlfn.TEXTJOIN(", ", TRUE, IF(I776:M776&gt;0, I$1:M$1, ""))</f>
        <v>Tech Application</v>
      </c>
      <c r="I776">
        <v>0</v>
      </c>
      <c r="J776">
        <v>2</v>
      </c>
      <c r="K776">
        <v>0</v>
      </c>
      <c r="L776">
        <v>0</v>
      </c>
      <c r="M776">
        <v>0</v>
      </c>
      <c r="N776">
        <v>0</v>
      </c>
    </row>
    <row r="777" spans="1:14" x14ac:dyDescent="0.35">
      <c r="A777" t="s">
        <v>6</v>
      </c>
      <c r="B777" t="s">
        <v>1650</v>
      </c>
      <c r="C777" t="s">
        <v>1651</v>
      </c>
      <c r="E777" t="s">
        <v>50</v>
      </c>
      <c r="F777" t="s">
        <v>1652</v>
      </c>
      <c r="H777" t="str" cm="1">
        <f t="array" ref="H777">_xlfn.TEXTJOIN(", ", TRUE, IF(I777:M777&gt;0, I$1:M$1, ""))</f>
        <v>Tech Application</v>
      </c>
      <c r="I777">
        <v>0</v>
      </c>
      <c r="J777">
        <v>2</v>
      </c>
      <c r="K777">
        <v>0</v>
      </c>
      <c r="L777">
        <v>0</v>
      </c>
      <c r="M777">
        <v>0</v>
      </c>
      <c r="N777">
        <v>0</v>
      </c>
    </row>
    <row r="778" spans="1:14" x14ac:dyDescent="0.35">
      <c r="A778" t="s">
        <v>6</v>
      </c>
      <c r="B778" t="s">
        <v>1653</v>
      </c>
      <c r="C778" t="s">
        <v>424</v>
      </c>
      <c r="E778" t="s">
        <v>96</v>
      </c>
      <c r="F778" t="s">
        <v>51</v>
      </c>
      <c r="H778" t="str" cm="1">
        <f t="array" ref="H778">_xlfn.TEXTJOIN(", ", TRUE, IF(I778:M778&gt;0, I$1:M$1, ""))</f>
        <v>Tech Application, Semantic View</v>
      </c>
      <c r="I778">
        <v>0</v>
      </c>
      <c r="J778">
        <v>4</v>
      </c>
      <c r="K778">
        <v>0</v>
      </c>
      <c r="L778">
        <v>0</v>
      </c>
      <c r="M778">
        <v>2</v>
      </c>
      <c r="N778">
        <v>2</v>
      </c>
    </row>
    <row r="779" spans="1:14" x14ac:dyDescent="0.35">
      <c r="A779" t="s">
        <v>6</v>
      </c>
      <c r="B779" t="s">
        <v>1654</v>
      </c>
      <c r="C779" t="s">
        <v>1655</v>
      </c>
      <c r="E779" t="s">
        <v>1656</v>
      </c>
      <c r="F779" t="s">
        <v>51</v>
      </c>
      <c r="H779" t="str" cm="1">
        <f t="array" ref="H779">_xlfn.TEXTJOIN(", ", TRUE, IF(I779:M779&gt;0, I$1:M$1, ""))</f>
        <v>Semantic View</v>
      </c>
      <c r="I779">
        <v>0</v>
      </c>
      <c r="J779">
        <v>0</v>
      </c>
      <c r="K779">
        <v>0</v>
      </c>
      <c r="L779">
        <v>0</v>
      </c>
      <c r="M779">
        <v>1</v>
      </c>
      <c r="N779">
        <v>0</v>
      </c>
    </row>
    <row r="780" spans="1:14" x14ac:dyDescent="0.35">
      <c r="A780" t="s">
        <v>6</v>
      </c>
      <c r="B780" t="s">
        <v>1657</v>
      </c>
      <c r="E780" t="s">
        <v>50</v>
      </c>
      <c r="F780" t="s">
        <v>473</v>
      </c>
      <c r="H780" t="str" cm="1">
        <f t="array" ref="H780">_xlfn.TEXTJOIN(", ", TRUE, IF(I780:M780&gt;0, I$1:M$1, ""))</f>
        <v>Tech Application</v>
      </c>
      <c r="I780">
        <v>0</v>
      </c>
      <c r="J780">
        <v>2</v>
      </c>
      <c r="K780">
        <v>0</v>
      </c>
      <c r="L780">
        <v>0</v>
      </c>
      <c r="M780">
        <v>0</v>
      </c>
      <c r="N780">
        <v>1</v>
      </c>
    </row>
    <row r="781" spans="1:14" x14ac:dyDescent="0.35">
      <c r="A781" t="s">
        <v>6</v>
      </c>
      <c r="B781" t="s">
        <v>1658</v>
      </c>
      <c r="E781" t="s">
        <v>1315</v>
      </c>
      <c r="F781" t="s">
        <v>51</v>
      </c>
      <c r="H781" t="str" cm="1">
        <f t="array" ref="H781">_xlfn.TEXTJOIN(", ", TRUE, IF(I781:M781&gt;0, I$1:M$1, ""))</f>
        <v>Semantic View</v>
      </c>
      <c r="I781">
        <v>0</v>
      </c>
      <c r="J781">
        <v>0</v>
      </c>
      <c r="K781">
        <v>0</v>
      </c>
      <c r="L781">
        <v>0</v>
      </c>
      <c r="M781">
        <v>2</v>
      </c>
      <c r="N781">
        <v>0</v>
      </c>
    </row>
    <row r="782" spans="1:14" x14ac:dyDescent="0.35">
      <c r="A782" t="s">
        <v>6</v>
      </c>
      <c r="B782" t="s">
        <v>1659</v>
      </c>
      <c r="E782" t="s">
        <v>121</v>
      </c>
      <c r="F782" t="s">
        <v>55</v>
      </c>
      <c r="H782" t="str" cm="1">
        <f t="array" ref="H782">_xlfn.TEXTJOIN(", ", TRUE, IF(I782:M782&gt;0, I$1:M$1, ""))</f>
        <v/>
      </c>
      <c r="I782">
        <v>0</v>
      </c>
      <c r="J782">
        <v>0</v>
      </c>
      <c r="K782">
        <v>0</v>
      </c>
      <c r="L782">
        <v>0</v>
      </c>
      <c r="M782">
        <v>0</v>
      </c>
      <c r="N782">
        <v>0</v>
      </c>
    </row>
    <row r="783" spans="1:14" x14ac:dyDescent="0.35">
      <c r="A783" t="s">
        <v>6</v>
      </c>
      <c r="B783" t="s">
        <v>1660</v>
      </c>
      <c r="C783" t="s">
        <v>1661</v>
      </c>
      <c r="E783" t="s">
        <v>62</v>
      </c>
      <c r="F783" t="s">
        <v>1662</v>
      </c>
      <c r="H783" t="str" cm="1">
        <f t="array" ref="H783">_xlfn.TEXTJOIN(", ", TRUE, IF(I783:M783&gt;0, I$1:M$1, ""))</f>
        <v>Tech Infrastructure</v>
      </c>
      <c r="I783">
        <v>1</v>
      </c>
      <c r="J783">
        <v>0</v>
      </c>
      <c r="K783">
        <v>0</v>
      </c>
      <c r="L783">
        <v>0</v>
      </c>
      <c r="M783">
        <v>0</v>
      </c>
      <c r="N783">
        <v>0</v>
      </c>
    </row>
    <row r="784" spans="1:14" x14ac:dyDescent="0.35">
      <c r="A784" t="s">
        <v>6</v>
      </c>
      <c r="B784" t="s">
        <v>1663</v>
      </c>
      <c r="D784" t="s">
        <v>1664</v>
      </c>
      <c r="E784" t="s">
        <v>59</v>
      </c>
      <c r="F784" t="s">
        <v>100</v>
      </c>
      <c r="H784" t="str" cm="1">
        <f t="array" ref="H784">_xlfn.TEXTJOIN(", ", TRUE, IF(I784:M784&gt;0, I$1:M$1, ""))</f>
        <v>Organisational View</v>
      </c>
      <c r="I784">
        <v>0</v>
      </c>
      <c r="J784">
        <v>0</v>
      </c>
      <c r="K784">
        <v>0</v>
      </c>
      <c r="L784">
        <v>2</v>
      </c>
      <c r="M784">
        <v>0</v>
      </c>
      <c r="N784">
        <v>0</v>
      </c>
    </row>
    <row r="785" spans="1:14" x14ac:dyDescent="0.35">
      <c r="A785" t="s">
        <v>6</v>
      </c>
      <c r="B785" t="s">
        <v>1665</v>
      </c>
      <c r="C785" t="s">
        <v>1666</v>
      </c>
      <c r="E785" t="s">
        <v>455</v>
      </c>
      <c r="F785" t="s">
        <v>180</v>
      </c>
      <c r="H785" t="str" cm="1">
        <f t="array" ref="H785">_xlfn.TEXTJOIN(", ", TRUE, IF(I785:M785&gt;0, I$1:M$1, ""))</f>
        <v>Tech Application</v>
      </c>
      <c r="I785">
        <v>0</v>
      </c>
      <c r="J785">
        <v>2</v>
      </c>
      <c r="K785">
        <v>0</v>
      </c>
      <c r="L785">
        <v>0</v>
      </c>
      <c r="M785">
        <v>0</v>
      </c>
      <c r="N785">
        <v>0</v>
      </c>
    </row>
    <row r="786" spans="1:14" x14ac:dyDescent="0.35">
      <c r="A786" t="s">
        <v>6</v>
      </c>
      <c r="B786" t="s">
        <v>1667</v>
      </c>
      <c r="E786" t="s">
        <v>121</v>
      </c>
      <c r="F786" t="s">
        <v>55</v>
      </c>
      <c r="H786" t="str" cm="1">
        <f t="array" ref="H786">_xlfn.TEXTJOIN(", ", TRUE, IF(I786:M786&gt;0, I$1:M$1, ""))</f>
        <v>Tech Application</v>
      </c>
      <c r="I786">
        <v>0</v>
      </c>
      <c r="J786">
        <v>4</v>
      </c>
      <c r="K786">
        <v>0</v>
      </c>
      <c r="L786">
        <v>0</v>
      </c>
      <c r="M786">
        <v>0</v>
      </c>
      <c r="N786">
        <v>0</v>
      </c>
    </row>
    <row r="787" spans="1:14" x14ac:dyDescent="0.35">
      <c r="A787" t="s">
        <v>6</v>
      </c>
      <c r="B787" t="s">
        <v>1668</v>
      </c>
      <c r="C787" t="s">
        <v>1669</v>
      </c>
      <c r="E787" t="s">
        <v>91</v>
      </c>
      <c r="F787" t="s">
        <v>1670</v>
      </c>
      <c r="H787" t="str" cm="1">
        <f t="array" ref="H787">_xlfn.TEXTJOIN(", ", TRUE, IF(I787:M787&gt;0, I$1:M$1, ""))</f>
        <v>Tech Application, Organisational View</v>
      </c>
      <c r="I787">
        <v>0</v>
      </c>
      <c r="J787">
        <v>4</v>
      </c>
      <c r="K787">
        <v>0</v>
      </c>
      <c r="L787">
        <v>1</v>
      </c>
      <c r="M787">
        <v>0</v>
      </c>
      <c r="N787">
        <v>0</v>
      </c>
    </row>
    <row r="788" spans="1:14" x14ac:dyDescent="0.35">
      <c r="A788" t="s">
        <v>6</v>
      </c>
      <c r="B788" t="s">
        <v>1671</v>
      </c>
      <c r="E788" t="s">
        <v>1672</v>
      </c>
      <c r="F788" t="s">
        <v>55</v>
      </c>
      <c r="H788" t="str" cm="1">
        <f t="array" ref="H788">_xlfn.TEXTJOIN(", ", TRUE, IF(I788:M788&gt;0, I$1:M$1, ""))</f>
        <v>Tech Application, Semantic View</v>
      </c>
      <c r="I788">
        <v>0</v>
      </c>
      <c r="J788">
        <v>1</v>
      </c>
      <c r="K788">
        <v>0</v>
      </c>
      <c r="L788">
        <v>0</v>
      </c>
      <c r="M788">
        <v>1</v>
      </c>
      <c r="N788">
        <v>0</v>
      </c>
    </row>
    <row r="789" spans="1:14" x14ac:dyDescent="0.35">
      <c r="A789" t="s">
        <v>6</v>
      </c>
      <c r="B789" t="s">
        <v>1673</v>
      </c>
      <c r="C789" t="s">
        <v>1674</v>
      </c>
      <c r="D789" t="s">
        <v>1675</v>
      </c>
      <c r="E789" t="s">
        <v>66</v>
      </c>
      <c r="F789" t="s">
        <v>1676</v>
      </c>
      <c r="H789" t="str" cm="1">
        <f t="array" ref="H789">_xlfn.TEXTJOIN(", ", TRUE, IF(I789:M789&gt;0, I$1:M$1, ""))</f>
        <v>Legal View</v>
      </c>
      <c r="I789">
        <v>0</v>
      </c>
      <c r="J789">
        <v>0</v>
      </c>
      <c r="K789">
        <v>5</v>
      </c>
      <c r="L789">
        <v>0</v>
      </c>
      <c r="M789">
        <v>0</v>
      </c>
      <c r="N789">
        <v>0</v>
      </c>
    </row>
    <row r="790" spans="1:14" x14ac:dyDescent="0.35">
      <c r="A790" t="s">
        <v>6</v>
      </c>
      <c r="B790" t="s">
        <v>1677</v>
      </c>
      <c r="C790" t="s">
        <v>1678</v>
      </c>
      <c r="E790" t="s">
        <v>62</v>
      </c>
      <c r="F790" t="s">
        <v>55</v>
      </c>
      <c r="H790" t="str" cm="1">
        <f t="array" ref="H790">_xlfn.TEXTJOIN(", ", TRUE, IF(I790:M790&gt;0, I$1:M$1, ""))</f>
        <v>Tech Infrastructure</v>
      </c>
      <c r="I790">
        <v>1</v>
      </c>
      <c r="J790">
        <v>0</v>
      </c>
      <c r="K790">
        <v>0</v>
      </c>
      <c r="L790">
        <v>0</v>
      </c>
      <c r="M790">
        <v>0</v>
      </c>
      <c r="N790">
        <v>0</v>
      </c>
    </row>
    <row r="791" spans="1:14" x14ac:dyDescent="0.35">
      <c r="A791" t="s">
        <v>6</v>
      </c>
      <c r="B791" t="s">
        <v>1679</v>
      </c>
      <c r="C791" t="s">
        <v>1680</v>
      </c>
      <c r="E791" t="s">
        <v>230</v>
      </c>
      <c r="F791" t="s">
        <v>55</v>
      </c>
      <c r="H791" t="str" cm="1">
        <f t="array" ref="H791">_xlfn.TEXTJOIN(", ", TRUE, IF(I791:M791&gt;0, I$1:M$1, ""))</f>
        <v/>
      </c>
      <c r="I791">
        <v>0</v>
      </c>
      <c r="J791">
        <v>0</v>
      </c>
      <c r="K791">
        <v>0</v>
      </c>
      <c r="L791">
        <v>0</v>
      </c>
      <c r="M791">
        <v>0</v>
      </c>
      <c r="N791">
        <v>0</v>
      </c>
    </row>
    <row r="792" spans="1:14" x14ac:dyDescent="0.35">
      <c r="A792" t="s">
        <v>6</v>
      </c>
      <c r="B792" t="s">
        <v>1681</v>
      </c>
      <c r="C792" t="s">
        <v>1682</v>
      </c>
      <c r="E792" t="s">
        <v>62</v>
      </c>
      <c r="F792" t="s">
        <v>92</v>
      </c>
      <c r="H792" t="str" cm="1">
        <f t="array" ref="H792">_xlfn.TEXTJOIN(", ", TRUE, IF(I792:M792&gt;0, I$1:M$1, ""))</f>
        <v/>
      </c>
      <c r="I792">
        <v>0</v>
      </c>
      <c r="J792">
        <v>0</v>
      </c>
      <c r="K792">
        <v>0</v>
      </c>
      <c r="L792">
        <v>0</v>
      </c>
      <c r="M792">
        <v>0</v>
      </c>
      <c r="N792">
        <v>0</v>
      </c>
    </row>
    <row r="793" spans="1:14" x14ac:dyDescent="0.35">
      <c r="A793" t="s">
        <v>6</v>
      </c>
      <c r="B793" t="s">
        <v>1683</v>
      </c>
      <c r="C793" t="s">
        <v>1684</v>
      </c>
      <c r="E793" t="s">
        <v>230</v>
      </c>
      <c r="F793" t="s">
        <v>152</v>
      </c>
      <c r="H793" t="str" cm="1">
        <f t="array" ref="H793">_xlfn.TEXTJOIN(", ", TRUE, IF(I793:M793&gt;0, I$1:M$1, ""))</f>
        <v/>
      </c>
      <c r="I793">
        <v>0</v>
      </c>
      <c r="J793">
        <v>0</v>
      </c>
      <c r="K793">
        <v>0</v>
      </c>
      <c r="L793">
        <v>0</v>
      </c>
      <c r="M793">
        <v>0</v>
      </c>
      <c r="N793">
        <v>0</v>
      </c>
    </row>
    <row r="794" spans="1:14" x14ac:dyDescent="0.35">
      <c r="A794" t="s">
        <v>6</v>
      </c>
      <c r="B794" t="s">
        <v>1685</v>
      </c>
      <c r="E794" t="s">
        <v>66</v>
      </c>
      <c r="F794" t="s">
        <v>55</v>
      </c>
      <c r="H794" t="str" cm="1">
        <f t="array" ref="H794">_xlfn.TEXTJOIN(", ", TRUE, IF(I794:M794&gt;0, I$1:M$1, ""))</f>
        <v>Legal View</v>
      </c>
      <c r="I794">
        <v>0</v>
      </c>
      <c r="J794">
        <v>0</v>
      </c>
      <c r="K794">
        <v>4</v>
      </c>
      <c r="L794">
        <v>0</v>
      </c>
      <c r="M794">
        <v>0</v>
      </c>
      <c r="N794">
        <v>0</v>
      </c>
    </row>
    <row r="795" spans="1:14" x14ac:dyDescent="0.35">
      <c r="A795" t="s">
        <v>6</v>
      </c>
      <c r="B795" t="s">
        <v>1686</v>
      </c>
      <c r="E795" t="s">
        <v>411</v>
      </c>
      <c r="F795" t="s">
        <v>55</v>
      </c>
      <c r="H795" t="str" cm="1">
        <f t="array" ref="H795">_xlfn.TEXTJOIN(", ", TRUE, IF(I795:M795&gt;0, I$1:M$1, ""))</f>
        <v>Semantic View</v>
      </c>
      <c r="I795">
        <v>0</v>
      </c>
      <c r="J795">
        <v>0</v>
      </c>
      <c r="K795">
        <v>0</v>
      </c>
      <c r="L795">
        <v>0</v>
      </c>
      <c r="M795">
        <v>1</v>
      </c>
      <c r="N795">
        <v>0</v>
      </c>
    </row>
    <row r="796" spans="1:14" x14ac:dyDescent="0.35">
      <c r="A796" t="s">
        <v>6</v>
      </c>
      <c r="B796" t="s">
        <v>1687</v>
      </c>
      <c r="E796" t="s">
        <v>121</v>
      </c>
      <c r="F796" t="s">
        <v>97</v>
      </c>
      <c r="H796" t="str" cm="1">
        <f t="array" ref="H796">_xlfn.TEXTJOIN(", ", TRUE, IF(I796:M796&gt;0, I$1:M$1, ""))</f>
        <v>Tech Application</v>
      </c>
      <c r="I796">
        <v>0</v>
      </c>
      <c r="J796">
        <v>6</v>
      </c>
      <c r="K796">
        <v>0</v>
      </c>
      <c r="L796">
        <v>0</v>
      </c>
      <c r="M796">
        <v>0</v>
      </c>
      <c r="N796">
        <v>0</v>
      </c>
    </row>
    <row r="797" spans="1:14" x14ac:dyDescent="0.35">
      <c r="A797" t="s">
        <v>6</v>
      </c>
      <c r="B797" t="s">
        <v>1688</v>
      </c>
      <c r="D797" t="s">
        <v>1689</v>
      </c>
      <c r="E797" t="s">
        <v>222</v>
      </c>
      <c r="F797" t="s">
        <v>55</v>
      </c>
      <c r="H797" t="str" cm="1">
        <f t="array" ref="H797">_xlfn.TEXTJOIN(", ", TRUE, IF(I797:M797&gt;0, I$1:M$1, ""))</f>
        <v>Semantic View</v>
      </c>
      <c r="I797">
        <v>0</v>
      </c>
      <c r="J797">
        <v>0</v>
      </c>
      <c r="K797">
        <v>0</v>
      </c>
      <c r="L797">
        <v>0</v>
      </c>
      <c r="M797">
        <v>3</v>
      </c>
      <c r="N797">
        <v>0</v>
      </c>
    </row>
    <row r="798" spans="1:14" x14ac:dyDescent="0.35">
      <c r="A798" t="s">
        <v>6</v>
      </c>
      <c r="B798" t="s">
        <v>1690</v>
      </c>
      <c r="E798" t="s">
        <v>1690</v>
      </c>
      <c r="F798" t="s">
        <v>1691</v>
      </c>
      <c r="H798" t="str" cm="1">
        <f t="array" ref="H798">_xlfn.TEXTJOIN(", ", TRUE, IF(I798:M798&gt;0, I$1:M$1, ""))</f>
        <v>Tech Application</v>
      </c>
      <c r="I798">
        <v>0</v>
      </c>
      <c r="J798">
        <v>1</v>
      </c>
      <c r="K798">
        <v>0</v>
      </c>
      <c r="L798">
        <v>0</v>
      </c>
      <c r="M798">
        <v>0</v>
      </c>
      <c r="N798">
        <v>0</v>
      </c>
    </row>
    <row r="799" spans="1:14" x14ac:dyDescent="0.35">
      <c r="A799" t="s">
        <v>6</v>
      </c>
      <c r="B799" t="s">
        <v>1692</v>
      </c>
      <c r="D799" t="s">
        <v>1693</v>
      </c>
      <c r="E799" t="s">
        <v>1694</v>
      </c>
      <c r="F799" t="s">
        <v>1695</v>
      </c>
      <c r="H799" t="str" cm="1">
        <f t="array" ref="H799">_xlfn.TEXTJOIN(", ", TRUE, IF(I799:M799&gt;0, I$1:M$1, ""))</f>
        <v>Tech Application</v>
      </c>
      <c r="I799">
        <v>0</v>
      </c>
      <c r="J799">
        <v>5</v>
      </c>
      <c r="K799">
        <v>0</v>
      </c>
      <c r="L799">
        <v>0</v>
      </c>
      <c r="M799">
        <v>0</v>
      </c>
      <c r="N799">
        <v>0</v>
      </c>
    </row>
    <row r="800" spans="1:14" x14ac:dyDescent="0.35">
      <c r="A800" t="s">
        <v>6</v>
      </c>
      <c r="B800" t="s">
        <v>1696</v>
      </c>
      <c r="C800" t="s">
        <v>1696</v>
      </c>
      <c r="E800" t="s">
        <v>1696</v>
      </c>
      <c r="F800" t="s">
        <v>55</v>
      </c>
      <c r="H800" t="str" cm="1">
        <f t="array" ref="H800">_xlfn.TEXTJOIN(", ", TRUE, IF(I800:M800&gt;0, I$1:M$1, ""))</f>
        <v>Tech Infrastructure</v>
      </c>
      <c r="I800">
        <v>2</v>
      </c>
      <c r="J800">
        <v>0</v>
      </c>
      <c r="K800">
        <v>0</v>
      </c>
      <c r="L800">
        <v>0</v>
      </c>
      <c r="M800">
        <v>0</v>
      </c>
      <c r="N800">
        <v>0</v>
      </c>
    </row>
    <row r="801" spans="1:14" x14ac:dyDescent="0.35">
      <c r="A801" t="s">
        <v>6</v>
      </c>
      <c r="B801" t="s">
        <v>1589</v>
      </c>
      <c r="C801" t="s">
        <v>1589</v>
      </c>
      <c r="E801" t="s">
        <v>66</v>
      </c>
      <c r="F801" t="s">
        <v>1697</v>
      </c>
      <c r="H801" t="str" cm="1">
        <f t="array" ref="H801">_xlfn.TEXTJOIN(", ", TRUE, IF(I801:M801&gt;0, I$1:M$1, ""))</f>
        <v>Semantic View</v>
      </c>
      <c r="I801">
        <v>0</v>
      </c>
      <c r="J801">
        <v>0</v>
      </c>
      <c r="K801">
        <v>0</v>
      </c>
      <c r="L801">
        <v>0</v>
      </c>
      <c r="M801">
        <v>2</v>
      </c>
      <c r="N801">
        <v>1</v>
      </c>
    </row>
    <row r="802" spans="1:14" x14ac:dyDescent="0.35">
      <c r="A802" t="s">
        <v>6</v>
      </c>
      <c r="B802" t="s">
        <v>1698</v>
      </c>
      <c r="D802" t="s">
        <v>1699</v>
      </c>
      <c r="E802" t="s">
        <v>66</v>
      </c>
      <c r="F802" t="s">
        <v>1700</v>
      </c>
      <c r="H802" t="str" cm="1">
        <f t="array" ref="H802">_xlfn.TEXTJOIN(", ", TRUE, IF(I802:M802&gt;0, I$1:M$1, ""))</f>
        <v>Legal View</v>
      </c>
      <c r="I802">
        <v>0</v>
      </c>
      <c r="J802">
        <v>0</v>
      </c>
      <c r="K802">
        <v>5</v>
      </c>
      <c r="L802">
        <v>0</v>
      </c>
      <c r="M802">
        <v>0</v>
      </c>
      <c r="N802">
        <v>0</v>
      </c>
    </row>
    <row r="803" spans="1:14" x14ac:dyDescent="0.35">
      <c r="A803" t="s">
        <v>6</v>
      </c>
      <c r="B803" t="s">
        <v>1701</v>
      </c>
      <c r="D803" t="s">
        <v>1702</v>
      </c>
      <c r="E803" t="s">
        <v>66</v>
      </c>
      <c r="F803" t="s">
        <v>1703</v>
      </c>
      <c r="H803" t="str" cm="1">
        <f t="array" ref="H803">_xlfn.TEXTJOIN(", ", TRUE, IF(I803:M803&gt;0, I$1:M$1, ""))</f>
        <v>Legal View</v>
      </c>
      <c r="I803">
        <v>0</v>
      </c>
      <c r="J803">
        <v>0</v>
      </c>
      <c r="K803">
        <v>1</v>
      </c>
      <c r="L803">
        <v>0</v>
      </c>
      <c r="M803">
        <v>0</v>
      </c>
      <c r="N803">
        <v>0</v>
      </c>
    </row>
    <row r="804" spans="1:14" x14ac:dyDescent="0.35">
      <c r="A804" t="s">
        <v>6</v>
      </c>
      <c r="B804" t="s">
        <v>1704</v>
      </c>
      <c r="C804" t="s">
        <v>1705</v>
      </c>
      <c r="E804" t="s">
        <v>1706</v>
      </c>
      <c r="F804" t="s">
        <v>55</v>
      </c>
      <c r="H804" t="str" cm="1">
        <f t="array" ref="H804">_xlfn.TEXTJOIN(", ", TRUE, IF(I804:M804&gt;0, I$1:M$1, ""))</f>
        <v>Semantic View</v>
      </c>
      <c r="I804">
        <v>0</v>
      </c>
      <c r="J804">
        <v>0</v>
      </c>
      <c r="K804">
        <v>0</v>
      </c>
      <c r="L804">
        <v>0</v>
      </c>
      <c r="M804">
        <v>3</v>
      </c>
      <c r="N804">
        <v>0</v>
      </c>
    </row>
    <row r="805" spans="1:14" x14ac:dyDescent="0.35">
      <c r="A805" t="s">
        <v>6</v>
      </c>
      <c r="B805" t="s">
        <v>1707</v>
      </c>
      <c r="C805" t="s">
        <v>1707</v>
      </c>
      <c r="E805" t="s">
        <v>1708</v>
      </c>
      <c r="F805" t="s">
        <v>55</v>
      </c>
      <c r="H805" t="str" cm="1">
        <f t="array" ref="H805">_xlfn.TEXTJOIN(", ", TRUE, IF(I805:M805&gt;0, I$1:M$1, ""))</f>
        <v>Tech Application</v>
      </c>
      <c r="I805">
        <v>0</v>
      </c>
      <c r="J805">
        <v>4</v>
      </c>
      <c r="K805">
        <v>0</v>
      </c>
      <c r="L805">
        <v>0</v>
      </c>
      <c r="M805">
        <v>0</v>
      </c>
      <c r="N805">
        <v>1</v>
      </c>
    </row>
    <row r="806" spans="1:14" x14ac:dyDescent="0.35">
      <c r="A806" t="s">
        <v>6</v>
      </c>
      <c r="B806" t="s">
        <v>1709</v>
      </c>
      <c r="E806" t="s">
        <v>1710</v>
      </c>
      <c r="F806" t="s">
        <v>55</v>
      </c>
      <c r="H806" t="str" cm="1">
        <f t="array" ref="H806">_xlfn.TEXTJOIN(", ", TRUE, IF(I806:M806&gt;0, I$1:M$1, ""))</f>
        <v>Tech Application, Organisational View</v>
      </c>
      <c r="I806">
        <v>0</v>
      </c>
      <c r="J806">
        <v>1</v>
      </c>
      <c r="K806">
        <v>0</v>
      </c>
      <c r="L806">
        <v>1</v>
      </c>
      <c r="M806">
        <v>0</v>
      </c>
      <c r="N806">
        <v>0</v>
      </c>
    </row>
    <row r="807" spans="1:14" x14ac:dyDescent="0.35">
      <c r="A807" t="s">
        <v>6</v>
      </c>
      <c r="B807" t="s">
        <v>1711</v>
      </c>
      <c r="E807" t="s">
        <v>1712</v>
      </c>
      <c r="F807" t="s">
        <v>51</v>
      </c>
      <c r="H807" t="str" cm="1">
        <f t="array" ref="H807">_xlfn.TEXTJOIN(", ", TRUE, IF(I807:M807&gt;0, I$1:M$1, ""))</f>
        <v>Tech Application, Organisational View</v>
      </c>
      <c r="I807">
        <v>0</v>
      </c>
      <c r="J807">
        <v>1</v>
      </c>
      <c r="K807">
        <v>0</v>
      </c>
      <c r="L807">
        <v>1</v>
      </c>
      <c r="M807">
        <v>0</v>
      </c>
      <c r="N807">
        <v>0</v>
      </c>
    </row>
    <row r="808" spans="1:14" x14ac:dyDescent="0.35">
      <c r="A808" t="s">
        <v>6</v>
      </c>
      <c r="B808" t="s">
        <v>1713</v>
      </c>
      <c r="D808" t="s">
        <v>1714</v>
      </c>
      <c r="E808" t="s">
        <v>230</v>
      </c>
      <c r="F808" t="s">
        <v>51</v>
      </c>
      <c r="H808" t="str" cm="1">
        <f t="array" ref="H808">_xlfn.TEXTJOIN(", ", TRUE, IF(I808:M808&gt;0, I$1:M$1, ""))</f>
        <v>Tech Application</v>
      </c>
      <c r="I808">
        <v>0</v>
      </c>
      <c r="J808">
        <v>2</v>
      </c>
      <c r="K808">
        <v>0</v>
      </c>
      <c r="L808">
        <v>0</v>
      </c>
      <c r="M808">
        <v>0</v>
      </c>
      <c r="N808">
        <v>0</v>
      </c>
    </row>
    <row r="809" spans="1:14" x14ac:dyDescent="0.35">
      <c r="A809" t="s">
        <v>6</v>
      </c>
      <c r="B809" t="s">
        <v>1715</v>
      </c>
      <c r="C809" t="s">
        <v>1548</v>
      </c>
      <c r="E809" t="s">
        <v>121</v>
      </c>
      <c r="F809" t="s">
        <v>51</v>
      </c>
      <c r="H809" t="str" cm="1">
        <f t="array" ref="H809">_xlfn.TEXTJOIN(", ", TRUE, IF(I809:M809&gt;0, I$1:M$1, ""))</f>
        <v>Tech Application, Semantic View</v>
      </c>
      <c r="I809">
        <v>0</v>
      </c>
      <c r="J809">
        <v>6</v>
      </c>
      <c r="K809">
        <v>0</v>
      </c>
      <c r="L809">
        <v>0</v>
      </c>
      <c r="M809">
        <v>9</v>
      </c>
      <c r="N809">
        <v>0</v>
      </c>
    </row>
    <row r="810" spans="1:14" x14ac:dyDescent="0.35">
      <c r="A810" t="s">
        <v>6</v>
      </c>
      <c r="B810" t="s">
        <v>1716</v>
      </c>
      <c r="E810" t="s">
        <v>62</v>
      </c>
      <c r="F810" t="s">
        <v>180</v>
      </c>
      <c r="H810" t="str" cm="1">
        <f t="array" ref="H810">_xlfn.TEXTJOIN(", ", TRUE, IF(I810:M810&gt;0, I$1:M$1, ""))</f>
        <v>Tech Application</v>
      </c>
      <c r="I810">
        <v>0</v>
      </c>
      <c r="J810">
        <v>2</v>
      </c>
      <c r="K810">
        <v>0</v>
      </c>
      <c r="L810">
        <v>0</v>
      </c>
      <c r="M810">
        <v>0</v>
      </c>
      <c r="N810">
        <v>0</v>
      </c>
    </row>
    <row r="811" spans="1:14" x14ac:dyDescent="0.35">
      <c r="A811" t="s">
        <v>6</v>
      </c>
      <c r="B811" t="s">
        <v>1717</v>
      </c>
      <c r="C811" t="s">
        <v>365</v>
      </c>
      <c r="D811" t="s">
        <v>366</v>
      </c>
      <c r="E811" t="s">
        <v>62</v>
      </c>
      <c r="F811" t="s">
        <v>1718</v>
      </c>
      <c r="H811" t="str" cm="1">
        <f t="array" ref="H811">_xlfn.TEXTJOIN(", ", TRUE, IF(I811:M811&gt;0, I$1:M$1, ""))</f>
        <v>Tech Infrastructure</v>
      </c>
      <c r="I811">
        <v>4</v>
      </c>
      <c r="J811">
        <v>0</v>
      </c>
      <c r="K811">
        <v>0</v>
      </c>
      <c r="L811">
        <v>0</v>
      </c>
      <c r="M811">
        <v>0</v>
      </c>
      <c r="N811">
        <v>0</v>
      </c>
    </row>
    <row r="812" spans="1:14" x14ac:dyDescent="0.35">
      <c r="A812" t="s">
        <v>10</v>
      </c>
      <c r="B812" t="s">
        <v>48</v>
      </c>
      <c r="D812" t="s">
        <v>49</v>
      </c>
      <c r="E812" t="s">
        <v>50</v>
      </c>
      <c r="F812" t="s">
        <v>51</v>
      </c>
      <c r="H812" t="str" cm="1">
        <f t="array" ref="H812">_xlfn.TEXTJOIN(", ", TRUE, IF(I812:M812&gt;0, I$1:M$1, ""))</f>
        <v>Tech Infrastructure</v>
      </c>
      <c r="I812">
        <v>1</v>
      </c>
      <c r="J812">
        <v>0</v>
      </c>
      <c r="K812">
        <v>0</v>
      </c>
      <c r="L812">
        <v>0</v>
      </c>
      <c r="M812">
        <v>0</v>
      </c>
      <c r="N812">
        <v>0</v>
      </c>
    </row>
    <row r="813" spans="1:14" x14ac:dyDescent="0.35">
      <c r="A813" t="s">
        <v>10</v>
      </c>
      <c r="B813" t="s">
        <v>120</v>
      </c>
      <c r="C813" t="s">
        <v>120</v>
      </c>
      <c r="E813" t="s">
        <v>121</v>
      </c>
      <c r="F813" t="s">
        <v>92</v>
      </c>
      <c r="H813" t="str" cm="1">
        <f t="array" ref="H813">_xlfn.TEXTJOIN(", ", TRUE, IF(I813:M813&gt;0, I$1:M$1, ""))</f>
        <v>Tech Application</v>
      </c>
      <c r="I813">
        <v>0</v>
      </c>
      <c r="J813">
        <v>2</v>
      </c>
      <c r="K813">
        <v>0</v>
      </c>
      <c r="L813">
        <v>0</v>
      </c>
      <c r="M813">
        <v>0</v>
      </c>
      <c r="N813">
        <v>2</v>
      </c>
    </row>
    <row r="814" spans="1:14" x14ac:dyDescent="0.35">
      <c r="A814" t="s">
        <v>10</v>
      </c>
      <c r="B814" t="s">
        <v>219</v>
      </c>
      <c r="E814" t="s">
        <v>220</v>
      </c>
      <c r="F814" t="s">
        <v>51</v>
      </c>
      <c r="H814" t="str" cm="1">
        <f t="array" ref="H814">_xlfn.TEXTJOIN(", ", TRUE, IF(I814:M814&gt;0, I$1:M$1, ""))</f>
        <v>Semantic View</v>
      </c>
      <c r="I814">
        <v>0</v>
      </c>
      <c r="J814">
        <v>0</v>
      </c>
      <c r="K814">
        <v>0</v>
      </c>
      <c r="L814">
        <v>0</v>
      </c>
      <c r="M814">
        <v>2</v>
      </c>
      <c r="N814">
        <v>0</v>
      </c>
    </row>
    <row r="815" spans="1:14" x14ac:dyDescent="0.35">
      <c r="A815" t="s">
        <v>10</v>
      </c>
      <c r="B815" t="s">
        <v>242</v>
      </c>
      <c r="D815" t="s">
        <v>243</v>
      </c>
      <c r="E815" t="s">
        <v>244</v>
      </c>
      <c r="F815" t="s">
        <v>55</v>
      </c>
      <c r="H815" t="str" cm="1">
        <f t="array" ref="H815">_xlfn.TEXTJOIN(", ", TRUE, IF(I815:M815&gt;0, I$1:M$1, ""))</f>
        <v>Organisational View</v>
      </c>
      <c r="I815">
        <v>0</v>
      </c>
      <c r="J815">
        <v>0</v>
      </c>
      <c r="K815">
        <v>0</v>
      </c>
      <c r="L815">
        <v>1</v>
      </c>
      <c r="M815">
        <v>0</v>
      </c>
      <c r="N815">
        <v>1</v>
      </c>
    </row>
    <row r="816" spans="1:14" x14ac:dyDescent="0.35">
      <c r="A816" t="s">
        <v>10</v>
      </c>
      <c r="B816" t="s">
        <v>284</v>
      </c>
      <c r="E816" t="s">
        <v>62</v>
      </c>
      <c r="F816" t="s">
        <v>285</v>
      </c>
      <c r="H816" t="str" cm="1">
        <f t="array" ref="H816">_xlfn.TEXTJOIN(", ", TRUE, IF(I816:M816&gt;0, I$1:M$1, ""))</f>
        <v/>
      </c>
      <c r="I816">
        <v>0</v>
      </c>
      <c r="J816">
        <v>0</v>
      </c>
      <c r="K816">
        <v>0</v>
      </c>
      <c r="L816">
        <v>0</v>
      </c>
      <c r="M816">
        <v>0</v>
      </c>
      <c r="N816">
        <v>0</v>
      </c>
    </row>
    <row r="817" spans="1:14" x14ac:dyDescent="0.35">
      <c r="A817" t="s">
        <v>10</v>
      </c>
      <c r="B817" t="s">
        <v>312</v>
      </c>
      <c r="C817" t="s">
        <v>313</v>
      </c>
      <c r="E817" t="s">
        <v>230</v>
      </c>
      <c r="F817" t="s">
        <v>314</v>
      </c>
      <c r="H817" t="str" cm="1">
        <f t="array" ref="H817">_xlfn.TEXTJOIN(", ", TRUE, IF(I817:M817&gt;0, I$1:M$1, ""))</f>
        <v/>
      </c>
      <c r="I817">
        <v>0</v>
      </c>
      <c r="J817">
        <v>0</v>
      </c>
      <c r="K817">
        <v>0</v>
      </c>
      <c r="L817">
        <v>0</v>
      </c>
      <c r="M817">
        <v>0</v>
      </c>
      <c r="N817">
        <v>0</v>
      </c>
    </row>
    <row r="818" spans="1:14" x14ac:dyDescent="0.35">
      <c r="A818" t="s">
        <v>10</v>
      </c>
      <c r="B818" t="s">
        <v>339</v>
      </c>
      <c r="C818" t="s">
        <v>340</v>
      </c>
      <c r="E818" t="s">
        <v>230</v>
      </c>
      <c r="F818" t="s">
        <v>55</v>
      </c>
      <c r="H818" t="str" cm="1">
        <f t="array" ref="H818">_xlfn.TEXTJOIN(", ", TRUE, IF(I818:M818&gt;0, I$1:M$1, ""))</f>
        <v/>
      </c>
      <c r="I818">
        <v>0</v>
      </c>
      <c r="J818">
        <v>0</v>
      </c>
      <c r="K818">
        <v>0</v>
      </c>
      <c r="L818">
        <v>0</v>
      </c>
      <c r="M818">
        <v>0</v>
      </c>
      <c r="N818">
        <v>0</v>
      </c>
    </row>
    <row r="819" spans="1:14" x14ac:dyDescent="0.35">
      <c r="A819" t="s">
        <v>10</v>
      </c>
      <c r="B819" t="s">
        <v>405</v>
      </c>
      <c r="C819" t="s">
        <v>406</v>
      </c>
      <c r="E819" t="s">
        <v>121</v>
      </c>
      <c r="F819" t="s">
        <v>55</v>
      </c>
      <c r="H819" t="str" cm="1">
        <f t="array" ref="H819">_xlfn.TEXTJOIN(", ", TRUE, IF(I819:M819&gt;0, I$1:M$1, ""))</f>
        <v>Tech Application</v>
      </c>
      <c r="I819">
        <v>0</v>
      </c>
      <c r="J819">
        <v>2</v>
      </c>
      <c r="K819">
        <v>0</v>
      </c>
      <c r="L819">
        <v>0</v>
      </c>
      <c r="M819">
        <v>0</v>
      </c>
      <c r="N819">
        <v>0</v>
      </c>
    </row>
    <row r="820" spans="1:14" x14ac:dyDescent="0.35">
      <c r="A820" t="s">
        <v>10</v>
      </c>
      <c r="B820" t="s">
        <v>412</v>
      </c>
      <c r="C820" t="s">
        <v>129</v>
      </c>
      <c r="E820" t="s">
        <v>59</v>
      </c>
      <c r="F820" t="s">
        <v>206</v>
      </c>
      <c r="H820" t="str" cm="1">
        <f t="array" ref="H820">_xlfn.TEXTJOIN(", ", TRUE, IF(I820:M820&gt;0, I$1:M$1, ""))</f>
        <v>Tech Application</v>
      </c>
      <c r="I820">
        <v>0</v>
      </c>
      <c r="J820">
        <v>5</v>
      </c>
      <c r="K820">
        <v>0</v>
      </c>
      <c r="L820">
        <v>0</v>
      </c>
      <c r="M820">
        <v>0</v>
      </c>
      <c r="N820">
        <v>1</v>
      </c>
    </row>
    <row r="821" spans="1:14" x14ac:dyDescent="0.35">
      <c r="A821" t="s">
        <v>10</v>
      </c>
      <c r="B821" t="s">
        <v>520</v>
      </c>
      <c r="C821" t="s">
        <v>521</v>
      </c>
      <c r="D821" t="s">
        <v>522</v>
      </c>
      <c r="E821" t="s">
        <v>50</v>
      </c>
      <c r="F821" t="s">
        <v>111</v>
      </c>
      <c r="H821" t="str" cm="1">
        <f t="array" ref="H821">_xlfn.TEXTJOIN(", ", TRUE, IF(I821:M821&gt;0, I$1:M$1, ""))</f>
        <v>Semantic View</v>
      </c>
      <c r="I821">
        <v>0</v>
      </c>
      <c r="J821">
        <v>0</v>
      </c>
      <c r="K821">
        <v>0</v>
      </c>
      <c r="L821">
        <v>0</v>
      </c>
      <c r="M821">
        <v>2</v>
      </c>
      <c r="N821">
        <v>2</v>
      </c>
    </row>
    <row r="822" spans="1:14" x14ac:dyDescent="0.35">
      <c r="A822" t="s">
        <v>10</v>
      </c>
      <c r="B822" t="s">
        <v>573</v>
      </c>
      <c r="D822" t="s">
        <v>574</v>
      </c>
      <c r="E822" t="s">
        <v>59</v>
      </c>
      <c r="F822" t="s">
        <v>575</v>
      </c>
      <c r="H822" t="str" cm="1">
        <f t="array" ref="H822">_xlfn.TEXTJOIN(", ", TRUE, IF(I822:M822&gt;0, I$1:M$1, ""))</f>
        <v>Tech Application</v>
      </c>
      <c r="I822">
        <v>0</v>
      </c>
      <c r="J822">
        <v>4</v>
      </c>
      <c r="K822">
        <v>0</v>
      </c>
      <c r="L822">
        <v>0</v>
      </c>
      <c r="M822">
        <v>0</v>
      </c>
      <c r="N822">
        <v>0</v>
      </c>
    </row>
    <row r="823" spans="1:14" x14ac:dyDescent="0.35">
      <c r="A823" t="s">
        <v>10</v>
      </c>
      <c r="B823" t="s">
        <v>632</v>
      </c>
      <c r="C823" t="s">
        <v>633</v>
      </c>
      <c r="E823" t="s">
        <v>592</v>
      </c>
      <c r="F823" t="s">
        <v>92</v>
      </c>
      <c r="H823" t="str" cm="1">
        <f t="array" ref="H823">_xlfn.TEXTJOIN(", ", TRUE, IF(I823:M823&gt;0, I$1:M$1, ""))</f>
        <v>Tech Application, Semantic View</v>
      </c>
      <c r="I823">
        <v>0</v>
      </c>
      <c r="J823">
        <v>2</v>
      </c>
      <c r="K823">
        <v>0</v>
      </c>
      <c r="L823">
        <v>0</v>
      </c>
      <c r="M823">
        <v>1</v>
      </c>
      <c r="N823">
        <v>0</v>
      </c>
    </row>
    <row r="824" spans="1:14" x14ac:dyDescent="0.35">
      <c r="A824" t="s">
        <v>10</v>
      </c>
      <c r="B824" t="s">
        <v>652</v>
      </c>
      <c r="D824" t="s">
        <v>653</v>
      </c>
      <c r="E824" t="s">
        <v>230</v>
      </c>
      <c r="F824" t="s">
        <v>51</v>
      </c>
      <c r="H824" t="str" cm="1">
        <f t="array" ref="H824">_xlfn.TEXTJOIN(", ", TRUE, IF(I824:M824&gt;0, I$1:M$1, ""))</f>
        <v>Organisational View</v>
      </c>
      <c r="I824">
        <v>0</v>
      </c>
      <c r="J824">
        <v>0</v>
      </c>
      <c r="K824">
        <v>0</v>
      </c>
      <c r="L824">
        <v>2</v>
      </c>
      <c r="M824">
        <v>0</v>
      </c>
      <c r="N824">
        <v>1</v>
      </c>
    </row>
    <row r="825" spans="1:14" x14ac:dyDescent="0.35">
      <c r="A825" t="s">
        <v>10</v>
      </c>
      <c r="B825" t="s">
        <v>679</v>
      </c>
      <c r="D825" t="s">
        <v>679</v>
      </c>
      <c r="E825" t="s">
        <v>59</v>
      </c>
      <c r="F825" t="s">
        <v>55</v>
      </c>
      <c r="H825" t="str" cm="1">
        <f t="array" ref="H825">_xlfn.TEXTJOIN(", ", TRUE, IF(I825:M825&gt;0, I$1:M$1, ""))</f>
        <v>Tech Application, Semantic View</v>
      </c>
      <c r="I825">
        <v>0</v>
      </c>
      <c r="J825">
        <v>2</v>
      </c>
      <c r="K825">
        <v>0</v>
      </c>
      <c r="L825">
        <v>0</v>
      </c>
      <c r="M825">
        <v>5</v>
      </c>
      <c r="N825">
        <v>0</v>
      </c>
    </row>
    <row r="826" spans="1:14" x14ac:dyDescent="0.35">
      <c r="A826" t="s">
        <v>10</v>
      </c>
      <c r="B826" t="s">
        <v>698</v>
      </c>
      <c r="D826" t="s">
        <v>699</v>
      </c>
      <c r="E826" t="s">
        <v>230</v>
      </c>
      <c r="F826" t="s">
        <v>535</v>
      </c>
      <c r="H826" t="str" cm="1">
        <f t="array" ref="H826">_xlfn.TEXTJOIN(", ", TRUE, IF(I826:M826&gt;0, I$1:M$1, ""))</f>
        <v/>
      </c>
      <c r="I826">
        <v>0</v>
      </c>
      <c r="J826">
        <v>0</v>
      </c>
      <c r="K826">
        <v>0</v>
      </c>
      <c r="L826">
        <v>0</v>
      </c>
      <c r="M826">
        <v>0</v>
      </c>
      <c r="N826">
        <v>0</v>
      </c>
    </row>
    <row r="827" spans="1:14" x14ac:dyDescent="0.35">
      <c r="A827" t="s">
        <v>10</v>
      </c>
      <c r="B827" t="s">
        <v>724</v>
      </c>
      <c r="C827" t="s">
        <v>725</v>
      </c>
      <c r="E827" t="s">
        <v>230</v>
      </c>
      <c r="F827" t="s">
        <v>51</v>
      </c>
      <c r="H827" t="str" cm="1">
        <f t="array" ref="H827">_xlfn.TEXTJOIN(", ", TRUE, IF(I827:M827&gt;0, I$1:M$1, ""))</f>
        <v>Tech Application</v>
      </c>
      <c r="I827">
        <v>0</v>
      </c>
      <c r="J827">
        <v>2</v>
      </c>
      <c r="K827">
        <v>0</v>
      </c>
      <c r="L827">
        <v>0</v>
      </c>
      <c r="M827">
        <v>0</v>
      </c>
      <c r="N827">
        <v>0</v>
      </c>
    </row>
    <row r="828" spans="1:14" x14ac:dyDescent="0.35">
      <c r="A828" t="s">
        <v>10</v>
      </c>
      <c r="B828" t="s">
        <v>783</v>
      </c>
      <c r="E828" t="s">
        <v>784</v>
      </c>
      <c r="F828" t="s">
        <v>785</v>
      </c>
      <c r="H828" t="str" cm="1">
        <f t="array" ref="H828">_xlfn.TEXTJOIN(", ", TRUE, IF(I828:M828&gt;0, I$1:M$1, ""))</f>
        <v>Semantic View</v>
      </c>
      <c r="I828">
        <v>0</v>
      </c>
      <c r="J828">
        <v>0</v>
      </c>
      <c r="K828">
        <v>0</v>
      </c>
      <c r="L828">
        <v>0</v>
      </c>
      <c r="M828">
        <v>8</v>
      </c>
      <c r="N828">
        <v>0</v>
      </c>
    </row>
    <row r="829" spans="1:14" x14ac:dyDescent="0.35">
      <c r="A829" t="s">
        <v>10</v>
      </c>
      <c r="B829" t="s">
        <v>818</v>
      </c>
      <c r="C829" t="s">
        <v>819</v>
      </c>
      <c r="E829" t="s">
        <v>50</v>
      </c>
      <c r="F829" t="s">
        <v>51</v>
      </c>
      <c r="H829" t="str" cm="1">
        <f t="array" ref="H829">_xlfn.TEXTJOIN(", ", TRUE, IF(I829:M829&gt;0, I$1:M$1, ""))</f>
        <v>Tech Infrastructure</v>
      </c>
      <c r="I829">
        <v>1</v>
      </c>
      <c r="J829">
        <v>0</v>
      </c>
      <c r="K829">
        <v>0</v>
      </c>
      <c r="L829">
        <v>0</v>
      </c>
      <c r="M829">
        <v>0</v>
      </c>
      <c r="N829">
        <v>0</v>
      </c>
    </row>
    <row r="830" spans="1:14" x14ac:dyDescent="0.35">
      <c r="A830" t="s">
        <v>10</v>
      </c>
      <c r="B830" t="s">
        <v>965</v>
      </c>
      <c r="C830" t="s">
        <v>912</v>
      </c>
      <c r="D830" t="s">
        <v>966</v>
      </c>
      <c r="E830" t="s">
        <v>230</v>
      </c>
      <c r="F830" t="s">
        <v>51</v>
      </c>
      <c r="H830" t="str" cm="1">
        <f t="array" ref="H830">_xlfn.TEXTJOIN(", ", TRUE, IF(I830:M830&gt;0, I$1:M$1, ""))</f>
        <v/>
      </c>
      <c r="I830">
        <v>0</v>
      </c>
      <c r="J830">
        <v>0</v>
      </c>
      <c r="K830">
        <v>0</v>
      </c>
      <c r="L830">
        <v>0</v>
      </c>
      <c r="M830">
        <v>0</v>
      </c>
      <c r="N830">
        <v>0</v>
      </c>
    </row>
    <row r="831" spans="1:14" x14ac:dyDescent="0.35">
      <c r="A831" t="s">
        <v>10</v>
      </c>
      <c r="B831" t="s">
        <v>986</v>
      </c>
      <c r="D831" t="s">
        <v>987</v>
      </c>
      <c r="E831" t="s">
        <v>336</v>
      </c>
      <c r="F831" t="s">
        <v>55</v>
      </c>
      <c r="H831" t="str" cm="1">
        <f t="array" ref="H831">_xlfn.TEXTJOIN(", ", TRUE, IF(I831:M831&gt;0, I$1:M$1, ""))</f>
        <v>Tech Application</v>
      </c>
      <c r="I831">
        <v>0</v>
      </c>
      <c r="J831">
        <v>2</v>
      </c>
      <c r="K831">
        <v>0</v>
      </c>
      <c r="L831">
        <v>0</v>
      </c>
      <c r="M831">
        <v>0</v>
      </c>
      <c r="N831">
        <v>0</v>
      </c>
    </row>
    <row r="832" spans="1:14" x14ac:dyDescent="0.35">
      <c r="A832" t="s">
        <v>10</v>
      </c>
      <c r="B832" t="s">
        <v>1005</v>
      </c>
      <c r="E832" t="s">
        <v>50</v>
      </c>
      <c r="F832" t="s">
        <v>55</v>
      </c>
      <c r="H832" t="str" cm="1">
        <f t="array" ref="H832">_xlfn.TEXTJOIN(", ", TRUE, IF(I832:M832&gt;0, I$1:M$1, ""))</f>
        <v>Tech Application</v>
      </c>
      <c r="I832">
        <v>0</v>
      </c>
      <c r="J832">
        <v>1</v>
      </c>
      <c r="K832">
        <v>0</v>
      </c>
      <c r="L832">
        <v>0</v>
      </c>
      <c r="M832">
        <v>0</v>
      </c>
      <c r="N832">
        <v>0</v>
      </c>
    </row>
    <row r="833" spans="1:14" x14ac:dyDescent="0.35">
      <c r="A833" t="s">
        <v>10</v>
      </c>
      <c r="B833" t="s">
        <v>1006</v>
      </c>
      <c r="C833" t="s">
        <v>129</v>
      </c>
      <c r="D833" t="s">
        <v>1007</v>
      </c>
      <c r="E833" t="s">
        <v>230</v>
      </c>
      <c r="F833" t="s">
        <v>535</v>
      </c>
      <c r="H833" t="str" cm="1">
        <f t="array" ref="H833">_xlfn.TEXTJOIN(", ", TRUE, IF(I833:M833&gt;0, I$1:M$1, ""))</f>
        <v/>
      </c>
      <c r="I833">
        <v>0</v>
      </c>
      <c r="J833">
        <v>0</v>
      </c>
      <c r="K833">
        <v>0</v>
      </c>
      <c r="L833">
        <v>0</v>
      </c>
      <c r="M833">
        <v>0</v>
      </c>
      <c r="N833">
        <v>0</v>
      </c>
    </row>
    <row r="834" spans="1:14" x14ac:dyDescent="0.35">
      <c r="A834" t="s">
        <v>10</v>
      </c>
      <c r="B834" t="s">
        <v>1022</v>
      </c>
      <c r="E834" t="s">
        <v>733</v>
      </c>
      <c r="F834" t="s">
        <v>276</v>
      </c>
      <c r="H834" t="str" cm="1">
        <f t="array" ref="H834">_xlfn.TEXTJOIN(", ", TRUE, IF(I834:M834&gt;0, I$1:M$1, ""))</f>
        <v>Semantic View</v>
      </c>
      <c r="I834">
        <v>0</v>
      </c>
      <c r="J834">
        <v>0</v>
      </c>
      <c r="K834">
        <v>0</v>
      </c>
      <c r="L834">
        <v>0</v>
      </c>
      <c r="M834">
        <v>2</v>
      </c>
      <c r="N834">
        <v>0</v>
      </c>
    </row>
    <row r="835" spans="1:14" x14ac:dyDescent="0.35">
      <c r="A835" t="s">
        <v>10</v>
      </c>
      <c r="B835" t="s">
        <v>1033</v>
      </c>
      <c r="C835" t="s">
        <v>1034</v>
      </c>
      <c r="D835" t="s">
        <v>1035</v>
      </c>
      <c r="E835" t="s">
        <v>222</v>
      </c>
      <c r="F835" t="s">
        <v>276</v>
      </c>
      <c r="H835" t="str" cm="1">
        <f t="array" ref="H835">_xlfn.TEXTJOIN(", ", TRUE, IF(I835:M835&gt;0, I$1:M$1, ""))</f>
        <v>Organisational View</v>
      </c>
      <c r="I835">
        <v>0</v>
      </c>
      <c r="J835">
        <v>0</v>
      </c>
      <c r="K835">
        <v>0</v>
      </c>
      <c r="L835">
        <v>1</v>
      </c>
      <c r="M835">
        <v>0</v>
      </c>
      <c r="N835">
        <v>1</v>
      </c>
    </row>
    <row r="836" spans="1:14" x14ac:dyDescent="0.35">
      <c r="A836" t="s">
        <v>10</v>
      </c>
      <c r="B836" t="s">
        <v>1118</v>
      </c>
      <c r="C836" t="s">
        <v>1119</v>
      </c>
      <c r="D836" t="s">
        <v>1120</v>
      </c>
      <c r="E836" t="s">
        <v>230</v>
      </c>
      <c r="F836" t="s">
        <v>55</v>
      </c>
      <c r="H836" t="str" cm="1">
        <f t="array" ref="H836">_xlfn.TEXTJOIN(", ", TRUE, IF(I836:M836&gt;0, I$1:M$1, ""))</f>
        <v/>
      </c>
      <c r="I836">
        <v>0</v>
      </c>
      <c r="J836">
        <v>0</v>
      </c>
      <c r="K836">
        <v>0</v>
      </c>
      <c r="L836">
        <v>0</v>
      </c>
      <c r="M836">
        <v>0</v>
      </c>
      <c r="N836">
        <v>0</v>
      </c>
    </row>
    <row r="837" spans="1:14" x14ac:dyDescent="0.35">
      <c r="A837" t="s">
        <v>10</v>
      </c>
      <c r="B837" t="s">
        <v>1251</v>
      </c>
      <c r="E837" t="s">
        <v>96</v>
      </c>
      <c r="F837" t="s">
        <v>55</v>
      </c>
      <c r="H837" t="str" cm="1">
        <f t="array" ref="H837">_xlfn.TEXTJOIN(", ", TRUE, IF(I837:M837&gt;0, I$1:M$1, ""))</f>
        <v>Legal View</v>
      </c>
      <c r="I837">
        <v>0</v>
      </c>
      <c r="J837">
        <v>0</v>
      </c>
      <c r="K837">
        <v>5</v>
      </c>
      <c r="L837">
        <v>0</v>
      </c>
      <c r="M837">
        <v>0</v>
      </c>
      <c r="N837">
        <v>1</v>
      </c>
    </row>
    <row r="838" spans="1:14" x14ac:dyDescent="0.35">
      <c r="A838" t="s">
        <v>10</v>
      </c>
      <c r="B838" t="s">
        <v>1292</v>
      </c>
      <c r="E838" t="s">
        <v>733</v>
      </c>
      <c r="F838" t="s">
        <v>92</v>
      </c>
      <c r="H838" t="str" cm="1">
        <f t="array" ref="H838">_xlfn.TEXTJOIN(", ", TRUE, IF(I838:M838&gt;0, I$1:M$1, ""))</f>
        <v>Semantic View</v>
      </c>
      <c r="I838">
        <v>0</v>
      </c>
      <c r="J838">
        <v>0</v>
      </c>
      <c r="K838">
        <v>0</v>
      </c>
      <c r="L838">
        <v>0</v>
      </c>
      <c r="M838">
        <v>2</v>
      </c>
      <c r="N838">
        <v>0</v>
      </c>
    </row>
    <row r="839" spans="1:14" x14ac:dyDescent="0.35">
      <c r="A839" t="s">
        <v>10</v>
      </c>
      <c r="B839" t="s">
        <v>1294</v>
      </c>
      <c r="C839" t="s">
        <v>912</v>
      </c>
      <c r="E839" t="s">
        <v>59</v>
      </c>
      <c r="F839" t="s">
        <v>206</v>
      </c>
      <c r="H839" t="str" cm="1">
        <f t="array" ref="H839">_xlfn.TEXTJOIN(", ", TRUE, IF(I839:M839&gt;0, I$1:M$1, ""))</f>
        <v>Tech Application</v>
      </c>
      <c r="I839">
        <v>0</v>
      </c>
      <c r="J839">
        <v>5</v>
      </c>
      <c r="K839">
        <v>0</v>
      </c>
      <c r="L839">
        <v>0</v>
      </c>
      <c r="M839">
        <v>0</v>
      </c>
      <c r="N839">
        <v>1</v>
      </c>
    </row>
    <row r="840" spans="1:14" x14ac:dyDescent="0.35">
      <c r="A840" t="s">
        <v>10</v>
      </c>
      <c r="B840" t="s">
        <v>1301</v>
      </c>
      <c r="C840" t="s">
        <v>1302</v>
      </c>
      <c r="E840" t="s">
        <v>121</v>
      </c>
      <c r="F840" t="s">
        <v>111</v>
      </c>
      <c r="H840" t="str" cm="1">
        <f t="array" ref="H840">_xlfn.TEXTJOIN(", ", TRUE, IF(I840:M840&gt;0, I$1:M$1, ""))</f>
        <v>Semantic View</v>
      </c>
      <c r="I840">
        <v>0</v>
      </c>
      <c r="J840">
        <v>0</v>
      </c>
      <c r="K840">
        <v>0</v>
      </c>
      <c r="L840">
        <v>0</v>
      </c>
      <c r="M840">
        <v>1</v>
      </c>
      <c r="N840">
        <v>1</v>
      </c>
    </row>
    <row r="841" spans="1:14" x14ac:dyDescent="0.35">
      <c r="A841" t="s">
        <v>10</v>
      </c>
      <c r="B841" t="s">
        <v>1303</v>
      </c>
      <c r="C841" t="s">
        <v>1304</v>
      </c>
      <c r="E841" t="s">
        <v>864</v>
      </c>
      <c r="F841" t="s">
        <v>773</v>
      </c>
      <c r="H841" t="str" cm="1">
        <f t="array" ref="H841">_xlfn.TEXTJOIN(", ", TRUE, IF(I841:M841&gt;0, I$1:M$1, ""))</f>
        <v>Semantic View</v>
      </c>
      <c r="I841">
        <v>0</v>
      </c>
      <c r="J841">
        <v>0</v>
      </c>
      <c r="K841">
        <v>0</v>
      </c>
      <c r="L841">
        <v>0</v>
      </c>
      <c r="M841">
        <v>2</v>
      </c>
      <c r="N841">
        <v>0</v>
      </c>
    </row>
    <row r="842" spans="1:14" x14ac:dyDescent="0.35">
      <c r="A842" t="s">
        <v>10</v>
      </c>
      <c r="B842" t="s">
        <v>1357</v>
      </c>
      <c r="D842" t="s">
        <v>1358</v>
      </c>
      <c r="E842" t="s">
        <v>230</v>
      </c>
      <c r="F842" t="s">
        <v>55</v>
      </c>
      <c r="H842" t="str" cm="1">
        <f t="array" ref="H842">_xlfn.TEXTJOIN(", ", TRUE, IF(I842:M842&gt;0, I$1:M$1, ""))</f>
        <v>Tech Application</v>
      </c>
      <c r="I842">
        <v>0</v>
      </c>
      <c r="J842">
        <v>2</v>
      </c>
      <c r="K842">
        <v>0</v>
      </c>
      <c r="L842">
        <v>0</v>
      </c>
      <c r="M842">
        <v>0</v>
      </c>
      <c r="N842">
        <v>0</v>
      </c>
    </row>
    <row r="843" spans="1:14" x14ac:dyDescent="0.35">
      <c r="A843" t="s">
        <v>10</v>
      </c>
      <c r="B843" t="s">
        <v>1446</v>
      </c>
      <c r="C843" t="s">
        <v>1447</v>
      </c>
      <c r="E843" t="s">
        <v>1448</v>
      </c>
      <c r="F843" t="s">
        <v>55</v>
      </c>
      <c r="H843" t="str" cm="1">
        <f t="array" ref="H843">_xlfn.TEXTJOIN(", ", TRUE, IF(I843:M843&gt;0, I$1:M$1, ""))</f>
        <v>Semantic View</v>
      </c>
      <c r="I843">
        <v>0</v>
      </c>
      <c r="J843">
        <v>0</v>
      </c>
      <c r="K843">
        <v>0</v>
      </c>
      <c r="L843">
        <v>0</v>
      </c>
      <c r="M843">
        <v>2</v>
      </c>
      <c r="N843">
        <v>0</v>
      </c>
    </row>
    <row r="844" spans="1:14" x14ac:dyDescent="0.35">
      <c r="A844" t="s">
        <v>10</v>
      </c>
      <c r="B844" t="s">
        <v>1451</v>
      </c>
      <c r="D844" t="s">
        <v>1452</v>
      </c>
      <c r="E844" t="s">
        <v>230</v>
      </c>
      <c r="F844" t="s">
        <v>92</v>
      </c>
      <c r="H844" t="str" cm="1">
        <f t="array" ref="H844">_xlfn.TEXTJOIN(", ", TRUE, IF(I844:M844&gt;0, I$1:M$1, ""))</f>
        <v>Tech Application</v>
      </c>
      <c r="I844">
        <v>0</v>
      </c>
      <c r="J844">
        <v>1</v>
      </c>
      <c r="K844">
        <v>0</v>
      </c>
      <c r="L844">
        <v>0</v>
      </c>
      <c r="M844">
        <v>0</v>
      </c>
      <c r="N844">
        <v>0</v>
      </c>
    </row>
    <row r="845" spans="1:14" x14ac:dyDescent="0.35">
      <c r="A845" t="s">
        <v>10</v>
      </c>
      <c r="B845" t="s">
        <v>1471</v>
      </c>
      <c r="C845" t="s">
        <v>662</v>
      </c>
      <c r="D845" t="s">
        <v>1472</v>
      </c>
      <c r="E845" t="s">
        <v>230</v>
      </c>
      <c r="F845" t="s">
        <v>55</v>
      </c>
      <c r="H845" t="str" cm="1">
        <f t="array" ref="H845">_xlfn.TEXTJOIN(", ", TRUE, IF(I845:M845&gt;0, I$1:M$1, ""))</f>
        <v/>
      </c>
      <c r="I845">
        <v>0</v>
      </c>
      <c r="J845">
        <v>0</v>
      </c>
      <c r="K845">
        <v>0</v>
      </c>
      <c r="L845">
        <v>0</v>
      </c>
      <c r="M845">
        <v>0</v>
      </c>
      <c r="N845">
        <v>0</v>
      </c>
    </row>
    <row r="846" spans="1:14" x14ac:dyDescent="0.35">
      <c r="A846" t="s">
        <v>10</v>
      </c>
      <c r="B846" t="s">
        <v>1517</v>
      </c>
      <c r="D846" t="s">
        <v>1518</v>
      </c>
      <c r="E846" t="s">
        <v>230</v>
      </c>
      <c r="F846" t="s">
        <v>92</v>
      </c>
      <c r="H846" t="str" cm="1">
        <f t="array" ref="H846">_xlfn.TEXTJOIN(", ", TRUE, IF(I846:M846&gt;0, I$1:M$1, ""))</f>
        <v>Tech Application</v>
      </c>
      <c r="I846">
        <v>0</v>
      </c>
      <c r="J846">
        <v>2</v>
      </c>
      <c r="K846">
        <v>0</v>
      </c>
      <c r="L846">
        <v>0</v>
      </c>
      <c r="M846">
        <v>0</v>
      </c>
      <c r="N846">
        <v>0</v>
      </c>
    </row>
    <row r="847" spans="1:14" x14ac:dyDescent="0.35">
      <c r="A847" t="s">
        <v>10</v>
      </c>
      <c r="B847" t="s">
        <v>1556</v>
      </c>
      <c r="C847" t="s">
        <v>1557</v>
      </c>
      <c r="E847" t="s">
        <v>230</v>
      </c>
      <c r="F847" t="s">
        <v>55</v>
      </c>
      <c r="H847" t="str" cm="1">
        <f t="array" ref="H847">_xlfn.TEXTJOIN(", ", TRUE, IF(I847:M847&gt;0, I$1:M$1, ""))</f>
        <v/>
      </c>
      <c r="I847">
        <v>0</v>
      </c>
      <c r="J847">
        <v>0</v>
      </c>
      <c r="K847">
        <v>0</v>
      </c>
      <c r="L847">
        <v>0</v>
      </c>
      <c r="M847">
        <v>0</v>
      </c>
      <c r="N847">
        <v>0</v>
      </c>
    </row>
    <row r="848" spans="1:14" x14ac:dyDescent="0.35">
      <c r="A848" t="s">
        <v>10</v>
      </c>
      <c r="B848" t="s">
        <v>1587</v>
      </c>
      <c r="D848" t="s">
        <v>1588</v>
      </c>
      <c r="E848" t="s">
        <v>393</v>
      </c>
      <c r="F848" t="s">
        <v>51</v>
      </c>
      <c r="H848" t="str" cm="1">
        <f t="array" ref="H848">_xlfn.TEXTJOIN(", ", TRUE, IF(I848:M848&gt;0, I$1:M$1, ""))</f>
        <v>Semantic View</v>
      </c>
      <c r="I848">
        <v>0</v>
      </c>
      <c r="J848">
        <v>0</v>
      </c>
      <c r="K848">
        <v>0</v>
      </c>
      <c r="L848">
        <v>0</v>
      </c>
      <c r="M848">
        <v>2</v>
      </c>
      <c r="N848">
        <v>1</v>
      </c>
    </row>
    <row r="849" spans="1:14" x14ac:dyDescent="0.35">
      <c r="A849" t="s">
        <v>10</v>
      </c>
      <c r="B849" t="s">
        <v>1589</v>
      </c>
      <c r="C849" t="s">
        <v>1589</v>
      </c>
      <c r="D849" t="s">
        <v>1590</v>
      </c>
      <c r="E849" t="s">
        <v>62</v>
      </c>
      <c r="F849" t="s">
        <v>1591</v>
      </c>
      <c r="H849" t="str" cm="1">
        <f t="array" ref="H849">_xlfn.TEXTJOIN(", ", TRUE, IF(I849:M849&gt;0, I$1:M$1, ""))</f>
        <v>Semantic View</v>
      </c>
      <c r="I849">
        <v>0</v>
      </c>
      <c r="J849">
        <v>0</v>
      </c>
      <c r="K849">
        <v>0</v>
      </c>
      <c r="L849">
        <v>0</v>
      </c>
      <c r="M849">
        <v>5</v>
      </c>
      <c r="N849">
        <v>0</v>
      </c>
    </row>
    <row r="850" spans="1:14" x14ac:dyDescent="0.35">
      <c r="A850" t="s">
        <v>10</v>
      </c>
      <c r="B850" t="s">
        <v>1607</v>
      </c>
      <c r="C850" t="s">
        <v>662</v>
      </c>
      <c r="E850" t="s">
        <v>59</v>
      </c>
      <c r="F850" t="s">
        <v>206</v>
      </c>
      <c r="H850" t="str" cm="1">
        <f t="array" ref="H850">_xlfn.TEXTJOIN(", ", TRUE, IF(I850:M850&gt;0, I$1:M$1, ""))</f>
        <v>Tech Application</v>
      </c>
      <c r="I850">
        <v>0</v>
      </c>
      <c r="J850">
        <v>5</v>
      </c>
      <c r="K850">
        <v>0</v>
      </c>
      <c r="L850">
        <v>0</v>
      </c>
      <c r="M850">
        <v>0</v>
      </c>
      <c r="N850">
        <v>1</v>
      </c>
    </row>
    <row r="851" spans="1:14" x14ac:dyDescent="0.35">
      <c r="A851" t="s">
        <v>10</v>
      </c>
      <c r="B851" t="s">
        <v>1616</v>
      </c>
      <c r="E851" t="s">
        <v>96</v>
      </c>
      <c r="F851" t="s">
        <v>55</v>
      </c>
      <c r="H851" t="str" cm="1">
        <f t="array" ref="H851">_xlfn.TEXTJOIN(", ", TRUE, IF(I851:M851&gt;0, I$1:M$1, ""))</f>
        <v>Legal View</v>
      </c>
      <c r="I851">
        <v>0</v>
      </c>
      <c r="J851">
        <v>0</v>
      </c>
      <c r="K851">
        <v>5</v>
      </c>
      <c r="L851">
        <v>0</v>
      </c>
      <c r="M851">
        <v>0</v>
      </c>
      <c r="N851">
        <v>1</v>
      </c>
    </row>
    <row r="852" spans="1:14" x14ac:dyDescent="0.35">
      <c r="A852" t="s">
        <v>10</v>
      </c>
      <c r="B852" t="s">
        <v>1617</v>
      </c>
      <c r="E852" t="s">
        <v>50</v>
      </c>
      <c r="F852" t="s">
        <v>55</v>
      </c>
      <c r="H852" t="str" cm="1">
        <f t="array" ref="H852">_xlfn.TEXTJOIN(", ", TRUE, IF(I852:M852&gt;0, I$1:M$1, ""))</f>
        <v>Tech Application</v>
      </c>
      <c r="I852">
        <v>0</v>
      </c>
      <c r="J852">
        <v>3</v>
      </c>
      <c r="K852">
        <v>0</v>
      </c>
      <c r="L852">
        <v>0</v>
      </c>
      <c r="M852">
        <v>0</v>
      </c>
      <c r="N852">
        <v>0</v>
      </c>
    </row>
    <row r="853" spans="1:14" x14ac:dyDescent="0.35">
      <c r="A853" t="s">
        <v>10</v>
      </c>
      <c r="B853" t="s">
        <v>1659</v>
      </c>
      <c r="E853" t="s">
        <v>121</v>
      </c>
      <c r="F853" t="s">
        <v>55</v>
      </c>
      <c r="H853" t="str" cm="1">
        <f t="array" ref="H853">_xlfn.TEXTJOIN(", ", TRUE, IF(I853:M853&gt;0, I$1:M$1, ""))</f>
        <v/>
      </c>
      <c r="I853">
        <v>0</v>
      </c>
      <c r="J853">
        <v>0</v>
      </c>
      <c r="K853">
        <v>0</v>
      </c>
      <c r="L853">
        <v>0</v>
      </c>
      <c r="M853">
        <v>0</v>
      </c>
      <c r="N853">
        <v>0</v>
      </c>
    </row>
    <row r="854" spans="1:14" x14ac:dyDescent="0.35">
      <c r="A854" t="s">
        <v>10</v>
      </c>
      <c r="B854" t="s">
        <v>1679</v>
      </c>
      <c r="C854" t="s">
        <v>1680</v>
      </c>
      <c r="E854" t="s">
        <v>230</v>
      </c>
      <c r="F854" t="s">
        <v>55</v>
      </c>
      <c r="H854" t="str" cm="1">
        <f t="array" ref="H854">_xlfn.TEXTJOIN(", ", TRUE, IF(I854:M854&gt;0, I$1:M$1, ""))</f>
        <v/>
      </c>
      <c r="I854">
        <v>0</v>
      </c>
      <c r="J854">
        <v>0</v>
      </c>
      <c r="K854">
        <v>0</v>
      </c>
      <c r="L854">
        <v>0</v>
      </c>
      <c r="M854">
        <v>0</v>
      </c>
      <c r="N854">
        <v>0</v>
      </c>
    </row>
    <row r="855" spans="1:14" x14ac:dyDescent="0.35">
      <c r="A855" t="s">
        <v>10</v>
      </c>
      <c r="B855" t="s">
        <v>1683</v>
      </c>
      <c r="C855" t="s">
        <v>1684</v>
      </c>
      <c r="E855" t="s">
        <v>230</v>
      </c>
      <c r="F855" t="s">
        <v>152</v>
      </c>
      <c r="H855" t="str" cm="1">
        <f t="array" ref="H855">_xlfn.TEXTJOIN(", ", TRUE, IF(I855:M855&gt;0, I$1:M$1, ""))</f>
        <v/>
      </c>
      <c r="I855">
        <v>0</v>
      </c>
      <c r="J855">
        <v>0</v>
      </c>
      <c r="K855">
        <v>0</v>
      </c>
      <c r="L855">
        <v>0</v>
      </c>
      <c r="M855">
        <v>0</v>
      </c>
      <c r="N855">
        <v>0</v>
      </c>
    </row>
    <row r="856" spans="1:14" x14ac:dyDescent="0.35">
      <c r="A856" t="s">
        <v>10</v>
      </c>
      <c r="B856" t="s">
        <v>1713</v>
      </c>
      <c r="D856" t="s">
        <v>1714</v>
      </c>
      <c r="E856" t="s">
        <v>230</v>
      </c>
      <c r="F856" t="s">
        <v>51</v>
      </c>
      <c r="H856" t="str" cm="1">
        <f t="array" ref="H856">_xlfn.TEXTJOIN(", ", TRUE, IF(I856:M856&gt;0, I$1:M$1, ""))</f>
        <v>Tech Application</v>
      </c>
      <c r="I856">
        <v>0</v>
      </c>
      <c r="J856">
        <v>2</v>
      </c>
      <c r="K856">
        <v>0</v>
      </c>
      <c r="L856">
        <v>0</v>
      </c>
      <c r="M856">
        <v>0</v>
      </c>
      <c r="N856">
        <v>0</v>
      </c>
    </row>
    <row r="857" spans="1:14" x14ac:dyDescent="0.35">
      <c r="A857" t="s">
        <v>9</v>
      </c>
      <c r="B857" t="s">
        <v>192</v>
      </c>
      <c r="C857" t="s">
        <v>193</v>
      </c>
      <c r="E857" t="s">
        <v>121</v>
      </c>
      <c r="F857" t="s">
        <v>55</v>
      </c>
      <c r="H857" t="str" cm="1">
        <f t="array" ref="H857">_xlfn.TEXTJOIN(", ", TRUE, IF(I857:M857&gt;0, I$1:M$1, ""))</f>
        <v>Semantic View</v>
      </c>
      <c r="I857">
        <v>0</v>
      </c>
      <c r="J857">
        <v>0</v>
      </c>
      <c r="K857">
        <v>0</v>
      </c>
      <c r="L857">
        <v>0</v>
      </c>
      <c r="M857">
        <v>8</v>
      </c>
      <c r="N857">
        <v>1</v>
      </c>
    </row>
    <row r="858" spans="1:14" x14ac:dyDescent="0.35">
      <c r="A858" t="s">
        <v>9</v>
      </c>
      <c r="B858" t="s">
        <v>517</v>
      </c>
      <c r="D858" t="s">
        <v>518</v>
      </c>
      <c r="E858" t="s">
        <v>230</v>
      </c>
      <c r="F858" t="s">
        <v>111</v>
      </c>
      <c r="H858" t="str" cm="1">
        <f t="array" ref="H858">_xlfn.TEXTJOIN(", ", TRUE, IF(I858:M858&gt;0, I$1:M$1, ""))</f>
        <v>Tech Infrastructure, Organisational View</v>
      </c>
      <c r="I858">
        <v>1</v>
      </c>
      <c r="J858">
        <v>0</v>
      </c>
      <c r="K858">
        <v>0</v>
      </c>
      <c r="L858">
        <v>2</v>
      </c>
      <c r="M858">
        <v>0</v>
      </c>
      <c r="N858">
        <v>0</v>
      </c>
    </row>
    <row r="859" spans="1:14" x14ac:dyDescent="0.35">
      <c r="A859" t="s">
        <v>9</v>
      </c>
      <c r="B859" t="s">
        <v>1070</v>
      </c>
      <c r="C859" t="s">
        <v>1070</v>
      </c>
      <c r="E859" t="s">
        <v>86</v>
      </c>
      <c r="F859" t="s">
        <v>92</v>
      </c>
      <c r="H859" t="str" cm="1">
        <f t="array" ref="H859">_xlfn.TEXTJOIN(", ", TRUE, IF(I859:M859&gt;0, I$1:M$1, ""))</f>
        <v>Tech Application, Semantic View</v>
      </c>
      <c r="I859">
        <v>0</v>
      </c>
      <c r="J859">
        <v>1</v>
      </c>
      <c r="K859">
        <v>0</v>
      </c>
      <c r="L859">
        <v>0</v>
      </c>
      <c r="M859">
        <v>1</v>
      </c>
      <c r="N859">
        <v>0</v>
      </c>
    </row>
    <row r="860" spans="1:14" x14ac:dyDescent="0.35">
      <c r="A860" t="s">
        <v>9</v>
      </c>
      <c r="B860" t="s">
        <v>1124</v>
      </c>
      <c r="E860" t="s">
        <v>99</v>
      </c>
      <c r="F860" t="s">
        <v>55</v>
      </c>
      <c r="H860" t="str" cm="1">
        <f t="array" ref="H860">_xlfn.TEXTJOIN(", ", TRUE, IF(I860:M860&gt;0, I$1:M$1, ""))</f>
        <v>Tech Infrastructure</v>
      </c>
      <c r="I860">
        <v>2</v>
      </c>
      <c r="J860">
        <v>0</v>
      </c>
      <c r="K860">
        <v>0</v>
      </c>
      <c r="L860">
        <v>0</v>
      </c>
      <c r="M860">
        <v>0</v>
      </c>
      <c r="N860">
        <v>0</v>
      </c>
    </row>
    <row r="861" spans="1:14" x14ac:dyDescent="0.35">
      <c r="A861" t="s">
        <v>9</v>
      </c>
      <c r="B861" t="s">
        <v>1250</v>
      </c>
      <c r="E861" t="s">
        <v>62</v>
      </c>
      <c r="F861" t="s">
        <v>55</v>
      </c>
      <c r="H861" t="str" cm="1">
        <f t="array" ref="H861">_xlfn.TEXTJOIN(", ", TRUE, IF(I861:M861&gt;0, I$1:M$1, ""))</f>
        <v>Tech Application</v>
      </c>
      <c r="I861">
        <v>0</v>
      </c>
      <c r="J861">
        <v>1</v>
      </c>
      <c r="K861">
        <v>0</v>
      </c>
      <c r="L861">
        <v>0</v>
      </c>
      <c r="M861">
        <v>0</v>
      </c>
      <c r="N861">
        <v>0</v>
      </c>
    </row>
    <row r="862" spans="1:14" x14ac:dyDescent="0.35">
      <c r="A862" t="s">
        <v>8</v>
      </c>
      <c r="B862" t="s">
        <v>407</v>
      </c>
      <c r="C862" t="s">
        <v>408</v>
      </c>
      <c r="E862" t="s">
        <v>62</v>
      </c>
      <c r="F862" t="s">
        <v>409</v>
      </c>
      <c r="H862" t="str" cm="1">
        <f t="array" ref="H862">_xlfn.TEXTJOIN(", ", TRUE, IF(I862:M862&gt;0, I$1:M$1, ""))</f>
        <v>Tech Application, Organisational View, Semantic View</v>
      </c>
      <c r="I862">
        <v>0</v>
      </c>
      <c r="J862">
        <v>3</v>
      </c>
      <c r="K862">
        <v>0</v>
      </c>
      <c r="L862">
        <v>1</v>
      </c>
      <c r="M862">
        <v>14</v>
      </c>
      <c r="N862">
        <v>0</v>
      </c>
    </row>
    <row r="863" spans="1:14" x14ac:dyDescent="0.35">
      <c r="A863" t="s">
        <v>8</v>
      </c>
      <c r="B863" t="s">
        <v>839</v>
      </c>
      <c r="E863" t="s">
        <v>840</v>
      </c>
      <c r="F863" t="s">
        <v>55</v>
      </c>
      <c r="H863" t="str" cm="1">
        <f t="array" ref="H863">_xlfn.TEXTJOIN(", ", TRUE, IF(I863:M863&gt;0, I$1:M$1, ""))</f>
        <v>Tech Application</v>
      </c>
      <c r="I863">
        <v>0</v>
      </c>
      <c r="J863">
        <v>3</v>
      </c>
      <c r="K863">
        <v>0</v>
      </c>
      <c r="L863">
        <v>0</v>
      </c>
      <c r="M863">
        <v>0</v>
      </c>
      <c r="N863">
        <v>0</v>
      </c>
    </row>
    <row r="864" spans="1:14" x14ac:dyDescent="0.35">
      <c r="A864" t="s">
        <v>8</v>
      </c>
      <c r="B864" t="s">
        <v>982</v>
      </c>
      <c r="C864" t="s">
        <v>983</v>
      </c>
      <c r="E864" t="s">
        <v>62</v>
      </c>
      <c r="F864" t="s">
        <v>51</v>
      </c>
      <c r="H864" t="str" cm="1">
        <f t="array" ref="H864">_xlfn.TEXTJOIN(", ", TRUE, IF(I864:M864&gt;0, I$1:M$1, ""))</f>
        <v>Tech Application, Semantic View</v>
      </c>
      <c r="I864">
        <v>0</v>
      </c>
      <c r="J864">
        <v>4</v>
      </c>
      <c r="K864">
        <v>0</v>
      </c>
      <c r="L864">
        <v>0</v>
      </c>
      <c r="M864">
        <v>8</v>
      </c>
      <c r="N864">
        <v>2</v>
      </c>
    </row>
    <row r="865" spans="1:14" x14ac:dyDescent="0.35">
      <c r="A865" t="s">
        <v>8</v>
      </c>
      <c r="B865" t="s">
        <v>1465</v>
      </c>
      <c r="C865" t="s">
        <v>1466</v>
      </c>
      <c r="E865" t="s">
        <v>62</v>
      </c>
      <c r="F865" t="s">
        <v>55</v>
      </c>
      <c r="H865" t="str" cm="1">
        <f t="array" ref="H865">_xlfn.TEXTJOIN(", ", TRUE, IF(I865:M865&gt;0, I$1:M$1, ""))</f>
        <v>Semantic View</v>
      </c>
      <c r="I865">
        <v>0</v>
      </c>
      <c r="J865">
        <v>0</v>
      </c>
      <c r="K865">
        <v>0</v>
      </c>
      <c r="L865">
        <v>0</v>
      </c>
      <c r="M865">
        <v>7</v>
      </c>
      <c r="N865">
        <v>2</v>
      </c>
    </row>
    <row r="866" spans="1:14" x14ac:dyDescent="0.35">
      <c r="A866" t="s">
        <v>8</v>
      </c>
      <c r="B866" t="s">
        <v>1547</v>
      </c>
      <c r="C866" t="s">
        <v>1548</v>
      </c>
      <c r="E866" t="s">
        <v>121</v>
      </c>
      <c r="F866" t="s">
        <v>55</v>
      </c>
      <c r="H866" t="str" cm="1">
        <f t="array" ref="H866">_xlfn.TEXTJOIN(", ", TRUE, IF(I866:M866&gt;0, I$1:M$1, ""))</f>
        <v>Tech Application, Semantic View</v>
      </c>
      <c r="I866">
        <v>0</v>
      </c>
      <c r="J866">
        <v>6</v>
      </c>
      <c r="K866">
        <v>0</v>
      </c>
      <c r="L866">
        <v>0</v>
      </c>
      <c r="M866">
        <v>9</v>
      </c>
      <c r="N866">
        <v>2</v>
      </c>
    </row>
    <row r="867" spans="1:14" x14ac:dyDescent="0.35">
      <c r="A867" t="s">
        <v>8</v>
      </c>
      <c r="B867" t="s">
        <v>1631</v>
      </c>
      <c r="C867" t="s">
        <v>408</v>
      </c>
      <c r="E867" t="s">
        <v>62</v>
      </c>
      <c r="F867" t="s">
        <v>281</v>
      </c>
      <c r="H867" t="str" cm="1">
        <f t="array" ref="H867">_xlfn.TEXTJOIN(", ", TRUE, IF(I867:M867&gt;0, I$1:M$1, ""))</f>
        <v>Tech Application, Organisational View, Semantic View</v>
      </c>
      <c r="I867">
        <v>0</v>
      </c>
      <c r="J867">
        <v>3</v>
      </c>
      <c r="K867">
        <v>0</v>
      </c>
      <c r="L867">
        <v>1</v>
      </c>
      <c r="M867">
        <v>6</v>
      </c>
      <c r="N867">
        <v>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3BCB5C12746E54CA9BC03E8B376BF68" ma:contentTypeVersion="18" ma:contentTypeDescription="Crear nuevo documento." ma:contentTypeScope="" ma:versionID="167d00797e5858883466210559e92d1d">
  <xsd:schema xmlns:xsd="http://www.w3.org/2001/XMLSchema" xmlns:xs="http://www.w3.org/2001/XMLSchema" xmlns:p="http://schemas.microsoft.com/office/2006/metadata/properties" xmlns:ns2="8253af2a-fd0f-40a4-8001-231cdeab6c87" xmlns:ns3="6b2d526b-f179-4f8c-9fce-7a2c6e455f6f" targetNamespace="http://schemas.microsoft.com/office/2006/metadata/properties" ma:root="true" ma:fieldsID="11fcb4d31634c4e5a30a780f8a50c452" ns2:_="" ns3:_="">
    <xsd:import namespace="8253af2a-fd0f-40a4-8001-231cdeab6c87"/>
    <xsd:import namespace="6b2d526b-f179-4f8c-9fce-7a2c6e455f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2:MediaServiceAutoTags" minOccurs="0"/>
                <xsd:element ref="ns2:MediaServiceLocation"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53af2a-fd0f-40a4-8001-231cdeab6c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2" nillable="true" ma:displayName="MediaServiceAutoTags" ma:description="" ma:internalName="MediaServiceAutoTags" ma:readOnly="true">
      <xsd:simpleType>
        <xsd:restriction base="dms:Text"/>
      </xsd:simpleType>
    </xsd:element>
    <xsd:element name="MediaServiceLocation" ma:index="13"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2d526b-f179-4f8c-9fce-7a2c6e455f6f" elementFormDefault="qualified">
    <xsd:import namespace="http://schemas.microsoft.com/office/2006/documentManagement/types"/>
    <xsd:import namespace="http://schemas.microsoft.com/office/infopath/2007/PartnerControls"/>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1f5ff33f-2ee3-42f8-92a4-70a6efeca09c}" ma:internalName="TaxCatchAll" ma:showField="CatchAllData" ma:web="6b2d526b-f179-4f8c-9fce-7a2c6e455f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253af2a-fd0f-40a4-8001-231cdeab6c87">
      <Terms xmlns="http://schemas.microsoft.com/office/infopath/2007/PartnerControls"/>
    </lcf76f155ced4ddcb4097134ff3c332f>
    <TaxCatchAll xmlns="6b2d526b-f179-4f8c-9fce-7a2c6e455f6f" xsi:nil="true"/>
  </documentManagement>
</p:properties>
</file>

<file path=customXml/itemProps1.xml><?xml version="1.0" encoding="utf-8"?>
<ds:datastoreItem xmlns:ds="http://schemas.openxmlformats.org/officeDocument/2006/customXml" ds:itemID="{FD073BCF-0302-44F0-9F2E-04CFE42DCE90}">
  <ds:schemaRefs>
    <ds:schemaRef ds:uri="http://schemas.microsoft.com/sharepoint/v3/contenttype/forms"/>
  </ds:schemaRefs>
</ds:datastoreItem>
</file>

<file path=customXml/itemProps2.xml><?xml version="1.0" encoding="utf-8"?>
<ds:datastoreItem xmlns:ds="http://schemas.openxmlformats.org/officeDocument/2006/customXml" ds:itemID="{2440AE0D-7DDE-44CC-A871-4EE4C4193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53af2a-fd0f-40a4-8001-231cdeab6c87"/>
    <ds:schemaRef ds:uri="6b2d526b-f179-4f8c-9fce-7a2c6e45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1B17DE-A0EC-4018-B697-68194B436EBF}">
  <ds:schemaRefs>
    <ds:schemaRef ds:uri="http://schemas.microsoft.com/office/2006/metadata/properties"/>
    <ds:schemaRef ds:uri="http://schemas.microsoft.com/office/infopath/2007/PartnerControls"/>
    <ds:schemaRef ds:uri="8253af2a-fd0f-40a4-8001-231cdeab6c87"/>
    <ds:schemaRef ds:uri="6b2d526b-f179-4f8c-9fce-7a2c6e455f6f"/>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assessment per view</vt:lpstr>
      <vt:lpstr>views</vt:lpstr>
      <vt:lpstr>types</vt:lpstr>
      <vt:lpstr>tech view</vt:lpstr>
      <vt:lpstr>Hoja1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Jose Suarez Burgos</cp:lastModifiedBy>
  <cp:revision/>
  <dcterms:created xsi:type="dcterms:W3CDTF">2026-02-18T09:18:12Z</dcterms:created>
  <dcterms:modified xsi:type="dcterms:W3CDTF">2026-03-11T09:47:34Z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0x01010013BCB5C12746E54CA9BC03E8B376BF68</vt:lpwstr>
  </property>
  <property fmtid="{D5CDD505-2E9C-101B-9397-08002B2CF9AE}" pid="3" name="MediaServiceImageTags">
    <vt:lpwstr/>
  </property>
</Properties>
</file>